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Dashboard_TongQuan" sheetId="1" state="visible" r:id="rId2"/>
    <sheet name="01_Data_Source_Catalog" sheetId="2" state="visible" r:id="rId3"/>
    <sheet name="02_Stations_Sites_Catalog" sheetId="3" state="visible" r:id="rId4"/>
    <sheet name="03_Salinity_River_Series" sheetId="4" state="visible" r:id="rId5"/>
    <sheet name="04_Salinity_Canal_Interior" sheetId="5" state="visible" r:id="rId6"/>
    <sheet name="05_RIA2_DongThap_EC_WQ" sheetId="6" state="visible" r:id="rId7"/>
    <sheet name="06_Sluice_Gates_Catalog_190" sheetId="7" state="visible" r:id="rId8"/>
    <sheet name="07_Canals_Dikes_Catalog" sheetId="8" state="visible" r:id="rId9"/>
    <sheet name="08_Sluice_Operation_Rules" sheetId="9" state="visible" r:id="rId10"/>
    <sheet name="09_Sluice_Operation_Logs" sheetId="10" state="visible" r:id="rId11"/>
    <sheet name="10_WaterLevel_Separated" sheetId="11" state="visible" r:id="rId12"/>
    <sheet name="11_Meteorology_Separated" sheetId="12" state="visible" r:id="rId13"/>
    <sheet name="12_Coverage_Before_After" sheetId="13" state="visible" r:id="rId14"/>
    <sheet name="13_ML_Time_Series_Ready" sheetId="14"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<sst xmlns="http://schemas.openxmlformats.org/spreadsheetml/2006/main" count="26312" uniqueCount="4476">
  <si>
    <t xml:space="preserve">BỘ DỮ LIỆU CHUẨN HÓA WEBGIS DỰ BÁO XÂM NHẬP MẶN &amp; VẬN HÀNH CỐNG ĐỒNG THÁP – TIỀN GIANG (PHIÊN BẢN V3)</t>
  </si>
  <si>
    <t xml:space="preserve">Mở rộng độ bao phủ thời gian đa năm (2016, 2020, 2023–2026), chuỗi liên tục mùa khô &amp; kỳ triều cường, kiểm định nguồn 100% và tích hợp ML + PostGIS</t>
  </si>
  <si>
    <t xml:space="preserve">TRẠM QUAN TRẮC ĐỘC LẬP (V3)</t>
  </si>
  <si>
    <t xml:space="preserve">BẢN GHI ĐỘ MẶN SÔNG &amp; ĐỒNG</t>
  </si>
  <si>
    <t xml:space="preserve">MẪU CHUẨN HÓA PHỤC VỤ ML</t>
  </si>
  <si>
    <t xml:space="preserve">BẢN GHI MỰC NƯỚC &amp; KHÍ TƯỢNG</t>
  </si>
  <si>
    <t xml:space="preserve">QUY TẮC &amp; NHẬT KÝ VẬN HÀNH</t>
  </si>
  <si>
    <t xml:space="preserve">Giữ nguyên 45 mã cũ + 13 trạm mới</t>
  </si>
  <si>
    <t xml:space="preserve">Tăng từ 271 (v2) lên 660+ bản ghi thực đo</t>
  </si>
  <si>
    <t xml:space="preserve">Ghép đồng bộ Mặn + Triều + MN + Mưa + Cống</t>
  </si>
  <si>
    <t xml:space="preserve">Tách riêng đại lượng, hệ cao độ, nguồn</t>
  </si>
  <si>
    <t xml:space="preserve">Bao phủ mùa khô 2024, 2025, 2026 &amp; triều cường</t>
  </si>
  <si>
    <t xml:space="preserve">I. BẢNG SO SÁNH ĐỘ MẶN CỰC ĐẠI (g/l) ĐA NĂM (2016, 2020, 2024, 2025, 2026) DỌC SÔNG TIỀN</t>
  </si>
  <si>
    <t xml:space="preserve">Trạm quan trắc (Giữ riêng định danh)</t>
  </si>
  <si>
    <t xml:space="preserve">Cách biển (km)</t>
  </si>
  <si>
    <t xml:space="preserve">Mùa khô 2016 (g/l)</t>
  </si>
  <si>
    <t xml:space="preserve">Mùa khô 2020 (g/l)</t>
  </si>
  <si>
    <t xml:space="preserve">Đỉnh 03/2024 (g/l)</t>
  </si>
  <si>
    <t xml:space="preserve">Đỉnh 2025 (g/l)</t>
  </si>
  <si>
    <t xml:space="preserve">Đỉnh 2026 (g/l)</t>
  </si>
  <si>
    <t xml:space="preserve">Cống Vàm Giồng (ST_GC_VAMGIONG)</t>
  </si>
  <si>
    <t xml:space="preserve">Bến đò Hòa Định (ST_TIEN_HOADINH)</t>
  </si>
  <si>
    <t xml:space="preserve">Cống Xuân Hòa (ST_TIEN_XUANHOA)</t>
  </si>
  <si>
    <t xml:space="preserve">Vàm Tân Mỹ Chánh (ST_TIEN_TANMYCHANH)</t>
  </si>
  <si>
    <t xml:space="preserve">Công viên Lạc Hồng / Thủ Khoa Huân (ST_TIEN_CVLACHONG)</t>
  </si>
  <si>
    <t xml:space="preserve">Cầu Trường Chính Trị (ST_TIEN_TRUONGCHINHTRI)</t>
  </si>
  <si>
    <t xml:space="preserve">Cầu Kinh Xáng - Nguyễn Tấn Thành (ST_TIEN_CAUKINHXANG)</t>
  </si>
  <si>
    <t xml:space="preserve">Cầu Phú Phong (ST_TIEN_CAUPHUPHONG)</t>
  </si>
  <si>
    <t xml:space="preserve">Cực đại toàn tuyến (MAX)</t>
  </si>
  <si>
    <t xml:space="preserve">II. CẤU TRÚC 14 SHEET DỮ LIỆU PHIÊN BẢN V3 &amp; ĐỐI CHIẾU TRƯỚC - SAU NÂNG CẤP</t>
  </si>
  <si>
    <t xml:space="preserve">Tên Sheet</t>
  </si>
  <si>
    <t xml:space="preserve">Bảng đích trong PostGIS (dongthap_gis)</t>
  </si>
  <si>
    <t xml:space="preserve">Số dòng V2 (Trước)</t>
  </si>
  <si>
    <t xml:space="preserve">Số dòng V3 (Sau)</t>
  </si>
  <si>
    <t xml:space="preserve">Mức tăng</t>
  </si>
  <si>
    <t xml:space="preserve">Nội dung nâng cấp trọng tâm ở phiên bản V3</t>
  </si>
  <si>
    <t xml:space="preserve">01_Data_Source_Catalog</t>
  </si>
  <si>
    <t xml:space="preserve">data_source, source_dataset</t>
  </si>
  <si>
    <t xml:space="preserve">Bổ sung nguồn PCTT Tiền Giang / Long An - Tây Ninh có bảng đối chiếu đa năm</t>
  </si>
  <si>
    <t xml:space="preserve">02_Stations_Sites_Catalog</t>
  </si>
  <si>
    <t xml:space="preserve">measurement_site, salinity_station</t>
  </si>
  <si>
    <t xml:space="preserve">Giữ nguyên 45 mã trạm cũ; thêm 13 trạm sông/cống mùa khô (Hòa Định, Tân Mỹ Chánh, Chợ Gạo...)</t>
  </si>
  <si>
    <t xml:space="preserve">03_Salinity_River_Series</t>
  </si>
  <si>
    <t xml:space="preserve">salinity_observation (River)</t>
  </si>
  <si>
    <t xml:space="preserve">Tăng gấp &gt;4,4 lần: thêm chuỗi liên tục mùa khô tháng 5 (2016, 2020, 2025, 2026), tháng 2–5/2024–2026 &amp; 20/09/2026</t>
  </si>
  <si>
    <t xml:space="preserve">04_Salinity_Canal_Interior</t>
  </si>
  <si>
    <t xml:space="preserve">salinity_observation (Interior)</t>
  </si>
  <si>
    <t xml:space="preserve">Bổ sung toàn bộ 23 trạm nội đồng ngày 20/09/2026 (khép kín chuỗi liên tục 19–21/09/2026)</t>
  </si>
  <si>
    <t xml:space="preserve">05_RIA2_DongThap_EC_WQ</t>
  </si>
  <si>
    <t xml:space="preserve">conductivity_observation &amp; wq_obs</t>
  </si>
  <si>
    <t xml:space="preserve">Bổ sung 9 đợt quan trắc chất lượng nước &amp; độ mặn 2023–2025 của Sở NN&amp;MT Đồng Tháp</t>
  </si>
  <si>
    <t xml:space="preserve">06_Sluice_Gates_Catalog_190</t>
  </si>
  <si>
    <t xml:space="preserve">irrigation_gate (190 công trình)</t>
  </si>
  <si>
    <t xml:space="preserve">Hồ sơ kỹ thuật 190 cống &amp; trạm bơm kèm tọa độ WGS84 xác thực hoặc NULL_GEOM</t>
  </si>
  <si>
    <t xml:space="preserve">07_Canals_Dikes_Catalog</t>
  </si>
  <si>
    <t xml:space="preserve">canal_segment, dike_segment</t>
  </si>
  <si>
    <t xml:space="preserve">30 tuyến kênh trục chính (kèm lưu lượng Q m3/s) &amp; 20 tuyến đê biển/đê cửa sông/đê sông</t>
  </si>
  <si>
    <t xml:space="preserve">08_Sluice_Operation_Rules</t>
  </si>
  <si>
    <t xml:space="preserve">gate_operation_rule</t>
  </si>
  <si>
    <t xml:space="preserve">8 bộ quy tắc ngưỡng mặn &amp; triều cường điều phối vận hành cống có giải thích</t>
  </si>
  <si>
    <t xml:space="preserve">09_Sluice_Operation_Logs</t>
  </si>
  <si>
    <t xml:space="preserve">gate_operation_log</t>
  </si>
  <si>
    <t xml:space="preserve">Bổ sung 23 nhật ký vận hành mùa khô 2024, 2025, tháng 2 &amp; 5/2026 và ngày 20/09/2026</t>
  </si>
  <si>
    <t xml:space="preserve">10_WaterLevel_Separated</t>
  </si>
  <si>
    <t xml:space="preserve">water_level_observation_v2</t>
  </si>
  <si>
    <t xml:space="preserve">Bổ sung triều Xuân Hòa 19–20/09/2026, MN nội đồng 20/09/2026 &amp; chuỗi MN kênh trục mùa khô 2025–2026</t>
  </si>
  <si>
    <t xml:space="preserve">11_Meteorology_Separated</t>
  </si>
  <si>
    <t xml:space="preserve">meteorology_observation</t>
  </si>
  <si>
    <t xml:space="preserve">Bổ sung lượng mưa thực đo 24h tại 29 trạm ngày 20/09/2026 (khép kín đợt 19–21/09/2026)</t>
  </si>
  <si>
    <t xml:space="preserve">12_Coverage_Before_After</t>
  </si>
  <si>
    <t xml:space="preserve">Báo cáo kiểm định độ bao phủ (Sản phẩm B)</t>
  </si>
  <si>
    <t xml:space="preserve">Phân tích định lượng Trước vs Sau theo từng trạm, chuỗi liên tục dài nhất, khoảng trống &amp; mẫu ML</t>
  </si>
  <si>
    <t xml:space="preserve">13_ML_Time_Series_Ready</t>
  </si>
  <si>
    <t xml:space="preserve">Bảng đặc trưng &amp; mục tiêu ML (Sản phẩm C)</t>
  </si>
  <si>
    <t xml:space="preserve">Chuẩn hóa S_max, S_07h, Lag-1, Lag-2, ΔS, Triều, MN kênh, Mưa, Trạng thái cống &amp; phân tập Train/Val/Test</t>
  </si>
  <si>
    <t xml:space="preserve">01. DANH MỤC NGUỒN DỮ LIỆU &amp; BỘ DỮ LIỆU GỐC (DATA_SOURCE &amp; SOURCE_DATASET)</t>
  </si>
  <si>
    <t xml:space="preserve">Chuẩn hóa định danh nguồn, cơ quan chủ quản, đại lượng cung cấp, tần suất cập nhật và liên kết xác thực</t>
  </si>
  <si>
    <t xml:space="preserve">Mã nguồn (source_code)</t>
  </si>
  <si>
    <t xml:space="preserve">Tên cơ quan / Nguồn dữ liệu</t>
  </si>
  <si>
    <t xml:space="preserve">Loại hình tổ chức</t>
  </si>
  <si>
    <t xml:space="preserve">Các đại lượng cung cấp</t>
  </si>
  <si>
    <t xml:space="preserve">Tần suất cập nhật</t>
  </si>
  <si>
    <t xml:space="preserve">Giai đoạn dữ liệu</t>
  </si>
  <si>
    <t xml:space="preserve">Phạm vi không gian</t>
  </si>
  <si>
    <t xml:space="preserve">URL truy cập chính thức</t>
  </si>
  <si>
    <t xml:space="preserve">Ghi chú tích hợp WebGIS</t>
  </si>
  <si>
    <t xml:space="preserve">KTCTTL_TIENGIANG</t>
  </si>
  <si>
    <t xml:space="preserve">Công ty TNHH MTV Khai thác công trình thủy lợi Tiền Giang</t>
  </si>
  <si>
    <t xml:space="preserve">STATE_IRRIGATION_COMPANY</t>
  </si>
  <si>
    <t xml:space="preserve">Độ mặn trên sông &amp; nội đồng (g/l), Mực nước thủy triều &amp; nội đồng (m Hòn Dấu), Lượng mưa (mm), Nhật ký vận hành cống</t>
  </si>
  <si>
    <t xml:space="preserve">Hằng ngày (7h00 + 2 đỉnh/chân triều)</t>
  </si>
  <si>
    <t xml:space="preserve">2024–10/2026</t>
  </si>
  <si>
    <t xml:space="preserve">Đồng Tháp – Tiền Giang (8 vùng dự án thủy lợi)</t>
  </si>
  <si>
    <t xml:space="preserve">http://thuyloitiengiang.vn/en/web/thuyloitiengiang/chi-tiet-tin-tuc?id=522066</t>
  </si>
  <si>
    <t xml:space="preserve">Nguồn chính thức cung cấp chuỗi ngày liên tục (17-21/09/2026, 07-13/10/2026) và nhật ký vận hành thực tế.</t>
  </si>
  <si>
    <t xml:space="preserve">RIA2_VIENTHUYSAN2</t>
  </si>
  <si>
    <t xml:space="preserve">Viện Nghiên cứu Nuôi trồng Thủy sản II (RIA2)</t>
  </si>
  <si>
    <t xml:space="preserve">RESEARCH_INSTITUTE</t>
  </si>
  <si>
    <t xml:space="preserve">Nhiệt độ (°C), pH, DO (mg/L), Độ dẫn điện EC (µS/cm &amp; mS/m), Độ kiềm (mg/L), TAN, NO2-, PO43-, COD, H2S, Độ mặn (‰)</t>
  </si>
  <si>
    <t xml:space="preserve">1–2 tuần/lần (theo đợt) &amp; Hàng tháng</t>
  </si>
  <si>
    <t xml:space="preserve">2023–2026</t>
  </si>
  <si>
    <t xml:space="preserve">ĐBSCL (10 điểm quan trắc vùng nuôi cá tra tại Đồng Tháp)</t>
  </si>
  <si>
    <t xml:space="preserve">https://vienthuysan2.org.vn/wp-content/uploads/2023/07/Xem-tai-day-10.pdf</t>
  </si>
  <si>
    <t xml:space="preserve">Đề cương nhiệm vụ &amp; Bản tin quan trắc môi trường nước ĐBSCL của Viện NCNT Thủy sản II.</t>
  </si>
  <si>
    <t xml:space="preserve">SNNMT_DONGTHAP_XANH</t>
  </si>
  <si>
    <t xml:space="preserve">Sở Nông nghiệp và Môi trường tỉnh Đồng Tháp (Cổng Đồng Tháp Xanh)</t>
  </si>
  <si>
    <t xml:space="preserve">LOCAL_AGENCY</t>
  </si>
  <si>
    <t xml:space="preserve">Độ mặn (‰), DO (mg/L), kH (mg/L), H2S (mg/L), N-NH4+ (mg/L), P-PO43- (mg/L), COD (mg/L), EC</t>
  </si>
  <si>
    <t xml:space="preserve">Theo đợt (2 lần/tháng, 53 điểm giai đoạn 2026–2030)</t>
  </si>
  <si>
    <t xml:space="preserve">2022–10/2026</t>
  </si>
  <si>
    <t xml:space="preserve">Tỉnh Đồng Tháp (Sông Tiền, Sông Hậu, kênh cấp thủy sản)</t>
  </si>
  <si>
    <t xml:space="preserve">https://dongthapxanh.vn/bai-viet/du-bao-thuy-van/ket-qua-quan-trac-chat-luong-nuoc-phuc-vu-nuoi-thuy-san-dot-2-nam-2025.html</t>
  </si>
  <si>
    <t xml:space="preserve">Kết hợp Kế hoạch 1548/KH-UBND ngày 12/10/2026 của UBND tỉnh Đồng Tháp quan trắc 53 điểm nguồn nước cấp.</t>
  </si>
  <si>
    <t xml:space="preserve">KTTV_DONGTHAP_TIENGIANG</t>
  </si>
  <si>
    <t xml:space="preserve">Đài Khí tượng Thủy văn tỉnh Đồng Tháp / Tiền Giang (Báo Đồng Tháp)</t>
  </si>
  <si>
    <t xml:space="preserve">HYDRO_MET_AGENCY</t>
  </si>
  <si>
    <t xml:space="preserve">Độ mặn thực đo cực đại trên sông Tiền (g/l), Mực nước thực đo &amp; Dự báo triều cường/xâm nhập mặn (m)</t>
  </si>
  <si>
    <t xml:space="preserve">Bản tin tuần / kỳ triều cường mùa khô</t>
  </si>
  <si>
    <t xml:space="preserve">2024–2026</t>
  </si>
  <si>
    <t xml:space="preserve">Dọc sông Tiền, sông Hàm Luông, kênh Chợ Gạo, nội đồng Gò Công</t>
  </si>
  <si>
    <t xml:space="preserve">https://baodongthap.vn/dong-thap-xam-nhap-man-tang-tro-lai-theo-ky-trieu-cuong-dau-thang-3-am-lich-a239839.html</t>
  </si>
  <si>
    <t xml:space="preserve">Cung cấp chuỗi độ mặn thực đo mùa khô 2024, 2025, 2026 tại các trạm dọc sông Tiền.</t>
  </si>
  <si>
    <t xml:space="preserve">UBND_TIENGIANG_QD12_2023</t>
  </si>
  <si>
    <t xml:space="preserve">UBND tỉnh Tiền Giang - Quyết định 12/2023/QĐ-UBND (sửa đổi QĐ 04/2019/QĐ-UBND)</t>
  </si>
  <si>
    <t xml:space="preserve">LEGAL_REGULATION</t>
  </si>
  <si>
    <t xml:space="preserve">Danh mục kỹ thuật 188 cống (4 cống lớn, 20 cống vừa, 164 cống nhỏ), 1 trạm bơm, 110 kênh (kèm Q m3/s), 20 tuyến đê</t>
  </si>
  <si>
    <t xml:space="preserve">Văn bản pháp quy</t>
  </si>
  <si>
    <t xml:space="preserve">2019–2026</t>
  </si>
  <si>
    <t xml:space="preserve">Toàn bộ hệ thống công trình thủy lợi giao Công ty KTCTTL quản lý</t>
  </si>
  <si>
    <t xml:space="preserve">https://thuvienphapluat.vn/van-ban/Tai-nguyen-Moi-truong/Quyet-dinh-12-2023-QD-UBND-sua-doi-phan-cap-quan-ly-khai-thac-bao-ve-cong-trinh-thuy-loi-Tien-Giang-572905.aspx</t>
  </si>
  <si>
    <t xml:space="preserve">Cung cấp đầy đủ loại cống, số cửa, khẩu độ B(m), cao trình đáy (m), diện tích phục vụ (ha), năm xây dựng.</t>
  </si>
  <si>
    <t xml:space="preserve">UBND_DONGTHAP_QD110_2026</t>
  </si>
  <si>
    <t xml:space="preserve">UBND tỉnh Đồng Tháp - Quyết định 110/2026/QĐ-UBND &amp; QĐ 20/2025/QĐ-UBND</t>
  </si>
  <si>
    <t xml:space="preserve">Phân cấp quản lý, khai thác, bảo vệ công trình thủy lợi, đê điều và quy trình vận hành sau sáp nhập</t>
  </si>
  <si>
    <t xml:space="preserve">Văn bản pháp quy (Hiệu lực 09/10/2026)</t>
  </si>
  <si>
    <t xml:space="preserve">2025–2026</t>
  </si>
  <si>
    <t xml:space="preserve">Tỉnh Đồng Tháp (bao gồm mạng lưới Công ty TNHH MTV KTCTTL Tiền Giang)</t>
  </si>
  <si>
    <t xml:space="preserve">https://vbpl.vn/van-ban/chi-tiet/quyet-dinh-so-110-2026-qd-ubnd-ban-hanh-quy-dinh-phan-cap-giao-quan-ly-khai-thac-bao-ve-cong-trinh-thuy-loi-de-dieu-tren-dia-ban-tinh-dong-thap--55d9c250-bc86-11f1-bf85-93e2c4458027</t>
  </si>
  <si>
    <t xml:space="preserve">Khung pháp lý mới nhất tích hợp quản lý hệ thống công trình thủy lợi Đồng Tháp – Tiền Giang.</t>
  </si>
  <si>
    <t xml:space="preserve">BQL_DT864_NGUYENTANTHANH</t>
  </si>
  <si>
    <t xml:space="preserve">Ban QLDA Đầu tư XD công trình NN&amp;PTNT (Hệ thống cống ĐT.864 &amp; Nguyễn Tấn Thành)</t>
  </si>
  <si>
    <t xml:space="preserve">PROJECT_BOARD</t>
  </si>
  <si>
    <t xml:space="preserve">Thông số kỹ thuật &amp; Quy trình vận hành Cống âu Nguyễn Tấn Thành và 6 cống ĐT.864 (Rạch Gầm, Phú Phong, Mù U, Cây Còng, Hai Tân, Cái Sơn)</t>
  </si>
  <si>
    <t xml:space="preserve">Hồ sơ bàn giao &amp; Quy trình vận hành</t>
  </si>
  <si>
    <t xml:space="preserve">2022–2026</t>
  </si>
  <si>
    <t xml:space="preserve">Trục sông Tiền từ Mỹ Tho đến Cai Lậy / Cái Bè</t>
  </si>
  <si>
    <t xml:space="preserve">https://nhandan.vn/ban-giao-dua-vao-su-dung-cong-au-nguyen-tan-thanh-post843368.html</t>
  </si>
  <si>
    <t xml:space="preserve">Bổ sung công trình cống âu thuyền Nguyễn Tấn Thành (hoàn thành 10/2024, bàn giao 11/2024) và ngưỡng đóng 0,5 g/l.</t>
  </si>
  <si>
    <t xml:space="preserve">MRC_PORTAL</t>
  </si>
  <si>
    <t xml:space="preserve">Mekong River Commission (MRC Data Portal)</t>
  </si>
  <si>
    <t xml:space="preserve">INTERNATIONAL_ORG</t>
  </si>
  <si>
    <t xml:space="preserve">Độ dẫn điện EC (mS/m) thực đo dài hạn (Water Quality Monitoring Network)</t>
  </si>
  <si>
    <t xml:space="preserve">Hàng tháng (1985–12/2023)</t>
  </si>
  <si>
    <t xml:space="preserve">1985–2023</t>
  </si>
  <si>
    <t xml:space="preserve">Trạm Tân Châu (MRC_VN_019803, 464 dòng) &amp; Trạm Mỹ Tho (MRC_VN_019805, 463 dòng)</t>
  </si>
  <si>
    <t xml:space="preserve">https://portal.mrcmekong.org/</t>
  </si>
  <si>
    <t xml:space="preserve">Chuỗi nền lịch sử trong CSDL hiện tại của nhóm (HTTT_26TLCN_Nhom04_Tuan4.docx); dừng ở 15/12/2023.</t>
  </si>
  <si>
    <t xml:space="preserve">DAHITI_ALTIMETRY</t>
  </si>
  <si>
    <t xml:space="preserve">Database for Hydrological Time Series of Inland Waters (DAHITI - DGFI-TUM)</t>
  </si>
  <si>
    <t xml:space="preserve">SATELLITE_REMOTE_SENSING</t>
  </si>
  <si>
    <t xml:space="preserve">Mực nước sông từ đo cao vệ tinh (Satellite Altimetry Water Level, m)</t>
  </si>
  <si>
    <t xml:space="preserve">Theo chu kỳ quỹ đạo vệ tinh (10–35 ngày)</t>
  </si>
  <si>
    <t xml:space="preserve">Điểm ảo vệ tinh trên sông Tiền (Tân Châu, Mỹ Tho)</t>
  </si>
  <si>
    <t xml:space="preserve">https://dahiti.dgfi.tum.de/</t>
  </si>
  <si>
    <t xml:space="preserve">Loại dữ liệu SATELLITE_ALTIMETRY; cần tách riêng hệ quy chiếu cao độ với trạm thủy văn quốc gia Hòn Dấu.</t>
  </si>
  <si>
    <t xml:space="preserve">GLOFAS_DISCHARGE</t>
  </si>
  <si>
    <t xml:space="preserve">Global Flood Awareness System (Copernicus GloFAS)</t>
  </si>
  <si>
    <t xml:space="preserve">HYDROLOGICAL_MODEL</t>
  </si>
  <si>
    <t xml:space="preserve">Lưu lượng dòng chảy mô phỏng/tái phân tích (River Discharge, m3/s)</t>
  </si>
  <si>
    <t xml:space="preserve">Hằng ngày (Lưới 0.05°)</t>
  </si>
  <si>
    <t xml:space="preserve">Lưu vực sông Tiền – ĐBSCL</t>
  </si>
  <si>
    <t xml:space="preserve">https://global-flood.emergency.copernicus.eu/</t>
  </si>
  <si>
    <t xml:space="preserve">Loại dữ liệu HYDROLOGICAL_MODEL; chỉ dùng làm biến ngoại sinh thượng nguồn, không trộn với mực nước thực đo.</t>
  </si>
  <si>
    <t xml:space="preserve">OPEN_METEO_ERA5</t>
  </si>
  <si>
    <t xml:space="preserve">Open-Meteo Historical Weather API (ERA5 / ERA5-Land Reanalysis)</t>
  </si>
  <si>
    <t xml:space="preserve">MET_REANALYSIS</t>
  </si>
  <si>
    <t xml:space="preserve">Nhiệt độ 2m (°C), Lượng mưa (mm), Bốc thoát hơi tham chiếu ET0 (mm), Tốc độ gió 10m (m/s), Độ ẩm (%)</t>
  </si>
  <si>
    <t xml:space="preserve">Hằng ngày / Hàng giờ</t>
  </si>
  <si>
    <t xml:space="preserve">1985–2026</t>
  </si>
  <si>
    <t xml:space="preserve">Lưới tọa độ vùng Tân Châu &amp; Mỹ Tho / Đồng Tháp</t>
  </si>
  <si>
    <t xml:space="preserve">https://open-meteo.com/</t>
  </si>
  <si>
    <t xml:space="preserve">Loại dữ liệu REANALYSIS; giữ tách biệt với lượng mưa thực đo tại từng cống của Công ty KTCTTL Tiền Giang.</t>
  </si>
  <si>
    <t xml:space="preserve">UHSLC_TIDE</t>
  </si>
  <si>
    <t xml:space="preserve">University of Hawaii Sea Level Center (UHSLC)</t>
  </si>
  <si>
    <t xml:space="preserve">COASTAL_TIDE_GAUGE</t>
  </si>
  <si>
    <t xml:space="preserve">Mực nước triều biển Đông (Sea Level / Tide Gauge, mm/m)</t>
  </si>
  <si>
    <t xml:space="preserve">Hàng giờ / Hằng ngày</t>
  </si>
  <si>
    <t xml:space="preserve">Trạm Vũng Tàu (biên triều cửa sông Tiền)</t>
  </si>
  <si>
    <t xml:space="preserve">https://uhslc.soest.hawaii.edu/</t>
  </si>
  <si>
    <t xml:space="preserve">Biên triều đại dương bổ trợ kiểm tra pha triều cường xâm nhập mặn cửa Tiểu – cửa Đại.</t>
  </si>
  <si>
    <t xml:space="preserve">PCTT_TIENGIANG_TAYNINH</t>
  </si>
  <si>
    <t xml:space="preserve">Ban Chỉ huy PCTT &amp; TKCN Tiền Giang / Long An - Tây Ninh (Bản tin Mặn &amp; Vận hành cống)</t>
  </si>
  <si>
    <t xml:space="preserve">PROVINCIAL_DISASTER_AGENCY</t>
  </si>
  <si>
    <t xml:space="preserve">Độ mặn thực đo ngày (g/l), So sánh ngày trước &amp; cùng kỳ 2025/2024/2020/2016, Mực nước kênh trục (m), Đóng/mở cống</t>
  </si>
  <si>
    <t xml:space="preserve">Hằng ngày / Đợt triều cường mùa khô</t>
  </si>
  <si>
    <t xml:space="preserve">2016, 2020, 2024–2026</t>
  </si>
  <si>
    <t xml:space="preserve">Sông Tiền, Sông Soài Rạp, Kênh Chợ Gạo, Sông Tra, Sông Vàm Cỏ, Sông Hàm Luông</t>
  </si>
  <si>
    <t xml:space="preserve">https://phongchongthientaitiengiang.vn/?p=7360</t>
  </si>
  <si>
    <t xml:space="preserve">Bổ sung bảng đối chiếu độ mặn thực đo đa năm (2016, 2020, 2024, 2025, 2026) và vận hành cống Sông Tra - Vàm Cỏ.</t>
  </si>
  <si>
    <t xml:space="preserve">02. DANH MỤC 58 TRẠM QUAN TRẮC ĐỘC LẬP (GIỮ NGUYÊN 45 MÃ TRẠM CŨ + 13 TRẠM SÔNG/CỐNG MÙA KHÔ)</t>
  </si>
  <si>
    <t xml:space="preserve">Tuân thủ nguyên tắc: Giữ riêng từng điểm đo vật lý (cống, cầu, bến đò, công viên, trạm KTTV, điểm RIA2) – Tuyệt đối không gộp trạm</t>
  </si>
  <si>
    <t xml:space="preserve">Mã trạm (station_code)</t>
  </si>
  <si>
    <t xml:space="preserve">Tên trạm / Điểm đo</t>
  </si>
  <si>
    <t xml:space="preserve">Loại trạm</t>
  </si>
  <si>
    <t xml:space="preserve">Sông / Kênh / Rạch</t>
  </si>
  <si>
    <t xml:space="preserve">Vùng dự án thủy lợi</t>
  </si>
  <si>
    <t xml:space="preserve">Đơn vị hành chính</t>
  </si>
  <si>
    <t xml:space="preserve">Vĩ độ (Lat WGS84)</t>
  </si>
  <si>
    <t xml:space="preserve">Kinh độ (Lon WGS84)</t>
  </si>
  <si>
    <t xml:space="preserve">Plus Code / Mã tham chiếu</t>
  </si>
  <si>
    <t xml:space="preserve">Mô tả vị trí</t>
  </si>
  <si>
    <t xml:space="preserve">Trạng thái tọa độ (location_status)</t>
  </si>
  <si>
    <t xml:space="preserve">Đại lượng quan trắc</t>
  </si>
  <si>
    <t xml:space="preserve">Mã nguồn</t>
  </si>
  <si>
    <t xml:space="preserve">Ghi chú kỹ thuật</t>
  </si>
  <si>
    <t xml:space="preserve">ST_TIEN_VAMKENH</t>
  </si>
  <si>
    <t xml:space="preserve">Trạm Vàm Kênh (Cửa Tiểu - Sông Tiền)</t>
  </si>
  <si>
    <t xml:space="preserve">RIVER_ESTUARY</t>
  </si>
  <si>
    <t xml:space="preserve">Sông Tiền (Cửa Tiểu)</t>
  </si>
  <si>
    <t xml:space="preserve">Dự án Gò Công</t>
  </si>
  <si>
    <t xml:space="preserve">Xã Tân Thành, H. Gò Công Đông</t>
  </si>
  <si>
    <t xml:space="preserve">7P287PGP+9PG</t>
  </si>
  <si>
    <t xml:space="preserve">7PGP+9PG, Tân Thành, Gò Công Đông</t>
  </si>
  <si>
    <t xml:space="preserve">EXACT_PLUS_CODE</t>
  </si>
  <si>
    <t xml:space="preserve">Salinity (g/l), Water Level (m), Rainfall (mm)</t>
  </si>
  <si>
    <t xml:space="preserve">Cách cửa Tiểu ~2,2 km; đo đỉnh mặn 2 con nước/ngày + 7h00</t>
  </si>
  <si>
    <t xml:space="preserve">ST_TIEN_LONGHAI</t>
  </si>
  <si>
    <t xml:space="preserve">Trạm Long Hải (Sông Tiền)</t>
  </si>
  <si>
    <t xml:space="preserve">RIVER_MAIN</t>
  </si>
  <si>
    <t xml:space="preserve">Xã Long Bình, H. Gò Công Tây</t>
  </si>
  <si>
    <t xml:space="preserve">7P287MJ3+5Q3</t>
  </si>
  <si>
    <t xml:space="preserve">7MJ3+5Q3, Long Bình, Gò Công Tây</t>
  </si>
  <si>
    <t xml:space="preserve">Đo mặn trên sông Tiền &amp; nội đồng cống Long Hải</t>
  </si>
  <si>
    <t xml:space="preserve">ST_CUATRUNG_RACHMUONG</t>
  </si>
  <si>
    <t xml:space="preserve">Trạm Rạch Mương (Sông Cửa Trung)</t>
  </si>
  <si>
    <t xml:space="preserve">Sông Cửa Trung (Sông Tiền)</t>
  </si>
  <si>
    <t xml:space="preserve">Phú Thạnh - Phú Đông</t>
  </si>
  <si>
    <t xml:space="preserve">Xã Phú Thạnh, H. Tân Phú Đông</t>
  </si>
  <si>
    <t xml:space="preserve">7P287M37+J64</t>
  </si>
  <si>
    <t xml:space="preserve">7M37+J64, Phú Thạnh, Tân Phú Đông</t>
  </si>
  <si>
    <t xml:space="preserve">Đo mặn sông Cửa Trung (2 đỉnh triều/ngày + 7h00) và nội đồng</t>
  </si>
  <si>
    <t xml:space="preserve">ST_SOAIRAP_MYDIEN</t>
  </si>
  <si>
    <t xml:space="preserve">Trạm Mỹ Điền (Sông Soài Rạp - Vàm Cỏ - Kênh Chợ Gạo)</t>
  </si>
  <si>
    <t xml:space="preserve">Sông Soài Rạp / Vàm Cỏ</t>
  </si>
  <si>
    <t xml:space="preserve">H. Gò Công Đông / Chợ Gạo</t>
  </si>
  <si>
    <t xml:space="preserve">7P28CQ7F+G98</t>
  </si>
  <si>
    <t xml:space="preserve">CQ7F+G98, Vàm Láng / Tân Phước (trục Soài Rạp - Vàm Cỏ)</t>
  </si>
  <si>
    <t xml:space="preserve">NEARBY_LANDMARK</t>
  </si>
  <si>
    <t xml:space="preserve">Salinity (g/l)</t>
  </si>
  <si>
    <t xml:space="preserve">Đo đỉnh mặn 2 con nước/ngày + 7h00 trên nhánh Soài Rạp - Vàm Cỏ</t>
  </si>
  <si>
    <t xml:space="preserve">ST_SOAIRAP_RACHBANG</t>
  </si>
  <si>
    <t xml:space="preserve">Trạm Rạch Băng (Sông Soài Rạp / Vàm Cỏ)</t>
  </si>
  <si>
    <t xml:space="preserve">Sông Soài Rạp</t>
  </si>
  <si>
    <t xml:space="preserve">Xã Bình Đông, TX. Gò Công</t>
  </si>
  <si>
    <t xml:space="preserve">COMMUNE_REF</t>
  </si>
  <si>
    <t xml:space="preserve">COMMUNE_REPORTED</t>
  </si>
  <si>
    <t xml:space="preserve">Đo mặn trên sông Soài Rạp và nội đồng cống Rạch Băng</t>
  </si>
  <si>
    <t xml:space="preserve">ST_TIEN_XUANHOA</t>
  </si>
  <si>
    <t xml:space="preserve">Trạm Cống Xuân Hòa (Sông Tiền &amp; Nội đồng)</t>
  </si>
  <si>
    <t xml:space="preserve">RIVER_AND_GATE</t>
  </si>
  <si>
    <t xml:space="preserve">Sông Tiền</t>
  </si>
  <si>
    <t xml:space="preserve">Xã Xuân Đông / Bình Ninh, H. Chợ Gạo</t>
  </si>
  <si>
    <t xml:space="preserve">7P288CMV+4JR</t>
  </si>
  <si>
    <t xml:space="preserve">8CMV+4JR, Xuân Đông / Bình Ninh, Chợ Gạo</t>
  </si>
  <si>
    <t xml:space="preserve">Tide Peak/Trough (m), Salinity (g/l), Rainfall (mm)</t>
  </si>
  <si>
    <t xml:space="preserve">Trạm chuẩn thủy triều Sông Tiền (4 trị số đỉnh/chân mỗi ngày); cách biển ~42 km</t>
  </si>
  <si>
    <t xml:space="preserve">ST_TIEN_CVLACHONG</t>
  </si>
  <si>
    <t xml:space="preserve">Trạm Công viên Lạc Hồng / Thủ Khoa Huân (Mỹ Tho)</t>
  </si>
  <si>
    <t xml:space="preserve">RIVER_HYDRO_MET</t>
  </si>
  <si>
    <t xml:space="preserve">Sông Tiền (Vàm Bảo Định)</t>
  </si>
  <si>
    <t xml:space="preserve">Vùng Bảo Định / Mỹ Tho</t>
  </si>
  <si>
    <t xml:space="preserve">Phường 1, TP. Mỹ Tho</t>
  </si>
  <si>
    <t xml:space="preserve">7P289928+XQ9</t>
  </si>
  <si>
    <t xml:space="preserve">9928+XQ9, Đường 30-4, Phường 1, Mỹ Tho</t>
  </si>
  <si>
    <t xml:space="preserve">Salinity (g/l), Water Level (m)</t>
  </si>
  <si>
    <t xml:space="preserve">Cách cửa sông ~50 km; điểm kiểm soát mặn sát cửa rạch Bảo Định</t>
  </si>
  <si>
    <t xml:space="preserve">ST_TIEN_TRUONGCHINHTRI</t>
  </si>
  <si>
    <t xml:space="preserve">Trạm Cầu Trường Chính Trị (Bình Đức - Mỹ Tho)</t>
  </si>
  <si>
    <t xml:space="preserve">Vùng Bảo Định / Châu Thành</t>
  </si>
  <si>
    <t xml:space="preserve">Xã Bình Đức, H. Châu Thành</t>
  </si>
  <si>
    <t xml:space="preserve">LANDMARK_REF</t>
  </si>
  <si>
    <t xml:space="preserve">Bình Đức, Châu Thành (cách biển ~56 km)</t>
  </si>
  <si>
    <t xml:space="preserve">LANDMARK_REPORTED</t>
  </si>
  <si>
    <t xml:space="preserve">Trạm quan trắc mặn cố định mùa khô của Đài KTTV trên sông Tiền</t>
  </si>
  <si>
    <t xml:space="preserve">ST_TIEN_CAUXOAIHOT</t>
  </si>
  <si>
    <t xml:space="preserve">Trạm Cầu Xoài Hột (Sông Tiền - Bình Đức)</t>
  </si>
  <si>
    <t xml:space="preserve">Sông Tiền / Rạch Xoài Hột</t>
  </si>
  <si>
    <t xml:space="preserve">Vùng Bảo Định / ĐT.864</t>
  </si>
  <si>
    <t xml:space="preserve">Xã Bình Đức / Kim Sơn, H. Châu Thành</t>
  </si>
  <si>
    <t xml:space="preserve">7P2888R6+FC7</t>
  </si>
  <si>
    <t xml:space="preserve">88R6+FC7, Bình Đức / Kim Sơn, Châu Thành</t>
  </si>
  <si>
    <t xml:space="preserve">Tách biệt hoàn toàn với Cống Xoài Hột và Trạm Mỹ Tho</t>
  </si>
  <si>
    <t xml:space="preserve">ST_TIEN_NGUYENTANTHANH</t>
  </si>
  <si>
    <t xml:space="preserve">Trạm Cống Âu Nguyễn Tấn Thành (Vàm Kênh Nguyễn Tấn Thành)</t>
  </si>
  <si>
    <t xml:space="preserve">Sông Tiền / Kênh Nguyễn Tấn Thành</t>
  </si>
  <si>
    <t xml:space="preserve">Tỉnh lộ 864</t>
  </si>
  <si>
    <t xml:space="preserve">Xã Song Thuận / Kim Sơn, H. Châu Thành</t>
  </si>
  <si>
    <t xml:space="preserve">7P2887RM+6Q</t>
  </si>
  <si>
    <t xml:space="preserve">87RM+6Q, Kim Sơn, Châu Thành</t>
  </si>
  <si>
    <t xml:space="preserve">Ngưỡng kiểm soát mặn 0,5 g/l bảo vệ 128.000 ha và nhà máy nước Đồng Tâm</t>
  </si>
  <si>
    <t xml:space="preserve">ST_TIEN_CAUKINHXANG</t>
  </si>
  <si>
    <t xml:space="preserve">Trạm Cầu Kinh Xáng (Song Thuận - Châu Thành)</t>
  </si>
  <si>
    <t xml:space="preserve">Xã Song Thuận, H. Châu Thành</t>
  </si>
  <si>
    <t xml:space="preserve">Đầu kênh Nguyễn Tấn Thành</t>
  </si>
  <si>
    <t xml:space="preserve">Điểm đo mặn mùa khô của Đài KTTV tại đầu kênh Nguyễn Tấn Thành</t>
  </si>
  <si>
    <t xml:space="preserve">ST_TIEN_CAUKIMSON</t>
  </si>
  <si>
    <t xml:space="preserve">Trạm Cầu Kim Sơn (Rạch Gầm - Châu Thành)</t>
  </si>
  <si>
    <t xml:space="preserve">Sông Tiền / Vàm Rạch Gầm</t>
  </si>
  <si>
    <t xml:space="preserve">Xã Kim Sơn, H. Châu Thành</t>
  </si>
  <si>
    <t xml:space="preserve">7P2886GV+MQQ</t>
  </si>
  <si>
    <t xml:space="preserve">86GV+MQQ, Kim Sơn, Châu Thành</t>
  </si>
  <si>
    <t xml:space="preserve">Điểm đo mặn mùa khô tại cửa Rạch Gầm</t>
  </si>
  <si>
    <t xml:space="preserve">ST_TIEN_CAUPHUPHONG</t>
  </si>
  <si>
    <t xml:space="preserve">Trạm Cầu / Cống Phú Phong (Châu Thành)</t>
  </si>
  <si>
    <t xml:space="preserve">Sông Tiền / Rạch Phú Phong</t>
  </si>
  <si>
    <t xml:space="preserve">Xã Phú Phong, H. Châu Thành</t>
  </si>
  <si>
    <t xml:space="preserve">7P2886F4+4WC</t>
  </si>
  <si>
    <t xml:space="preserve">86F4+4WC, Phú Phong, Châu Thành</t>
  </si>
  <si>
    <t xml:space="preserve">Điểm đo mực nước, mưa hàng ngày và ranh mặn cực đại mùa khô 2024</t>
  </si>
  <si>
    <t xml:space="preserve">ST_TIEN_MUU</t>
  </si>
  <si>
    <t xml:space="preserve">Trạm Cống Mù U (ĐT.864 - Cai Lậy)</t>
  </si>
  <si>
    <t xml:space="preserve">GATE_INTERIOR</t>
  </si>
  <si>
    <t xml:space="preserve">Sông Năm Thôn / Rạch Mù U</t>
  </si>
  <si>
    <t xml:space="preserve">Xã Tam Bình / Ngũ Hiệp, H. Cai Lậy</t>
  </si>
  <si>
    <t xml:space="preserve">7P288552+V57</t>
  </si>
  <si>
    <t xml:space="preserve">8552+V57, ĐT864, Ngũ Hiệp / Tam Bình, Cai Lậy</t>
  </si>
  <si>
    <t xml:space="preserve">Water Level (m), Rainfall (mm)</t>
  </si>
  <si>
    <t xml:space="preserve">Đo mực nước đồng phía Tây &amp; lượng mưa hàng ngày</t>
  </si>
  <si>
    <t xml:space="preserve">ST_BARAI_MUOINEN</t>
  </si>
  <si>
    <t xml:space="preserve">Trạm Cống Mười Nén (Đông Ba Rài - Cai Lậy)</t>
  </si>
  <si>
    <t xml:space="preserve">Sông Ba Rài</t>
  </si>
  <si>
    <t xml:space="preserve">Dự án Đông Ba Rài</t>
  </si>
  <si>
    <t xml:space="preserve">Xã Long Tiên, H. Cai Lậy</t>
  </si>
  <si>
    <t xml:space="preserve">Đo mực nước đồng phía Tây (Đông Ba Rài) &amp; mưa hàng ngày</t>
  </si>
  <si>
    <t xml:space="preserve">ST_BARAI_CAILA</t>
  </si>
  <si>
    <t xml:space="preserve">Trạm Cống Cái Lá (Tây Ba Rài - Cai Lậy)</t>
  </si>
  <si>
    <t xml:space="preserve">Sông Tiền / Rạch Cái Lá</t>
  </si>
  <si>
    <t xml:space="preserve">Dự án Tây Ba Rài</t>
  </si>
  <si>
    <t xml:space="preserve">Xã Hiệp Đức, H. Cai Lậy</t>
  </si>
  <si>
    <t xml:space="preserve">7P2883J5+58W</t>
  </si>
  <si>
    <t xml:space="preserve">83J5+58W, Hiệp Đức, Cai Lậy</t>
  </si>
  <si>
    <t xml:space="preserve">Đo mực nước đồng phía Tây (Tây Ba Rài) &amp; mưa hàng ngày</t>
  </si>
  <si>
    <t xml:space="preserve">ST_HAMLUONG_VAMMON</t>
  </si>
  <si>
    <t xml:space="preserve">Trạm Vàm Mơn (Sông Hàm Luông - Chợ Lách / Cai Lậy)</t>
  </si>
  <si>
    <t xml:space="preserve">Sông Hàm Luông</t>
  </si>
  <si>
    <t xml:space="preserve">Liên tỉnh Bến Tre - Tiền Giang</t>
  </si>
  <si>
    <t xml:space="preserve">H. Chợ Lách (đối diện Ngũ Hiệp, Cai Lậy)</t>
  </si>
  <si>
    <t xml:space="preserve">Vàm Mơn - Sông Hàm Luông</t>
  </si>
  <si>
    <t xml:space="preserve">Trạm chỉ báo mặn từ sông Hàm Luông truyền qua nhánh Năm Thôn (ngưỡng 1,5–2,0 g/l)</t>
  </si>
  <si>
    <t xml:space="preserve">ST_TIEN_BENDOTANPHU</t>
  </si>
  <si>
    <t xml:space="preserve">Trạm Bến đò Tân Phú (Sông Tiền - Châu Thành)</t>
  </si>
  <si>
    <t xml:space="preserve">Liên tỉnh phía Nam sông Tiền</t>
  </si>
  <si>
    <t xml:space="preserve">Xã Tân Phú (đối diện Châu Thành)</t>
  </si>
  <si>
    <t xml:space="preserve">Bến đò Tân Phú - Sông Tiền</t>
  </si>
  <si>
    <t xml:space="preserve">Điểm đo mặn thực đo mùa khô 2024–2025 phía thượng lưu Phú Phong</t>
  </si>
  <si>
    <t xml:space="preserve">ST_TIEN_MYTHUAN</t>
  </si>
  <si>
    <t xml:space="preserve">Trạm Thủy văn Mỹ Thuận (Sông Tiền)</t>
  </si>
  <si>
    <t xml:space="preserve">Thượng nguồn cầu Mỹ Thuận</t>
  </si>
  <si>
    <t xml:space="preserve">Tân Ngãi / Hòa Hưng (Cầu Mỹ Thuận)</t>
  </si>
  <si>
    <t xml:space="preserve">Trạm Thủy văn Mỹ Thuận</t>
  </si>
  <si>
    <t xml:space="preserve">Water Level (m), Discharge (m3/s), Salinity (g/l)</t>
  </si>
  <si>
    <t xml:space="preserve">Trạm thủy văn quốc gia kiểm soát biên thượng nguồn khu vực Tiền Giang – Đồng Tháp</t>
  </si>
  <si>
    <t xml:space="preserve">MRC_VN_019803</t>
  </si>
  <si>
    <t xml:space="preserve">Trạm MRC Tân Châu (Sông Tiền)</t>
  </si>
  <si>
    <t xml:space="preserve">MRC_WQ_STATION</t>
  </si>
  <si>
    <t xml:space="preserve">Biên thượng nguồn ĐBSCL</t>
  </si>
  <si>
    <t xml:space="preserve">TX. Tân Châu, An Giang (giáp Hồng Ngự, Đồng Tháp)</t>
  </si>
  <si>
    <t xml:space="preserve">Trạm Tân Châu - Sông Tiền (MRC)</t>
  </si>
  <si>
    <t xml:space="preserve">EXACT_MRC_PORTAL</t>
  </si>
  <si>
    <t xml:space="preserve">Electrical Conductivity EC (mS/m), Water Level (m)</t>
  </si>
  <si>
    <t xml:space="preserve">Chuỗi EC lịch sử 1985–12/2023 (464 bản ghi trong CSDL hiện tại của nhóm)</t>
  </si>
  <si>
    <t xml:space="preserve">MRC_VN_019805</t>
  </si>
  <si>
    <t xml:space="preserve">Trạm MRC Mỹ Tho (Sông Tiền)</t>
  </si>
  <si>
    <t xml:space="preserve">Vùng cửa sông Tiền</t>
  </si>
  <si>
    <t xml:space="preserve">TP. Mỹ Tho, Tiền Giang</t>
  </si>
  <si>
    <t xml:space="preserve">Trạm Mỹ Tho - Sông Tiền (MRC)</t>
  </si>
  <si>
    <t xml:space="preserve">Chuỗi EC lịch sử 1985–12/2023 (463 bản ghi trong CSDL hiện tại của nhóm)</t>
  </si>
  <si>
    <t xml:space="preserve">ST_GC_VAMGIONG</t>
  </si>
  <si>
    <t xml:space="preserve">Trạm Nội đồng Cống Vàm Giồng</t>
  </si>
  <si>
    <t xml:space="preserve">Rạch Vàm Giồng / Kênh 14</t>
  </si>
  <si>
    <t xml:space="preserve">Xã Vĩnh Hựu, H. Gò Công Tây</t>
  </si>
  <si>
    <t xml:space="preserve">7P288G2X+995</t>
  </si>
  <si>
    <t xml:space="preserve">8G2X+995, ĐT877, Vĩnh Hựu, Gò Công Tây</t>
  </si>
  <si>
    <t xml:space="preserve">Water Level (m), Salinity 0m &amp; 200m (g/l), Rainfall (mm)</t>
  </si>
  <si>
    <t xml:space="preserve">Đo mực nước 7h00, biên độ dao động, độ mặn tại cống &amp; cách cống 200m, mưa</t>
  </si>
  <si>
    <t xml:space="preserve">ST_GC_GOCONG</t>
  </si>
  <si>
    <t xml:space="preserve">Trạm Nội đồng Cống Gò Công</t>
  </si>
  <si>
    <t xml:space="preserve">Rạch Gò Công</t>
  </si>
  <si>
    <t xml:space="preserve">Xã Long Chánh / Bình Xuân, TX. Gò Công</t>
  </si>
  <si>
    <t xml:space="preserve">7P289MP5+553</t>
  </si>
  <si>
    <t xml:space="preserve">9MP5+553, ĐT873B, Long Chánh / Bình Xuân, Gò Công</t>
  </si>
  <si>
    <t xml:space="preserve">Đo mực nước, độ mặn nội đồng và mưa tại cống đầu mối Gò Công</t>
  </si>
  <si>
    <t xml:space="preserve">ST_GC_LONGUONG</t>
  </si>
  <si>
    <t xml:space="preserve">Trạm Nội đồng Cống Long Uông</t>
  </si>
  <si>
    <t xml:space="preserve">Kênh Salisette / Rạch Long Uông</t>
  </si>
  <si>
    <t xml:space="preserve">Xã Phước Trung, H. Gò Công Đông</t>
  </si>
  <si>
    <t xml:space="preserve">7P288P66+C5H</t>
  </si>
  <si>
    <t xml:space="preserve">8P66+C5H, Phước Trung / Tân Hòa, Gò Công Đông</t>
  </si>
  <si>
    <t xml:space="preserve">Đo mực nước, độ mặn 0m/200m và mưa hàng ngày</t>
  </si>
  <si>
    <t xml:space="preserve">ST_GC_RACHBUN</t>
  </si>
  <si>
    <t xml:space="preserve">Trạm Nội đồng Cống Rạch Bùn</t>
  </si>
  <si>
    <t xml:space="preserve">Kênh Trần Văn Dõng</t>
  </si>
  <si>
    <t xml:space="preserve">Xã Tân Điền, H. Gò Công Đông</t>
  </si>
  <si>
    <t xml:space="preserve">7P289Q5G+Q7G</t>
  </si>
  <si>
    <t xml:space="preserve">9Q5G+Q7G, Tân Điền, Gò Công Đông</t>
  </si>
  <si>
    <t xml:space="preserve">ST_GC_RAMVE</t>
  </si>
  <si>
    <t xml:space="preserve">Trạm Nội đồng Cống Rầm Vé</t>
  </si>
  <si>
    <t xml:space="preserve">Rạch Rầm Vé</t>
  </si>
  <si>
    <t xml:space="preserve">Xã Bình Xuân, TX. Gò Công</t>
  </si>
  <si>
    <t xml:space="preserve">7P28CJ5W+476</t>
  </si>
  <si>
    <t xml:space="preserve">CJ5W+476, Bình Xuân, Gò Công</t>
  </si>
  <si>
    <t xml:space="preserve">ST_GC_SO3ST</t>
  </si>
  <si>
    <t xml:space="preserve">Trạm Nội đồng Cống Số 3 (Sông Tra)</t>
  </si>
  <si>
    <t xml:space="preserve">Rạch Kiến / Sông Tra</t>
  </si>
  <si>
    <t xml:space="preserve">Xã Đồng Sơn, H. Gò Công Tây</t>
  </si>
  <si>
    <t xml:space="preserve">Đo mực nước, độ mặn 0m/200m và mưa tại Cống lớn Số 3 Sông Tra</t>
  </si>
  <si>
    <t xml:space="preserve">ST_GC_SO4ST</t>
  </si>
  <si>
    <t xml:space="preserve">Trạm Nội đồng Cống Số 4 (Sông Tra)</t>
  </si>
  <si>
    <t xml:space="preserve">Rạch Hươu / Sông Tra</t>
  </si>
  <si>
    <t xml:space="preserve">Đo mực nước, độ mặn 0m/200m và mưa tại Cống Số 4 Sông Tra</t>
  </si>
  <si>
    <t xml:space="preserve">ST_GC_VAMTHAP</t>
  </si>
  <si>
    <t xml:space="preserve">Trạm Nội đồng Cống Vàm Tháp</t>
  </si>
  <si>
    <t xml:space="preserve">Rạch Sơn Qui - Láng Nứa</t>
  </si>
  <si>
    <t xml:space="preserve">Xã Tân Phước, H. Gò Công Đông</t>
  </si>
  <si>
    <t xml:space="preserve">7P28CMMR+2Q2</t>
  </si>
  <si>
    <t xml:space="preserve">CMMR+2Q2, Tân Phước / Tân Đông, Gò Công Đông</t>
  </si>
  <si>
    <t xml:space="preserve">ST_GC_GIATHUAN</t>
  </si>
  <si>
    <t xml:space="preserve">Trạm Nội đồng Cống Gia Thuận</t>
  </si>
  <si>
    <t xml:space="preserve">Kênh Tổng Châu - Gia Thuận</t>
  </si>
  <si>
    <t xml:space="preserve">Xã Gia Thuận, H. Gò Công Đông</t>
  </si>
  <si>
    <t xml:space="preserve">7P28CPQQ+53</t>
  </si>
  <si>
    <t xml:space="preserve">CPQQ+53, Gia Thuận, Gò Công Đông</t>
  </si>
  <si>
    <t xml:space="preserve">Điểm thường xuyên có độ mặn nội đồng 0,06–0,38 g/l do sát sông Soài Rạp</t>
  </si>
  <si>
    <t xml:space="preserve">ST_GC_RACHGIA</t>
  </si>
  <si>
    <t xml:space="preserve">Trạm Nội đồng Cống Rạch Giá / Rạch Già</t>
  </si>
  <si>
    <t xml:space="preserve">Rạch Giá / Rạch Già</t>
  </si>
  <si>
    <t xml:space="preserve">Xã Tân Trung / Phước Trung, Gò Công</t>
  </si>
  <si>
    <t xml:space="preserve">7P288M66+MMW</t>
  </si>
  <si>
    <t xml:space="preserve">8M66+MMW, Phước Trung, Gò Công Đông</t>
  </si>
  <si>
    <t xml:space="preserve">ST_GC_CONG862</t>
  </si>
  <si>
    <t xml:space="preserve">Trạm Nội đồng Cống 862 (Nam)</t>
  </si>
  <si>
    <t xml:space="preserve">CANAL_INTERIOR</t>
  </si>
  <si>
    <t xml:space="preserve">Kênh ĐT.862</t>
  </si>
  <si>
    <t xml:space="preserve">Xã Thạnh Trị / Tân Thành, Gò Công</t>
  </si>
  <si>
    <t xml:space="preserve">7P287QRH+FJ6</t>
  </si>
  <si>
    <t xml:space="preserve">7QRH+FJ6, ĐT862, Tân Thành, Gò Công Đông</t>
  </si>
  <si>
    <t xml:space="preserve">Water Level (m), Salinity (g/l), Rainfall (mm)</t>
  </si>
  <si>
    <t xml:space="preserve">Đo mực nước 7h00, độ mặn và mưa hàng ngày</t>
  </si>
  <si>
    <t xml:space="preserve">ST_GC_CAUHL2</t>
  </si>
  <si>
    <t xml:space="preserve">Trạm Nội đồng Cầu Hương Lộ 2</t>
  </si>
  <si>
    <t xml:space="preserve">Kênh Hương Lộ 2</t>
  </si>
  <si>
    <t xml:space="preserve">H. Gò Công Đông</t>
  </si>
  <si>
    <t xml:space="preserve">Hương lộ 2, Gò Công Đông</t>
  </si>
  <si>
    <t xml:space="preserve">Water Level (m), Salinity (g/l)</t>
  </si>
  <si>
    <t xml:space="preserve">Đo mực nước 7h00 và độ mặn nội đồng hàng ngày</t>
  </si>
  <si>
    <t xml:space="preserve">ST_GC_CAUTANTHANH</t>
  </si>
  <si>
    <t xml:space="preserve">Trạm Nội đồng Cầu Tân Thành</t>
  </si>
  <si>
    <t xml:space="preserve">Kênh Champeaux - Tân Thành</t>
  </si>
  <si>
    <t xml:space="preserve">Đo mực nước 7h00 và độ mặn nội đồng (thường ở mức 0,30 g/l)</t>
  </si>
  <si>
    <t xml:space="preserve">ST_BD_GOCAT</t>
  </si>
  <si>
    <t xml:space="preserve">Trạm Nội đồng Cống Gò Cát</t>
  </si>
  <si>
    <t xml:space="preserve">Rạch Gò Cát</t>
  </si>
  <si>
    <t xml:space="preserve">Dự án Bảo Định</t>
  </si>
  <si>
    <t xml:space="preserve">Phường 3 / Xã Mỹ Phong, TP. Mỹ Tho</t>
  </si>
  <si>
    <t xml:space="preserve">Phường 3 / Mỹ Phong, TP. Mỹ Tho</t>
  </si>
  <si>
    <t xml:space="preserve">Đo mực nước, trạng thái lấy/xả, độ mặn và mưa hàng ngày</t>
  </si>
  <si>
    <t xml:space="preserve">ST_BD_BAODINH</t>
  </si>
  <si>
    <t xml:space="preserve">Trạm Nội đồng Cống Bảo Định</t>
  </si>
  <si>
    <t xml:space="preserve">Rạch Bảo Định</t>
  </si>
  <si>
    <t xml:space="preserve">Phường 10 / Xã Đạo Thạnh, TP. Mỹ Tho</t>
  </si>
  <si>
    <t xml:space="preserve">7P2898GV+MP3</t>
  </si>
  <si>
    <t xml:space="preserve">98GV+MP3, QL50, Phường 10 / Đạo Thạnh, Mỹ Tho</t>
  </si>
  <si>
    <t xml:space="preserve">Cống đầu mối Bảo Định; đo biên độ mực nước, độ mặn và mưa hàng ngày</t>
  </si>
  <si>
    <t xml:space="preserve">ST_BD_DANGHUNGPHUOC</t>
  </si>
  <si>
    <t xml:space="preserve">Trạm Nội đồng Đăng Hưng Phước</t>
  </si>
  <si>
    <t xml:space="preserve">Rạch Gò Cát - Hóc Lựu - Ông Văn</t>
  </si>
  <si>
    <t xml:space="preserve">Xã Đăng Hưng Phước, H. Chợ Gạo</t>
  </si>
  <si>
    <t xml:space="preserve">7P289C7J+HP</t>
  </si>
  <si>
    <t xml:space="preserve">9C7J+HP, Đăng Hưng Phước, Chợ Gạo</t>
  </si>
  <si>
    <t xml:space="preserve">ST_BD_TANTHUANBINH</t>
  </si>
  <si>
    <t xml:space="preserve">Trạm Nội đồng Cống Tân Thuận Bình</t>
  </si>
  <si>
    <t xml:space="preserve">Rạch Ông Văn - Tân Thuận Bình</t>
  </si>
  <si>
    <t xml:space="preserve">Xã Tân Thuận Bình, H. Chợ Gạo</t>
  </si>
  <si>
    <t xml:space="preserve">7P289FR4+62P</t>
  </si>
  <si>
    <t xml:space="preserve">9FR4+62P, Tân Thuận Bình, Chợ Gạo</t>
  </si>
  <si>
    <t xml:space="preserve">Đo mực nước, trạng thái xả, độ mặn 0m/200m và mưa hàng ngày</t>
  </si>
  <si>
    <t xml:space="preserve">ST_BD_HOATINH</t>
  </si>
  <si>
    <t xml:space="preserve">Trạm Nội đồng Hòa Tịnh</t>
  </si>
  <si>
    <t xml:space="preserve">Rạch Bảo Định / Ông Đạo - Cổ Chi</t>
  </si>
  <si>
    <t xml:space="preserve">Xã Hòa Tịnh, H. Chợ Gạo</t>
  </si>
  <si>
    <t xml:space="preserve">7P28F96M+836</t>
  </si>
  <si>
    <t xml:space="preserve">F96M+836, Hòa Tịnh / Mỹ Tịnh An, Chợ Gạo</t>
  </si>
  <si>
    <t xml:space="preserve">ST_BD_COCHI</t>
  </si>
  <si>
    <t xml:space="preserve">Trạm Nội đồng Cổ Chi</t>
  </si>
  <si>
    <t xml:space="preserve">Rạch Ông Đạo - Cổ Chi</t>
  </si>
  <si>
    <t xml:space="preserve">Xã Tân Mỹ Chánh / Tân Hương</t>
  </si>
  <si>
    <t xml:space="preserve">7P28994P+7R7</t>
  </si>
  <si>
    <t xml:space="preserve">994P+7R7, Tân Mỹ Chánh, Mỹ Tho</t>
  </si>
  <si>
    <t xml:space="preserve">DT_WQ_TIEN_CHAUTHANH</t>
  </si>
  <si>
    <t xml:space="preserve">Điểm Quan trắc Sông Tiền - H. Châu Thành (Đồng Tháp)</t>
  </si>
  <si>
    <t xml:space="preserve">WQ_EC_SALINITY_SITE</t>
  </si>
  <si>
    <t xml:space="preserve">Vùng nuôi thủy sản Đồng Tháp</t>
  </si>
  <si>
    <t xml:space="preserve">Xã An Nhơn / An Hiệp, H. Châu Thành, Đồng Tháp</t>
  </si>
  <si>
    <t xml:space="preserve">Sông Tiền - H. Châu Thành, Đồng Tháp</t>
  </si>
  <si>
    <t xml:space="preserve">Salinity (‰), EC (µS/cm), DO, pH, kH, NH4+, PO43-, COD, H2S</t>
  </si>
  <si>
    <t xml:space="preserve">Điểm quan trắc cố định của Sở NN&amp;MT Đồng Tháp &amp; RIA2 trên sông Tiền</t>
  </si>
  <si>
    <t xml:space="preserve">DT_WQ_HAU_LAIVUNG</t>
  </si>
  <si>
    <t xml:space="preserve">Điểm Quan trắc Sông Hậu - H. Lai Vung (Đồng Tháp)</t>
  </si>
  <si>
    <t xml:space="preserve">Sông Hậu</t>
  </si>
  <si>
    <t xml:space="preserve">Xã Phong Hòa / Định Hòa, H. Lai Vung, Đồng Tháp</t>
  </si>
  <si>
    <t xml:space="preserve">Sông Hậu - H. Lai Vung, Đồng Tháp</t>
  </si>
  <si>
    <t xml:space="preserve">Điểm quan trắc cố định của Sở NN&amp;MT Đồng Tháp &amp; RIA2 trên sông Hậu</t>
  </si>
  <si>
    <t xml:space="preserve">DT_WQ_TAMNONG_TCS1</t>
  </si>
  <si>
    <t xml:space="preserve">Điểm Quan trắc Kênh Tân Công Sính 1 &amp; Kênh Phèn (Tam Nông)</t>
  </si>
  <si>
    <t xml:space="preserve">Kênh Tân Công Sính 1 / Kênh Phèn</t>
  </si>
  <si>
    <t xml:space="preserve">H. Tam Nông, Đồng Tháp</t>
  </si>
  <si>
    <t xml:space="preserve">Kênh Tân Công Sính 1, H. Tam Nông</t>
  </si>
  <si>
    <t xml:space="preserve">Salinity (‰), EC (µS/cm), DO, pH, kH, H2S, PO43-, COD</t>
  </si>
  <si>
    <t xml:space="preserve">Ghi nhận độ mặn nội đồng 0,05–0,21 ‰ trong mùa khô 2024–2025</t>
  </si>
  <si>
    <t xml:space="preserve">DT_WQ_TIEN_CAOLANH</t>
  </si>
  <si>
    <t xml:space="preserve">Điểm Quan trắc Sông Tiền - Xã Tân Thuận Tây (TP. Cao Lãnh)</t>
  </si>
  <si>
    <t xml:space="preserve">Vùng nuôi cá tra Đồng Tháp (RIA2)</t>
  </si>
  <si>
    <t xml:space="preserve">Xã Tân Thuận Tây, TP. Cao Lãnh, Đồng Tháp</t>
  </si>
  <si>
    <t xml:space="preserve">Xã Tân Thuận Tây, TP. Cao Lãnh</t>
  </si>
  <si>
    <t xml:space="preserve">EC (µS/cm), Temp, pH, DO, Alkalinity, TAN, NO2-, PO43-, COD, TSS</t>
  </si>
  <si>
    <t xml:space="preserve">1 trong 10 trạm quan trắc môi trường vùng nuôi cá tra của Viện NCNT Thủy sản II (RIA2)</t>
  </si>
  <si>
    <t xml:space="preserve">DT_WQ_TIEN_HONGNGU</t>
  </si>
  <si>
    <t xml:space="preserve">Điểm Quan trắc Sông Tiền - Xã Long Thuận &amp; Phú Thuận B (Hồng Ngự)</t>
  </si>
  <si>
    <t xml:space="preserve">Sông Tiền / Sông Sở Thượng</t>
  </si>
  <si>
    <t xml:space="preserve">H. Hồng Ngự &amp; TP. Hồng Ngự, Đồng Tháp</t>
  </si>
  <si>
    <t xml:space="preserve">Xã Long Thuận / Phú Thuận B, Hồng Ngự</t>
  </si>
  <si>
    <t xml:space="preserve">EC (µS/cm), Temp, pH, DO, Alkalinity, H2S, COD</t>
  </si>
  <si>
    <t xml:space="preserve">Trạm kiểm soát chất lượng nước đầu nguồn sông Tiền tại Đồng Tháp (RIA2 &amp; Sở NN&amp;MT)</t>
  </si>
  <si>
    <t xml:space="preserve">ST_TIEN_HOADINH</t>
  </si>
  <si>
    <t xml:space="preserve">Trạm Bến đò Hòa Định (Sông Tiền - Chợ Gạo)</t>
  </si>
  <si>
    <t xml:space="preserve">Dự án Gò Công / Bảo Định</t>
  </si>
  <si>
    <t xml:space="preserve">Xã Hòa Định, H. Chợ Gạo</t>
  </si>
  <si>
    <t xml:space="preserve">Cách cửa sông Tiền 35 km</t>
  </si>
  <si>
    <t xml:space="preserve">Salinity Daily Max (g/l)</t>
  </si>
  <si>
    <t xml:space="preserve">Trạm đo mặn mùa khô cố định của KTCTTL Tiền Giang (35 km)</t>
  </si>
  <si>
    <t xml:space="preserve">ST_TIEN_TANMYCHANH</t>
  </si>
  <si>
    <t xml:space="preserve">Trạm Vàm Tân Mỹ Chánh (Sông Tiền - Mỹ Tho)</t>
  </si>
  <si>
    <t xml:space="preserve">Xã Tân Mỹ Chánh, TP. Mỹ Tho</t>
  </si>
  <si>
    <t xml:space="preserve">Cách cửa sông Tiền 44 km</t>
  </si>
  <si>
    <t xml:space="preserve">Trạm đo mặn mùa khô cố định của KTCTTL Tiền Giang (44 km)</t>
  </si>
  <si>
    <t xml:space="preserve">ST_TIEN_THOILOC</t>
  </si>
  <si>
    <t xml:space="preserve">Trạm Phà Thới Lộc (Sông Tiền / Năm Thôn - Cai Lậy)</t>
  </si>
  <si>
    <t xml:space="preserve">Sông Tiền (Nhánh Năm Thôn)</t>
  </si>
  <si>
    <t xml:space="preserve">Tỉnh lộ 864 / Cai Lậy</t>
  </si>
  <si>
    <t xml:space="preserve">Xã Ngũ Hiệp / Tam Bình, H. Cai Lậy</t>
  </si>
  <si>
    <t xml:space="preserve">Bến phà Thới Lộc, Cai Lậy</t>
  </si>
  <si>
    <t xml:space="preserve">Điểm kiểm soát mặn mùa khô 2024 tại Cai Lậy (đỉnh 11/03/2024: 0,25 g/l)</t>
  </si>
  <si>
    <t xml:space="preserve">ST_GC_SO1ST</t>
  </si>
  <si>
    <t xml:space="preserve">Trạm Cống Số 1 (Sông Tra / Soài Rạp)</t>
  </si>
  <si>
    <t xml:space="preserve">Sông Soài Rạp / Sông Tra</t>
  </si>
  <si>
    <t xml:space="preserve">Cách cửa Soài Rạp 55 km</t>
  </si>
  <si>
    <t xml:space="preserve">Trạm đo mặn mùa khô cố định của KTCTTL Tiền Giang (55 km)</t>
  </si>
  <si>
    <t xml:space="preserve">ST_CHOGAO_CAUCHOGAO</t>
  </si>
  <si>
    <t xml:space="preserve">Trạm Cầu Chợ Gạo (Kênh Chợ Gạo)</t>
  </si>
  <si>
    <t xml:space="preserve">Kênh Chợ Gạo</t>
  </si>
  <si>
    <t xml:space="preserve">TT. Chợ Gạo, H. Chợ Gạo</t>
  </si>
  <si>
    <t xml:space="preserve">7P289F36+3FC</t>
  </si>
  <si>
    <t xml:space="preserve">Cách cửa Soài Rạp 60 km</t>
  </si>
  <si>
    <t xml:space="preserve">Trạm đo mặn mùa khô cố định của KTCTTL Tiền Giang (60 km)</t>
  </si>
  <si>
    <t xml:space="preserve">ST_CHOGAO_XUANDONG</t>
  </si>
  <si>
    <t xml:space="preserve">Trạm Bến đò Xuân Đông (Kênh Chợ Gạo / Sông Tiền)</t>
  </si>
  <si>
    <t xml:space="preserve">Kênh Chợ Gạo / Sông Tiền</t>
  </si>
  <si>
    <t xml:space="preserve">Xã Xuân Đông, H. Chợ Gạo</t>
  </si>
  <si>
    <t xml:space="preserve">Cách cửa Soài Rạp 66 km</t>
  </si>
  <si>
    <t xml:space="preserve">Trạm đo mặn mùa khô cố định của KTCTTL Tiền Giang (66 km)</t>
  </si>
  <si>
    <t xml:space="preserve">ST_HAMLUONG_MYHOA</t>
  </si>
  <si>
    <t xml:space="preserve">Trạm Mỹ Hóa (Sông Hàm Luông - Bến Tre)</t>
  </si>
  <si>
    <t xml:space="preserve">Biên đối chứng Sông Hàm Luông</t>
  </si>
  <si>
    <t xml:space="preserve">TP. Bến Tre (45 km)</t>
  </si>
  <si>
    <t xml:space="preserve">Cách cửa Hàm Luông 45 km</t>
  </si>
  <si>
    <t xml:space="preserve">Trạm biên đối chứng trong bảng Thông báo mặn KTCTTL Tiền Giang</t>
  </si>
  <si>
    <t xml:space="preserve">ST_HAMLUONG_ANHIEP</t>
  </si>
  <si>
    <t xml:space="preserve">Trạm An Hiệp (Sông Hàm Luông - Châu Thành BT)</t>
  </si>
  <si>
    <t xml:space="preserve">H. Châu Thành, Bến Tre (55 km)</t>
  </si>
  <si>
    <t xml:space="preserve">Cách cửa Hàm Luông 55 km</t>
  </si>
  <si>
    <t xml:space="preserve">ST_HAMLUONG_CHOLACH</t>
  </si>
  <si>
    <t xml:space="preserve">Trạm Chợ Lách (Sông Hàm Luông / Cổ Chiên)</t>
  </si>
  <si>
    <t xml:space="preserve">Biên thượng lưu Cai Lậy - Chợ Lách</t>
  </si>
  <si>
    <t xml:space="preserve">TT. Chợ Lách</t>
  </si>
  <si>
    <t xml:space="preserve">Đối diện H. Cai Lậy</t>
  </si>
  <si>
    <t xml:space="preserve">Kiểm soát mặn nhánh Hàm Luông - Năm Thôn sang vùng sầu riêng Cai Lậy</t>
  </si>
  <si>
    <t xml:space="preserve">ST_VAMCO_CAUTANAN</t>
  </si>
  <si>
    <t xml:space="preserve">Trạm Cầu Tân An (Sông Vàm Cỏ Tây)</t>
  </si>
  <si>
    <t xml:space="preserve">Sông Vàm Cỏ Tây</t>
  </si>
  <si>
    <t xml:space="preserve">Biên đối chứng Vàm Cỏ Tây - Bảo Định</t>
  </si>
  <si>
    <t xml:space="preserve">TP. Tân An (75 km)</t>
  </si>
  <si>
    <t xml:space="preserve">Cách cửa Soài Rạp 75 km</t>
  </si>
  <si>
    <t xml:space="preserve">Trạm biên đối chứng phía Bắc kênh Bảo Định</t>
  </si>
  <si>
    <t xml:space="preserve">ST_SONGTRA_SONGCUI</t>
  </si>
  <si>
    <t xml:space="preserve">Trạm Cống Sông Cui (Sông Tra - Giáp Gò Công)</t>
  </si>
  <si>
    <t xml:space="preserve">Sông Tra (Vàm Cỏ)</t>
  </si>
  <si>
    <t xml:space="preserve">Biên vận hành Bắc Gò Công (Mục V)</t>
  </si>
  <si>
    <t xml:space="preserve">Giáp Gò Công Tây (36 km)</t>
  </si>
  <si>
    <t xml:space="preserve">Cách cửa Soài Rạp 36 km</t>
  </si>
  <si>
    <t xml:space="preserve">Salinity Daily Max (g/l), Gate Status</t>
  </si>
  <si>
    <t xml:space="preserve">Công trình biên theo dõi tại Mục V báo cáo vận hành KTCTTL Tiền Giang</t>
  </si>
  <si>
    <t xml:space="preserve">ST_SONGTRA_TAMVU</t>
  </si>
  <si>
    <t xml:space="preserve">Trạm Cống Tầm Vu (Sông Tra - Giáp Gò Công)</t>
  </si>
  <si>
    <t xml:space="preserve">Giáp Gò Công Tây (43 km)</t>
  </si>
  <si>
    <t xml:space="preserve">Cách cửa Soài Rạp 43 km</t>
  </si>
  <si>
    <t xml:space="preserve">ST_VAMCO_RACHCHANH</t>
  </si>
  <si>
    <t xml:space="preserve">Trạm Cống Âu Rạch Chanh (Vàm Cỏ Tây - Chợ Gạo)</t>
  </si>
  <si>
    <t xml:space="preserve">Sông Vàm Cỏ Tây / Kênh Rạch Chanh</t>
  </si>
  <si>
    <t xml:space="preserve">Biên vận hành Bảo Định - Chợ Gạo (Mục V)</t>
  </si>
  <si>
    <t xml:space="preserve">Giáp Chợ Gạo (54 km)</t>
  </si>
  <si>
    <t xml:space="preserve">Cách cửa Soài Rạp 54 km</t>
  </si>
  <si>
    <t xml:space="preserve">03. CHUỖI QUAN TRẮC ĐỘ MẶN TRÊN SÔNG ĐA NĂM (2016, 2020, 2024, 2025, 2026) &amp; CHUỖI LIÊN TỤC THEO NGÀY/TRIỀU</t>
  </si>
  <si>
    <t xml:space="preserve">Mở rộng từ 106 bản ghi (v2) lên 474 bản ghi thực đo xác thực từ Công ty KTCTTL Tiền Giang, BCH PCTT và Đài KTTV</t>
  </si>
  <si>
    <t xml:space="preserve">Mã bản ghi</t>
  </si>
  <si>
    <t xml:space="preserve">Tên trạm đo</t>
  </si>
  <si>
    <t xml:space="preserve">Sông / Tuyến đo</t>
  </si>
  <si>
    <t xml:space="preserve">Ngày quan trắc</t>
  </si>
  <si>
    <t xml:space="preserve">Giờ / Kỳ đo</t>
  </si>
  <si>
    <t xml:space="preserve">Chế độ đo (measurement_regime)</t>
  </si>
  <si>
    <t xml:space="preserve">Độ mặn (g/l)</t>
  </si>
  <si>
    <t xml:space="preserve">Chênh lệch kỳ trước (g/l)</t>
  </si>
  <si>
    <t xml:space="preserve">URL bản tin gốc</t>
  </si>
  <si>
    <t xml:space="preserve">Ghi chú &amp; Phương pháp xác thực</t>
  </si>
  <si>
    <t xml:space="preserve">SAL_RIV_001</t>
  </si>
  <si>
    <t xml:space="preserve">Cầu Chợ Gạo (Kênh Chợ Gạo 60km)</t>
  </si>
  <si>
    <t xml:space="preserve">2016-02-15</t>
  </si>
  <si>
    <t xml:space="preserve">DAILY_MAX</t>
  </si>
  <si>
    <t xml:space="preserve">HIST_MATCHED_DAY_2016</t>
  </si>
  <si>
    <t xml:space="preserve">Độ mặn thực đo cùng kỳ 15/02/2016 (S_2026=1.20, Δ_2016=-0.20)</t>
  </si>
  <si>
    <t xml:space="preserve">SAL_RIV_002</t>
  </si>
  <si>
    <t xml:space="preserve">Bến đò Xuân Đông (Kênh Chợ Gạo 66km)</t>
  </si>
  <si>
    <t xml:space="preserve">Độ mặn thực đo cùng kỳ 15/02/2016 (S_2026=0.95, Δ_2016=-0.55)</t>
  </si>
  <si>
    <t xml:space="preserve">SAL_RIV_003</t>
  </si>
  <si>
    <t xml:space="preserve">Cống Số 1 (Sông Soài Rạp - Sông Tra 55km)</t>
  </si>
  <si>
    <t xml:space="preserve">Độ mặn thực đo cùng kỳ 15/02/2016 (S_2026=1.20, Δ_2016=-1.32)</t>
  </si>
  <si>
    <t xml:space="preserve">SAL_RIV_004</t>
  </si>
  <si>
    <t xml:space="preserve">Cống Số 3 (Sông Soài Rạp - Sông Tra 45km)</t>
  </si>
  <si>
    <t xml:space="preserve">Độ mặn thực đo cùng kỳ 15/02/2016 (S_2026=4.83, Δ_2016=+1.07)</t>
  </si>
  <si>
    <t xml:space="preserve">SAL_RIV_005</t>
  </si>
  <si>
    <t xml:space="preserve">Cống Vàm Giồng (Sông Tiền 25km)</t>
  </si>
  <si>
    <t xml:space="preserve">Độ mặn thực đo cùng kỳ 15/02/2016 (S_2026=4.08, Δ_2016=+0.72)</t>
  </si>
  <si>
    <t xml:space="preserve">SAL_RIV_006</t>
  </si>
  <si>
    <t xml:space="preserve">An Hiệp (Sông Hàm Luông 55km)</t>
  </si>
  <si>
    <t xml:space="preserve">Độ mặn thực đo cùng kỳ 15/02/2016 (S_2026=1.00, Δ_2016=-2.30)</t>
  </si>
  <si>
    <t xml:space="preserve">SAL_RIV_007</t>
  </si>
  <si>
    <t xml:space="preserve">Mỹ Hóa (Sông Hàm Luông 45km)</t>
  </si>
  <si>
    <t xml:space="preserve">Độ mặn thực đo cùng kỳ 15/02/2016 (S_2026=3.00, Δ_2016=-2.30)</t>
  </si>
  <si>
    <t xml:space="preserve">SAL_RIV_008</t>
  </si>
  <si>
    <t xml:space="preserve">Công viên Thủ Khoa Huân / Lạc Hồng (46km)</t>
  </si>
  <si>
    <t xml:space="preserve">Độ mặn thực đo cùng kỳ 15/02/2016 (S_2026=0.00, Δ_2016=-1.40)</t>
  </si>
  <si>
    <t xml:space="preserve">SAL_RIV_009</t>
  </si>
  <si>
    <t xml:space="preserve">Bến đò Hòa Định (Sông Tiền 35km)</t>
  </si>
  <si>
    <t xml:space="preserve">Độ mặn thực đo cùng kỳ 15/02/2016 (S_2026=4.60, Δ_2016=+2.20)</t>
  </si>
  <si>
    <t xml:space="preserve">SAL_RIV_010</t>
  </si>
  <si>
    <t xml:space="preserve">Vàm Tân Mỹ Chánh (Sông Tiền 44km)</t>
  </si>
  <si>
    <t xml:space="preserve">Độ mặn thực đo cùng kỳ 15/02/2016 (S_2026=0.20, Δ_2016=-1.70)</t>
  </si>
  <si>
    <t xml:space="preserve">SAL_RIV_011</t>
  </si>
  <si>
    <t xml:space="preserve">Cống Xuân Hòa (Sông Tiền 42km)</t>
  </si>
  <si>
    <t xml:space="preserve">Độ mặn thực đo cùng kỳ 15/02/2016 (S_2026=1.51, Δ_2016=-0.54)</t>
  </si>
  <si>
    <t xml:space="preserve">SAL_RIV_012</t>
  </si>
  <si>
    <t xml:space="preserve">Cầu Tân An (Sông Vàm Cỏ Tây 75km)</t>
  </si>
  <si>
    <t xml:space="preserve">Độ mặn thực đo cùng kỳ 15/02/2016 (S_2026=0.20, Δ_2016=-1.25)</t>
  </si>
  <si>
    <t xml:space="preserve">SAL_RIV_013</t>
  </si>
  <si>
    <t xml:space="preserve">2016-05-11</t>
  </si>
  <si>
    <t xml:space="preserve">http://thuyloitiengiang.vn/web/thuyloitiengiang/chi-tiet-tin-tuc?id=455328</t>
  </si>
  <si>
    <t xml:space="preserve">Chuỗi độ mặn thực đo liên tục cùng kỳ 2016-05-11</t>
  </si>
  <si>
    <t xml:space="preserve">SAL_RIV_014</t>
  </si>
  <si>
    <t xml:space="preserve">SAL_RIV_015</t>
  </si>
  <si>
    <t xml:space="preserve">SAL_RIV_016</t>
  </si>
  <si>
    <t xml:space="preserve">SAL_RIV_017</t>
  </si>
  <si>
    <t xml:space="preserve">SAL_RIV_018</t>
  </si>
  <si>
    <t xml:space="preserve">SAL_RIV_019</t>
  </si>
  <si>
    <t xml:space="preserve">SAL_RIV_020</t>
  </si>
  <si>
    <t xml:space="preserve">SAL_RIV_021</t>
  </si>
  <si>
    <t xml:space="preserve">SAL_RIV_022</t>
  </si>
  <si>
    <t xml:space="preserve">SAL_RIV_023</t>
  </si>
  <si>
    <t xml:space="preserve">Cầu Trường Chính Trị (49km)</t>
  </si>
  <si>
    <t xml:space="preserve">SAL_RIV_024</t>
  </si>
  <si>
    <t xml:space="preserve">SAL_RIV_025</t>
  </si>
  <si>
    <t xml:space="preserve">SAL_RIV_026</t>
  </si>
  <si>
    <t xml:space="preserve">2016-05-12</t>
  </si>
  <si>
    <t xml:space="preserve">http://thuyloitiengiang.vn/web/thuyloitiengiang/chi-tiet-tin-tuc?id=455332</t>
  </si>
  <si>
    <t xml:space="preserve">Chuỗi độ mặn thực đo liên tục cùng kỳ 2016-05-12</t>
  </si>
  <si>
    <t xml:space="preserve">SAL_RIV_027</t>
  </si>
  <si>
    <t xml:space="preserve">SAL_RIV_028</t>
  </si>
  <si>
    <t xml:space="preserve">SAL_RIV_029</t>
  </si>
  <si>
    <t xml:space="preserve">SAL_RIV_030</t>
  </si>
  <si>
    <t xml:space="preserve">SAL_RIV_031</t>
  </si>
  <si>
    <t xml:space="preserve">SAL_RIV_032</t>
  </si>
  <si>
    <t xml:space="preserve">SAL_RIV_033</t>
  </si>
  <si>
    <t xml:space="preserve">SAL_RIV_034</t>
  </si>
  <si>
    <t xml:space="preserve">SAL_RIV_035</t>
  </si>
  <si>
    <t xml:space="preserve">SAL_RIV_036</t>
  </si>
  <si>
    <t xml:space="preserve">SAL_RIV_037</t>
  </si>
  <si>
    <t xml:space="preserve">SAL_RIV_038</t>
  </si>
  <si>
    <t xml:space="preserve">SAL_RIV_039</t>
  </si>
  <si>
    <t xml:space="preserve">2016-05-13</t>
  </si>
  <si>
    <t xml:space="preserve">http://thuyloitiengiang.vn/web/thuyloitiengiang/chi-tiet-tin-tuc?id=455336</t>
  </si>
  <si>
    <t xml:space="preserve">Chuỗi độ mặn thực đo liên tục cùng kỳ 2016-05-13</t>
  </si>
  <si>
    <t xml:space="preserve">SAL_RIV_040</t>
  </si>
  <si>
    <t xml:space="preserve">SAL_RIV_041</t>
  </si>
  <si>
    <t xml:space="preserve">SAL_RIV_042</t>
  </si>
  <si>
    <t xml:space="preserve">SAL_RIV_043</t>
  </si>
  <si>
    <t xml:space="preserve">SAL_RIV_044</t>
  </si>
  <si>
    <t xml:space="preserve">SAL_RIV_045</t>
  </si>
  <si>
    <t xml:space="preserve">SAL_RIV_046</t>
  </si>
  <si>
    <t xml:space="preserve">SAL_RIV_047</t>
  </si>
  <si>
    <t xml:space="preserve">SAL_RIV_048</t>
  </si>
  <si>
    <t xml:space="preserve">SAL_RIV_049</t>
  </si>
  <si>
    <t xml:space="preserve">SAL_RIV_050</t>
  </si>
  <si>
    <t xml:space="preserve">SAL_RIV_051</t>
  </si>
  <si>
    <t xml:space="preserve">SAL_RIV_052</t>
  </si>
  <si>
    <t xml:space="preserve">2016-05-14</t>
  </si>
  <si>
    <t xml:space="preserve">http://thuyloitiengiang.vn/web/thuyloitiengiang/chi-tiet-tin-tuc?id=455412</t>
  </si>
  <si>
    <t xml:space="preserve">Chuỗi độ mặn thực đo liên tục cùng kỳ 2016-05-14</t>
  </si>
  <si>
    <t xml:space="preserve">SAL_RIV_053</t>
  </si>
  <si>
    <t xml:space="preserve">SAL_RIV_054</t>
  </si>
  <si>
    <t xml:space="preserve">SAL_RIV_055</t>
  </si>
  <si>
    <t xml:space="preserve">SAL_RIV_056</t>
  </si>
  <si>
    <t xml:space="preserve">SAL_RIV_057</t>
  </si>
  <si>
    <t xml:space="preserve">SAL_RIV_058</t>
  </si>
  <si>
    <t xml:space="preserve">SAL_RIV_059</t>
  </si>
  <si>
    <t xml:space="preserve">SAL_RIV_060</t>
  </si>
  <si>
    <t xml:space="preserve">SAL_RIV_061</t>
  </si>
  <si>
    <t xml:space="preserve">SAL_RIV_062</t>
  </si>
  <si>
    <t xml:space="preserve">SAL_RIV_063</t>
  </si>
  <si>
    <t xml:space="preserve">SAL_RIV_064</t>
  </si>
  <si>
    <t xml:space="preserve">SAL_RIV_065</t>
  </si>
  <si>
    <t xml:space="preserve">2016-05-15</t>
  </si>
  <si>
    <t xml:space="preserve">http://thuyloitiengiang.vn/web/thuyloitiengiang/chi-tiet-tin-tuc?id=455416</t>
  </si>
  <si>
    <t xml:space="preserve">Chuỗi độ mặn thực đo liên tục cùng kỳ 2016-05-15</t>
  </si>
  <si>
    <t xml:space="preserve">SAL_RIV_066</t>
  </si>
  <si>
    <t xml:space="preserve">SAL_RIV_067</t>
  </si>
  <si>
    <t xml:space="preserve">SAL_RIV_068</t>
  </si>
  <si>
    <t xml:space="preserve">SAL_RIV_069</t>
  </si>
  <si>
    <t xml:space="preserve">SAL_RIV_070</t>
  </si>
  <si>
    <t xml:space="preserve">SAL_RIV_071</t>
  </si>
  <si>
    <t xml:space="preserve">SAL_RIV_072</t>
  </si>
  <si>
    <t xml:space="preserve">SAL_RIV_073</t>
  </si>
  <si>
    <t xml:space="preserve">SAL_RIV_074</t>
  </si>
  <si>
    <t xml:space="preserve">SAL_RIV_075</t>
  </si>
  <si>
    <t xml:space="preserve">SAL_RIV_076</t>
  </si>
  <si>
    <t xml:space="preserve">SAL_RIV_077</t>
  </si>
  <si>
    <t xml:space="preserve">SAL_RIV_078</t>
  </si>
  <si>
    <t xml:space="preserve">2020-02-15</t>
  </si>
  <si>
    <t xml:space="preserve">HIST_MATCHED_DAY_2020</t>
  </si>
  <si>
    <t xml:space="preserve">Độ mặn thực đo cùng kỳ 15/02/2020 (S_2026=4.83, Δ_2020=-2.17)</t>
  </si>
  <si>
    <t xml:space="preserve">SAL_RIV_079</t>
  </si>
  <si>
    <t xml:space="preserve">Độ mặn thực đo cùng kỳ 15/02/2020 (S_2026=4.08, Δ_2020=-1.94)</t>
  </si>
  <si>
    <t xml:space="preserve">SAL_RIV_080</t>
  </si>
  <si>
    <t xml:space="preserve">Độ mặn thực đo cùng kỳ 15/02/2020 (S_2026=1.00, Δ_2020=-4.20)</t>
  </si>
  <si>
    <t xml:space="preserve">SAL_RIV_081</t>
  </si>
  <si>
    <t xml:space="preserve">Độ mặn thực đo cùng kỳ 15/02/2020 (S_2026=3.00, Δ_2020=-4.00)</t>
  </si>
  <si>
    <t xml:space="preserve">SAL_RIV_082</t>
  </si>
  <si>
    <t xml:space="preserve">Độ mặn thực đo cùng kỳ 15/02/2020 (S_2026=0.00, Δ_2020=-3.50)</t>
  </si>
  <si>
    <t xml:space="preserve">SAL_RIV_083</t>
  </si>
  <si>
    <t xml:space="preserve">Độ mặn thực đo cùng kỳ 15/02/2020 (S_2026=4.60, Δ_2020=-0.50)</t>
  </si>
  <si>
    <t xml:space="preserve">SAL_RIV_084</t>
  </si>
  <si>
    <t xml:space="preserve">Độ mặn thực đo cùng kỳ 15/02/2020 (S_2026=0.20, Δ_2020=-3.40)</t>
  </si>
  <si>
    <t xml:space="preserve">SAL_RIV_085</t>
  </si>
  <si>
    <t xml:space="preserve">Độ mặn thực đo cùng kỳ 15/02/2020 (S_2026=1.51, Δ_2020=-3.19)</t>
  </si>
  <si>
    <t xml:space="preserve">SAL_RIV_086</t>
  </si>
  <si>
    <t xml:space="preserve">Độ mặn thực đo cùng kỳ 15/02/2020 (S_2026=0.20, Δ_2020=-3.70)</t>
  </si>
  <si>
    <t xml:space="preserve">SAL_RIV_087</t>
  </si>
  <si>
    <t xml:space="preserve">2020-05-11</t>
  </si>
  <si>
    <t xml:space="preserve">Chuỗi độ mặn thực đo liên tục cùng kỳ 2020-05-11</t>
  </si>
  <si>
    <t xml:space="preserve">SAL_RIV_088</t>
  </si>
  <si>
    <t xml:space="preserve">SAL_RIV_089</t>
  </si>
  <si>
    <t xml:space="preserve">SAL_RIV_090</t>
  </si>
  <si>
    <t xml:space="preserve">SAL_RIV_091</t>
  </si>
  <si>
    <t xml:space="preserve">SAL_RIV_092</t>
  </si>
  <si>
    <t xml:space="preserve">SAL_RIV_093</t>
  </si>
  <si>
    <t xml:space="preserve">SAL_RIV_094</t>
  </si>
  <si>
    <t xml:space="preserve">SAL_RIV_095</t>
  </si>
  <si>
    <t xml:space="preserve">SAL_RIV_096</t>
  </si>
  <si>
    <t xml:space="preserve">SAL_RIV_097</t>
  </si>
  <si>
    <t xml:space="preserve">SAL_RIV_098</t>
  </si>
  <si>
    <t xml:space="preserve">2020-05-12</t>
  </si>
  <si>
    <t xml:space="preserve">Chuỗi độ mặn thực đo liên tục cùng kỳ 2020-05-12</t>
  </si>
  <si>
    <t xml:space="preserve">SAL_RIV_099</t>
  </si>
  <si>
    <t xml:space="preserve">SAL_RIV_100</t>
  </si>
  <si>
    <t xml:space="preserve">SAL_RIV_101</t>
  </si>
  <si>
    <t xml:space="preserve">SAL_RIV_102</t>
  </si>
  <si>
    <t xml:space="preserve">SAL_RIV_103</t>
  </si>
  <si>
    <t xml:space="preserve">SAL_RIV_104</t>
  </si>
  <si>
    <t xml:space="preserve">SAL_RIV_105</t>
  </si>
  <si>
    <t xml:space="preserve">SAL_RIV_106</t>
  </si>
  <si>
    <t xml:space="preserve">SAL_RIV_107</t>
  </si>
  <si>
    <t xml:space="preserve">SAL_RIV_108</t>
  </si>
  <si>
    <t xml:space="preserve">SAL_RIV_109</t>
  </si>
  <si>
    <t xml:space="preserve">2020-05-13</t>
  </si>
  <si>
    <t xml:space="preserve">Chuỗi độ mặn thực đo liên tục cùng kỳ 2020-05-13</t>
  </si>
  <si>
    <t xml:space="preserve">SAL_RIV_110</t>
  </si>
  <si>
    <t xml:space="preserve">SAL_RIV_111</t>
  </si>
  <si>
    <t xml:space="preserve">SAL_RIV_112</t>
  </si>
  <si>
    <t xml:space="preserve">SAL_RIV_113</t>
  </si>
  <si>
    <t xml:space="preserve">SAL_RIV_114</t>
  </si>
  <si>
    <t xml:space="preserve">SAL_RIV_115</t>
  </si>
  <si>
    <t xml:space="preserve">SAL_RIV_116</t>
  </si>
  <si>
    <t xml:space="preserve">SAL_RIV_117</t>
  </si>
  <si>
    <t xml:space="preserve">SAL_RIV_118</t>
  </si>
  <si>
    <t xml:space="preserve">SAL_RIV_119</t>
  </si>
  <si>
    <t xml:space="preserve">SAL_RIV_120</t>
  </si>
  <si>
    <t xml:space="preserve">2020-05-14</t>
  </si>
  <si>
    <t xml:space="preserve">Chuỗi độ mặn thực đo liên tục cùng kỳ 2020-05-14</t>
  </si>
  <si>
    <t xml:space="preserve">SAL_RIV_121</t>
  </si>
  <si>
    <t xml:space="preserve">SAL_RIV_122</t>
  </si>
  <si>
    <t xml:space="preserve">SAL_RIV_123</t>
  </si>
  <si>
    <t xml:space="preserve">SAL_RIV_124</t>
  </si>
  <si>
    <t xml:space="preserve">SAL_RIV_125</t>
  </si>
  <si>
    <t xml:space="preserve">SAL_RIV_126</t>
  </si>
  <si>
    <t xml:space="preserve">SAL_RIV_127</t>
  </si>
  <si>
    <t xml:space="preserve">SAL_RIV_128</t>
  </si>
  <si>
    <t xml:space="preserve">SAL_RIV_129</t>
  </si>
  <si>
    <t xml:space="preserve">SAL_RIV_130</t>
  </si>
  <si>
    <t xml:space="preserve">SAL_RIV_131</t>
  </si>
  <si>
    <t xml:space="preserve">2020-05-15</t>
  </si>
  <si>
    <t xml:space="preserve">Chuỗi độ mặn thực đo liên tục cùng kỳ 2020-05-15</t>
  </si>
  <si>
    <t xml:space="preserve">SAL_RIV_132</t>
  </si>
  <si>
    <t xml:space="preserve">SAL_RIV_133</t>
  </si>
  <si>
    <t xml:space="preserve">SAL_RIV_134</t>
  </si>
  <si>
    <t xml:space="preserve">SAL_RIV_135</t>
  </si>
  <si>
    <t xml:space="preserve">SAL_RIV_136</t>
  </si>
  <si>
    <t xml:space="preserve">SAL_RIV_137</t>
  </si>
  <si>
    <t xml:space="preserve">SAL_RIV_138</t>
  </si>
  <si>
    <t xml:space="preserve">SAL_RIV_139</t>
  </si>
  <si>
    <t xml:space="preserve">SAL_RIV_140</t>
  </si>
  <si>
    <t xml:space="preserve">SAL_RIV_141</t>
  </si>
  <si>
    <t xml:space="preserve">SAL_RIV_142</t>
  </si>
  <si>
    <t xml:space="preserve">Cầu Kinh Xáng (Song Thuận)</t>
  </si>
  <si>
    <t xml:space="preserve">2024-02-12</t>
  </si>
  <si>
    <t xml:space="preserve">SEASONAL_PEAK_OBS</t>
  </si>
  <si>
    <t xml:space="preserve">https://tuoitre.vn/tien-giang-man-da-xam-nhap-sau-vao-dat-lien-hon-50km-20240212110133913.htm</t>
  </si>
  <si>
    <t xml:space="preserve">Độ mặn ngày 12/02/2024 tại Cầu Kinh Xáng</t>
  </si>
  <si>
    <t xml:space="preserve">SAL_RIV_143</t>
  </si>
  <si>
    <t xml:space="preserve">Cầu Xoài Hột</t>
  </si>
  <si>
    <t xml:space="preserve">Độ mặn ngày 12/02/2024 tại Xoài Hột</t>
  </si>
  <si>
    <t xml:space="preserve">SAL_RIV_144</t>
  </si>
  <si>
    <t xml:space="preserve">Công viên Lạc Hồng (Mỹ Tho)</t>
  </si>
  <si>
    <t xml:space="preserve">Độ mặn ngày 12/02/2024 tại CV Lạc Hồng</t>
  </si>
  <si>
    <t xml:space="preserve">SAL_RIV_145</t>
  </si>
  <si>
    <t xml:space="preserve">Cầu Trường Chính Trị</t>
  </si>
  <si>
    <t xml:space="preserve">Độ mặn ngày 12/02/2024 tại Cầu Trường Chính Trị</t>
  </si>
  <si>
    <t xml:space="preserve">SAL_RIV_146</t>
  </si>
  <si>
    <t xml:space="preserve">Cống Xuân Hòa</t>
  </si>
  <si>
    <t xml:space="preserve">Độ mặn ngày 12/02/2024 tại Xuân Hòa</t>
  </si>
  <si>
    <t xml:space="preserve">SAL_RIV_147</t>
  </si>
  <si>
    <t xml:space="preserve">Cầu Kim Sơn (Châu Thành)</t>
  </si>
  <si>
    <t xml:space="preserve">2024-03-01</t>
  </si>
  <si>
    <t xml:space="preserve">https://baodongthap.vn/tien-giang-man-xam-nhap-den-khu-vuc-cau-phu-phong-huyen-chau-thanh-a57394.html</t>
  </si>
  <si>
    <t xml:space="preserve">Độ mặn tại xã Kim Sơn ngày 01/03/2024</t>
  </si>
  <si>
    <t xml:space="preserve">SAL_RIV_148</t>
  </si>
  <si>
    <t xml:space="preserve">Vượt ngưỡng 0,50 g/l tại đầu kênh Nguyễn Tấn Thành</t>
  </si>
  <si>
    <t xml:space="preserve">SAL_RIV_149</t>
  </si>
  <si>
    <t xml:space="preserve">Cầu Phú Phong (Châu Thành)</t>
  </si>
  <si>
    <t xml:space="preserve">Bắt đầu ghi nhận mặn chớm tới Phú Phong ngày 01/03/2024</t>
  </si>
  <si>
    <t xml:space="preserve">SAL_RIV_150</t>
  </si>
  <si>
    <t xml:space="preserve">Độ mặn cao nhất ngày 01/03/2024 tại Cầu Xoài Hột</t>
  </si>
  <si>
    <t xml:space="preserve">SAL_RIV_151</t>
  </si>
  <si>
    <t xml:space="preserve">Độ mặn cao nhất ngày 01/03/2024 tại Công viên Lạc Hồng</t>
  </si>
  <si>
    <t xml:space="preserve">SAL_RIV_152</t>
  </si>
  <si>
    <t xml:space="preserve">Độ mặn cao nhất ngày 01/03/2024 tại Cầu Trường Chính Trị (Bình Đức)</t>
  </si>
  <si>
    <t xml:space="preserve">SAL_RIV_153</t>
  </si>
  <si>
    <t xml:space="preserve">Độ mặn cao nhất ngày 01/03/2024 tại Cống Xuân Hòa (Chợ Gạo)</t>
  </si>
  <si>
    <t xml:space="preserve">SAL_RIV_154</t>
  </si>
  <si>
    <t xml:space="preserve">Cống Sông Cui (Sông Tra 36km)</t>
  </si>
  <si>
    <t xml:space="preserve">Sông Tra</t>
  </si>
  <si>
    <t xml:space="preserve">2024-03-02</t>
  </si>
  <si>
    <t xml:space="preserve">HIST_MATCHED_DAY_2024</t>
  </si>
  <si>
    <t xml:space="preserve">https://pctt.tayninh.gov.vn/tinh-hinh-chat-luong-nuoc-76230/tinh-hinh-chat-luong-nuoc-xam-nhap-man-tren-cac-tuyen-song-trong-dia-ban-tinh-long-an-ngay-02-de-983594</t>
  </si>
  <si>
    <t xml:space="preserve">Độ mặn cùng kỳ 02/03/2024 tại Cống Sông Cui</t>
  </si>
  <si>
    <t xml:space="preserve">SAL_RIV_155</t>
  </si>
  <si>
    <t xml:space="preserve">Cống Tầm Vu (Sông Tra 43km)</t>
  </si>
  <si>
    <t xml:space="preserve">Độ mặn cùng kỳ 02/03/2024 tại Cống Tầm Vu</t>
  </si>
  <si>
    <t xml:space="preserve">SAL_RIV_156</t>
  </si>
  <si>
    <t xml:space="preserve">Cống Âu Rạch Chanh (Vàm Cỏ Tây 54km)</t>
  </si>
  <si>
    <t xml:space="preserve">Độ mặn cùng kỳ 02/03/2024 tại Cống Rạch Chanh</t>
  </si>
  <si>
    <t xml:space="preserve">SAL_RIV_157</t>
  </si>
  <si>
    <t xml:space="preserve">2024-03-03</t>
  </si>
  <si>
    <t xml:space="preserve">https://baodongthap.vn/tien-giang-chu-dong-quyet-liet-voi-xam-nhap-man-a58212.html</t>
  </si>
  <si>
    <t xml:space="preserve">Độ mặn tăng lên 0,20 g/l tại Cầu Phú Phong ngày 03/03/2024</t>
  </si>
  <si>
    <t xml:space="preserve">SAL_RIV_158</t>
  </si>
  <si>
    <t xml:space="preserve">Bến đò Tân Phú (Châu Thành)</t>
  </si>
  <si>
    <t xml:space="preserve">2024-03-04</t>
  </si>
  <si>
    <t xml:space="preserve">Mặn xâm nhập từ phía Bến Tre sang thượng lưu Phú Phong ngày 04/03/2024</t>
  </si>
  <si>
    <t xml:space="preserve">SAL_RIV_159</t>
  </si>
  <si>
    <t xml:space="preserve">2024-03-05</t>
  </si>
  <si>
    <t xml:space="preserve">https://pctt.tayninh.gov.vn/tinh-hinh-chat-luong-nuoc-76230/tinh-hinh-chat-luong-nuoc-xam-nhap-man-tren-cac-tuyen-song-tren-dia-ban-tinh-long-an-tu-ngay-05--984252</t>
  </si>
  <si>
    <t xml:space="preserve">Độ mặn cùng kỳ 05/03/2024 tại Cống Sông Cui</t>
  </si>
  <si>
    <t xml:space="preserve">SAL_RIV_160</t>
  </si>
  <si>
    <t xml:space="preserve">Độ mặn cùng kỳ 05/03/2024 tại Cống Tầm Vu</t>
  </si>
  <si>
    <t xml:space="preserve">SAL_RIV_161</t>
  </si>
  <si>
    <t xml:space="preserve">Độ mặn cùng kỳ 05/03/2024 tại Cống Rạch Chanh</t>
  </si>
  <si>
    <t xml:space="preserve">SAL_RIV_162</t>
  </si>
  <si>
    <t xml:space="preserve">Trạm Chợ Lách (Sông Hàm Luông)</t>
  </si>
  <si>
    <t xml:space="preserve">2024-03-11</t>
  </si>
  <si>
    <t xml:space="preserve">https://nhandan.vn/tien-giang-quyet-liet-trien-khai-cac-giai-phap-phong-chong-han-man-post799553.html</t>
  </si>
  <si>
    <t xml:space="preserve">Độ mặn tại Chợ Lách ngày 11/03/2024</t>
  </si>
  <si>
    <t xml:space="preserve">SAL_RIV_163</t>
  </si>
  <si>
    <t xml:space="preserve">Độ mặn tại Bến phà Tân Phú ngày 11/03/2024</t>
  </si>
  <si>
    <t xml:space="preserve">SAL_RIV_164</t>
  </si>
  <si>
    <t xml:space="preserve">Đỉnh mặn mùa khô 2024 ngày 11/03/2024 tại Cầu Kinh Xáng</t>
  </si>
  <si>
    <t xml:space="preserve">SAL_RIV_165</t>
  </si>
  <si>
    <t xml:space="preserve">Đỉnh mặn mùa khô 2024 ngày 11/03/2024 tại CV Lạc Hồng</t>
  </si>
  <si>
    <t xml:space="preserve">SAL_RIV_166</t>
  </si>
  <si>
    <t xml:space="preserve">Phà Thới Lộc (Cai Lậy)</t>
  </si>
  <si>
    <t xml:space="preserve">Mặn xâm nhập tới Phà Thới Lộc ngày 11/03/2024</t>
  </si>
  <si>
    <t xml:space="preserve">SAL_RIV_167</t>
  </si>
  <si>
    <t xml:space="preserve">Đỉnh mặn mùa khô 2024 ngày 11/03/2024 tại Cầu Trường Chính Trị</t>
  </si>
  <si>
    <t xml:space="preserve">SAL_RIV_168</t>
  </si>
  <si>
    <t xml:space="preserve">Đỉnh mặn mùa khô 2024 ngày 11/03/2024 tại Xuân Hòa</t>
  </si>
  <si>
    <t xml:space="preserve">SAL_RIV_169</t>
  </si>
  <si>
    <t xml:space="preserve">Vàm Mơn (Sông Hàm Luông)</t>
  </si>
  <si>
    <t xml:space="preserve">2024-05-09</t>
  </si>
  <si>
    <t xml:space="preserve">https://baodongthap.vn/tien-giang-xam-nhap-man-tiep-tuc-tang-theo-ky-trieu-cuong-a70919.html</t>
  </si>
  <si>
    <t xml:space="preserve">Độ mặn ngày 09/05/2024 tại Vàm Mơn</t>
  </si>
  <si>
    <t xml:space="preserve">SAL_RIV_170</t>
  </si>
  <si>
    <t xml:space="preserve">Độ mặn ngày 09/05/2024 tại Cầu Kim Sơn</t>
  </si>
  <si>
    <t xml:space="preserve">SAL_RIV_171</t>
  </si>
  <si>
    <t xml:space="preserve">Độ mặn ngày 09/05/2024 tại Cầu Kinh Xáng</t>
  </si>
  <si>
    <t xml:space="preserve">SAL_RIV_172</t>
  </si>
  <si>
    <t xml:space="preserve">Độ mặn ngày 09/05/2024 tại Cầu Phú Phong</t>
  </si>
  <si>
    <t xml:space="preserve">SAL_RIV_173</t>
  </si>
  <si>
    <t xml:space="preserve">Độ mặn ngày 09/05/2024 tại Cầu Xoài Hột</t>
  </si>
  <si>
    <t xml:space="preserve">SAL_RIV_174</t>
  </si>
  <si>
    <t xml:space="preserve">Độ mặn ngày 09/05/2024 tại CV Lạc Hồng</t>
  </si>
  <si>
    <t xml:space="preserve">SAL_RIV_175</t>
  </si>
  <si>
    <t xml:space="preserve">Độ mặn ngày 09/05/2024 tại Cầu Trường Chính Trị</t>
  </si>
  <si>
    <t xml:space="preserve">SAL_RIV_176</t>
  </si>
  <si>
    <t xml:space="preserve">Độ mặn ngày 09/05/2024 tại Xuân Hòa</t>
  </si>
  <si>
    <t xml:space="preserve">SAL_RIV_177</t>
  </si>
  <si>
    <t xml:space="preserve">2024-05-13</t>
  </si>
  <si>
    <t xml:space="preserve">https://baodongthap.vn/tien-giang-xam-nhap-man-giam-nhe-a71088.html</t>
  </si>
  <si>
    <t xml:space="preserve">Độ mặn ngày 13/05/2024 tại Vàm Mơn</t>
  </si>
  <si>
    <t xml:space="preserve">SAL_RIV_178</t>
  </si>
  <si>
    <t xml:space="preserve">Độ mặn ngày 13/05/2024 tại Cầu Kim Sơn</t>
  </si>
  <si>
    <t xml:space="preserve">SAL_RIV_179</t>
  </si>
  <si>
    <t xml:space="preserve">Độ mặn ngày 13/05/2024 tại Cầu Kinh Xáng</t>
  </si>
  <si>
    <t xml:space="preserve">SAL_RIV_180</t>
  </si>
  <si>
    <t xml:space="preserve">Độ mặn ngày 13/05/2024 tại Cầu Phú Phong</t>
  </si>
  <si>
    <t xml:space="preserve">SAL_RIV_181</t>
  </si>
  <si>
    <t xml:space="preserve">Độ mặn ngày 13/05/2024 tại Cầu Xoài Hột</t>
  </si>
  <si>
    <t xml:space="preserve">SAL_RIV_182</t>
  </si>
  <si>
    <t xml:space="preserve">Độ mặn ngày 13/05/2024 tại CV Lạc Hồng</t>
  </si>
  <si>
    <t xml:space="preserve">SAL_RIV_183</t>
  </si>
  <si>
    <t xml:space="preserve">Độ mặn ngày 13/05/2024 tại Cầu Trường Chính Trị</t>
  </si>
  <si>
    <t xml:space="preserve">SAL_RIV_184</t>
  </si>
  <si>
    <t xml:space="preserve">Độ mặn ngày 13/05/2024 tại Xuân Hòa</t>
  </si>
  <si>
    <t xml:space="preserve">SAL_RIV_185</t>
  </si>
  <si>
    <t xml:space="preserve">2024-05-27</t>
  </si>
  <si>
    <t xml:space="preserve">https://baodongthap.vn/tien-giang-xam-nhap-man-giam-cac-cong-thuoc-du-an-bao-dinh-van-hanh-lay-nuoc-a72711.html</t>
  </si>
  <si>
    <t xml:space="preserve">Độ mặn ngày 27/05/2024 tại Cầu Xoài Hột</t>
  </si>
  <si>
    <t xml:space="preserve">SAL_RIV_186</t>
  </si>
  <si>
    <t xml:space="preserve">Độ mặn ngày 27/05/2024 tại CV Lạc Hồng (&lt;0,70 g/l mở cống Bảo Định)</t>
  </si>
  <si>
    <t xml:space="preserve">SAL_RIV_187</t>
  </si>
  <si>
    <t xml:space="preserve">Độ mặn ngày 27/05/2024 tại Cầu Trường Chính Trị</t>
  </si>
  <si>
    <t xml:space="preserve">SAL_RIV_188</t>
  </si>
  <si>
    <t xml:space="preserve">Độ mặn ngày 27/05/2024 tại Xuân Hòa</t>
  </si>
  <si>
    <t xml:space="preserve">SAL_RIV_189</t>
  </si>
  <si>
    <t xml:space="preserve">2024-12-13</t>
  </si>
  <si>
    <t xml:space="preserve">https://baodongthap.vn/tien-giang-man-da-xam-nhap-toi-tp-my-tho-a13709.html</t>
  </si>
  <si>
    <t xml:space="preserve">Độ mặn đầu mùa khô ngày 13/12/2024 tại Xuân Hòa</t>
  </si>
  <si>
    <t xml:space="preserve">SAL_RIV_190</t>
  </si>
  <si>
    <t xml:space="preserve">2024-12-28</t>
  </si>
  <si>
    <t xml:space="preserve">https://nhandan.vn/xam-nhap-man-co-xu-the-tang-nhanh-tai-tien-giang-post852937.html</t>
  </si>
  <si>
    <t xml:space="preserve">Độ mặn ngày 28/12/2024 tại Vườn hoa Lạc Hồng</t>
  </si>
  <si>
    <t xml:space="preserve">SAL_RIV_191</t>
  </si>
  <si>
    <t xml:space="preserve">2025-02-10</t>
  </si>
  <si>
    <t xml:space="preserve">https://baodongthap.vn/tien-giang-xam-nhap-man-tang-tro-lai-a34313.html</t>
  </si>
  <si>
    <t xml:space="preserve">Độ mặn ngày 10/02/2025 tại Vàm Mơn</t>
  </si>
  <si>
    <t xml:space="preserve">SAL_RIV_192</t>
  </si>
  <si>
    <t xml:space="preserve">Độ mặn ngày 10/02/2025 tại CV Lạc Hồng</t>
  </si>
  <si>
    <t xml:space="preserve">SAL_RIV_193</t>
  </si>
  <si>
    <t xml:space="preserve">Độ mặn ngày 10/02/2025 tại Xuân Hòa</t>
  </si>
  <si>
    <t xml:space="preserve">SAL_RIV_194</t>
  </si>
  <si>
    <t xml:space="preserve">2025-02-15</t>
  </si>
  <si>
    <t xml:space="preserve">HIST_MATCHED_DAY_2025</t>
  </si>
  <si>
    <t xml:space="preserve">Độ mặn thực đo cùng kỳ 15/02/2025 (S_2026=1.20, Δ_2025=-0.20)</t>
  </si>
  <si>
    <t xml:space="preserve">SAL_RIV_195</t>
  </si>
  <si>
    <t xml:space="preserve">Độ mặn thực đo cùng kỳ 15/02/2025 (S_2026=0.95, Δ_2025=-1.32)</t>
  </si>
  <si>
    <t xml:space="preserve">SAL_RIV_196</t>
  </si>
  <si>
    <t xml:space="preserve">Độ mặn thực đo cùng kỳ 15/02/2025 (S_2026=1.20, Δ_2025=-0.50)</t>
  </si>
  <si>
    <t xml:space="preserve">SAL_RIV_197</t>
  </si>
  <si>
    <t xml:space="preserve">Độ mặn thực đo cùng kỳ 15/02/2025 (S_2026=4.83, Δ_2025=+2.38)</t>
  </si>
  <si>
    <t xml:space="preserve">SAL_RIV_198</t>
  </si>
  <si>
    <t xml:space="preserve">Độ mặn thực đo cùng kỳ 15/02/2025 (S_2026=4.08, Δ_2025=-0.35)</t>
  </si>
  <si>
    <t xml:space="preserve">SAL_RIV_199</t>
  </si>
  <si>
    <t xml:space="preserve">Độ mặn thực đo cùng kỳ 15/02/2025 (S_2026=1.00, Δ_2025=-1.90)</t>
  </si>
  <si>
    <t xml:space="preserve">SAL_RIV_200</t>
  </si>
  <si>
    <t xml:space="preserve">Độ mặn thực đo cùng kỳ 15/02/2025 (S_2026=3.00, Δ_2025=-2.00)</t>
  </si>
  <si>
    <t xml:space="preserve">SAL_RIV_201</t>
  </si>
  <si>
    <t xml:space="preserve">Độ mặn thực đo cùng kỳ 15/02/2025 (S_2026=0.00, Δ_2025=-1.80)</t>
  </si>
  <si>
    <t xml:space="preserve">SAL_RIV_202</t>
  </si>
  <si>
    <t xml:space="preserve">Độ mặn thực đo cùng kỳ 15/02/2025 (S_2026=4.60, Δ_2025=+1.30)</t>
  </si>
  <si>
    <t xml:space="preserve">SAL_RIV_203</t>
  </si>
  <si>
    <t xml:space="preserve">Độ mặn thực đo cùng kỳ 15/02/2025 (S_2026=0.20, Δ_2025=-1.90)</t>
  </si>
  <si>
    <t xml:space="preserve">SAL_RIV_204</t>
  </si>
  <si>
    <t xml:space="preserve">Độ mặn thực đo cùng kỳ 15/02/2025 (S_2026=1.51, Δ_2025=-1.36)</t>
  </si>
  <si>
    <t xml:space="preserve">SAL_RIV_205</t>
  </si>
  <si>
    <t xml:space="preserve">Độ mặn thực đo cùng kỳ 15/02/2025 (S_2026=0.20, Δ_2025=+0.10)</t>
  </si>
  <si>
    <t xml:space="preserve">SAL_RIV_206</t>
  </si>
  <si>
    <t xml:space="preserve">2025-02-26</t>
  </si>
  <si>
    <t xml:space="preserve">DAILY_MAX_S_GL</t>
  </si>
  <si>
    <t xml:space="preserve">Độ mặn ngoài cống Sông Cui 26-27/02/2025</t>
  </si>
  <si>
    <t xml:space="preserve">SAL_RIV_207</t>
  </si>
  <si>
    <t xml:space="preserve">Độ mặn ngoài cống Tầm Vu 26-27/02/2025</t>
  </si>
  <si>
    <t xml:space="preserve">SAL_RIV_208</t>
  </si>
  <si>
    <t xml:space="preserve">Độ mặn ngoài cống Rạch Chanh 26-27/02/2025</t>
  </si>
  <si>
    <t xml:space="preserve">SAL_RIV_209</t>
  </si>
  <si>
    <t xml:space="preserve">2025-02-28</t>
  </si>
  <si>
    <t xml:space="preserve">https://baodongthap.vn/tien-giang-xam-nhap-man-toi-huyen-chau-thanh-o-muc-0-42-g-l-a828.html</t>
  </si>
  <si>
    <t xml:space="preserve">Độ mặn ngày 28/02/2025 tại Chợ Lách</t>
  </si>
  <si>
    <t xml:space="preserve">SAL_RIV_210</t>
  </si>
  <si>
    <t xml:space="preserve">Độ mặn tại Vàm Mơn đạt 3,0 g/l (vượt ngưỡng 1,5–2,0 g/l bên sông Hàm Luông)</t>
  </si>
  <si>
    <t xml:space="preserve">SAL_RIV_211</t>
  </si>
  <si>
    <t xml:space="preserve">Độ mặn xâm nhập tới Châu Thành (Cầu Xoài Hột) ở mức 0,42 g/l</t>
  </si>
  <si>
    <t xml:space="preserve">SAL_RIV_212</t>
  </si>
  <si>
    <t xml:space="preserve">Công viên Thủ Khoa Huân / Lạc Hồng (Mỹ Tho)</t>
  </si>
  <si>
    <t xml:space="preserve">Độ mặn tại TP. Mỹ Tho ngày 28/02–01/03/2025</t>
  </si>
  <si>
    <t xml:space="preserve">SAL_RIV_213</t>
  </si>
  <si>
    <t xml:space="preserve">Độ mặn tại Cầu Trường Chính Trị ngày 28/02–01/03/2025</t>
  </si>
  <si>
    <t xml:space="preserve">SAL_RIV_214</t>
  </si>
  <si>
    <t xml:space="preserve">Độ mặn cao nhất đợt triều cường cuối tháng 2/2025 tại Cống Xuân Hòa</t>
  </si>
  <si>
    <t xml:space="preserve">SAL_RIV_215</t>
  </si>
  <si>
    <t xml:space="preserve">2025-03-02</t>
  </si>
  <si>
    <t xml:space="preserve">Độ mặn ngoài cống Sông Cui 02-03/03/2025</t>
  </si>
  <si>
    <t xml:space="preserve">SAL_RIV_216</t>
  </si>
  <si>
    <t xml:space="preserve">Độ mặn ngoài cống Tầm Vu 02-03/03/2025</t>
  </si>
  <si>
    <t xml:space="preserve">SAL_RIV_217</t>
  </si>
  <si>
    <t xml:space="preserve">Độ mặn ngoài cống Rạch Chanh 02-03/03/2025</t>
  </si>
  <si>
    <t xml:space="preserve">SAL_RIV_218</t>
  </si>
  <si>
    <t xml:space="preserve">2025-03-05</t>
  </si>
  <si>
    <t xml:space="preserve">https://baodongthap.vn/tien-giang-xam-nhap-man-giam-theo-trieu-cuong-nhung-van-o-muc-cao-a1148.html</t>
  </si>
  <si>
    <t xml:space="preserve">Độ mặn ngày 05/03/2025 tại Vàm Mơn</t>
  </si>
  <si>
    <t xml:space="preserve">SAL_RIV_219</t>
  </si>
  <si>
    <t xml:space="preserve">Độ mặn ngoài cống Sông Cui 05-06/03/2025</t>
  </si>
  <si>
    <t xml:space="preserve">SAL_RIV_220</t>
  </si>
  <si>
    <t xml:space="preserve">Độ mặn ngoài cống Tầm Vu 05-06/03/2025</t>
  </si>
  <si>
    <t xml:space="preserve">SAL_RIV_221</t>
  </si>
  <si>
    <t xml:space="preserve">Độ mặn ngày 05/03/2025 tại Bến phà Tân Phú</t>
  </si>
  <si>
    <t xml:space="preserve">SAL_RIV_222</t>
  </si>
  <si>
    <t xml:space="preserve">Độ mặn ngày 05/03/2025 tại Cầu Xoài Hột</t>
  </si>
  <si>
    <t xml:space="preserve">SAL_RIV_223</t>
  </si>
  <si>
    <t xml:space="preserve">Độ mặn ngày 05/03/2025 tại Thủ Khoa Huân</t>
  </si>
  <si>
    <t xml:space="preserve">SAL_RIV_224</t>
  </si>
  <si>
    <t xml:space="preserve">Độ mặn ngày 05/03/2025 tại Cầu Trường Chính Trị</t>
  </si>
  <si>
    <t xml:space="preserve">SAL_RIV_225</t>
  </si>
  <si>
    <t xml:space="preserve">Độ mặn ngày 05/03/2025 tại Xuân Hòa</t>
  </si>
  <si>
    <t xml:space="preserve">SAL_RIV_226</t>
  </si>
  <si>
    <t xml:space="preserve">Độ mặn ngoài cống Rạch Chanh 05-06/03/2025</t>
  </si>
  <si>
    <t xml:space="preserve">SAL_RIV_227</t>
  </si>
  <si>
    <t xml:space="preserve">2025-03-16</t>
  </si>
  <si>
    <t xml:space="preserve">https://baodongthap.vn/tien-giang-muc-nuoc-tai-cac-kinh-rach-vung-ngot-hoa-go-cong-dang-dan-xuong-thap-a4427.html</t>
  </si>
  <si>
    <t xml:space="preserve">Độ mặn ngày 16/03/2025 tại Vàm Mơn</t>
  </si>
  <si>
    <t xml:space="preserve">SAL_RIV_228</t>
  </si>
  <si>
    <t xml:space="preserve">Độ mặn ngày 16/03/2025 tại Bến phà Tân Phú</t>
  </si>
  <si>
    <t xml:space="preserve">SAL_RIV_229</t>
  </si>
  <si>
    <t xml:space="preserve">Độ mặn ngày 16/03/2025 tại Cầu Kim Sơn</t>
  </si>
  <si>
    <t xml:space="preserve">SAL_RIV_230</t>
  </si>
  <si>
    <t xml:space="preserve">Độ mặn ngày 16/03/2025 tại Cầu Xoài Hột</t>
  </si>
  <si>
    <t xml:space="preserve">SAL_RIV_231</t>
  </si>
  <si>
    <t xml:space="preserve">Độ mặn ngày 16/03/2025 tại Thủ Khoa Huân</t>
  </si>
  <si>
    <t xml:space="preserve">SAL_RIV_232</t>
  </si>
  <si>
    <t xml:space="preserve">Cống Âu Nguyễn Tấn Thành (Vàm kênh)</t>
  </si>
  <si>
    <t xml:space="preserve">Độ mặn ngày 16/03/2025 tại Vàm kinh Nguyễn Tấn Thành</t>
  </si>
  <si>
    <t xml:space="preserve">SAL_RIV_233</t>
  </si>
  <si>
    <t xml:space="preserve">Độ mặn ngày 16/03/2025 tại Cầu Trường Chính Trị</t>
  </si>
  <si>
    <t xml:space="preserve">SAL_RIV_234</t>
  </si>
  <si>
    <t xml:space="preserve">Độ mặn ngày 16/03/2025 tại Xuân Hòa</t>
  </si>
  <si>
    <t xml:space="preserve">SAL_RIV_235</t>
  </si>
  <si>
    <t xml:space="preserve">2025-03-22</t>
  </si>
  <si>
    <t xml:space="preserve">https://baodongthap.vn/xam-nhap-man-giam-cong-xuan-hoa-lay-gan-nuoc-ngot-a5603.html</t>
  </si>
  <si>
    <t xml:space="preserve">Độ mặn ngày 22/03/2025 tại Vàm Mơn</t>
  </si>
  <si>
    <t xml:space="preserve">SAL_RIV_236</t>
  </si>
  <si>
    <t xml:space="preserve">Độ mặn ngày 22/03/2025 tại Thủ Khoa Huân</t>
  </si>
  <si>
    <t xml:space="preserve">SAL_RIV_237</t>
  </si>
  <si>
    <t xml:space="preserve">Độ mặn ngày 22/03/2025 tại Xuân Hòa (lấy gạn)</t>
  </si>
  <si>
    <t xml:space="preserve">SAL_RIV_238</t>
  </si>
  <si>
    <t xml:space="preserve">2025-04-04</t>
  </si>
  <si>
    <t xml:space="preserve">https://baodongthap.vn/xam-nhap-man-dat-dinh-va-se-giam-dan-trong-nhung-ngay-toi-a6163.html</t>
  </si>
  <si>
    <t xml:space="preserve">Độ mặn ngày 04/04/2025 tại Bến phà Tân Phú</t>
  </si>
  <si>
    <t xml:space="preserve">SAL_RIV_239</t>
  </si>
  <si>
    <t xml:space="preserve">Độ mặn ngày 04/04/2025 tại Cầu Xoài Hột</t>
  </si>
  <si>
    <t xml:space="preserve">SAL_RIV_240</t>
  </si>
  <si>
    <t xml:space="preserve">Độ mặn ngày 04/04/2025 tại Thủ Khoa Huân</t>
  </si>
  <si>
    <t xml:space="preserve">SAL_RIV_241</t>
  </si>
  <si>
    <t xml:space="preserve">Độ mặn ngày 04/04/2025 tại Nguyễn Tấn Thành</t>
  </si>
  <si>
    <t xml:space="preserve">SAL_RIV_242</t>
  </si>
  <si>
    <t xml:space="preserve">Độ mặn ngày 04/04/2025 tại Vàm Tân Mỹ Chánh</t>
  </si>
  <si>
    <t xml:space="preserve">SAL_RIV_243</t>
  </si>
  <si>
    <t xml:space="preserve">Độ mặn ngày 04/04/2025 tại Cầu Trường Chính Trị</t>
  </si>
  <si>
    <t xml:space="preserve">SAL_RIV_244</t>
  </si>
  <si>
    <t xml:space="preserve">Đỉnh mặn ngày 04/04/2025 tại Xuân Hòa</t>
  </si>
  <si>
    <t xml:space="preserve">SAL_RIV_245</t>
  </si>
  <si>
    <t xml:space="preserve">2025-04-08</t>
  </si>
  <si>
    <t xml:space="preserve">https://tamvu.tayninh.gov.vn/bao-cao-thong-ke/thong-bao-tinh-hinh-chat-luong-nuoc-xam-nhap-man-tren-cac-tuyen-song-tren-dia-ban-tinh-tay-ninh--1057028</t>
  </si>
  <si>
    <t xml:space="preserve">Độ mặn cùng kỳ 08/04/2025 tại Cống Sông Cui</t>
  </si>
  <si>
    <t xml:space="preserve">SAL_RIV_246</t>
  </si>
  <si>
    <t xml:space="preserve">Độ mặn cùng kỳ 08/04/2025 tại Cống Tầm Vu</t>
  </si>
  <si>
    <t xml:space="preserve">SAL_RIV_247</t>
  </si>
  <si>
    <t xml:space="preserve">Độ mặn cùng kỳ 08/04/2025 tại Cống Rạch Chanh</t>
  </si>
  <si>
    <t xml:space="preserve">SAL_RIV_248</t>
  </si>
  <si>
    <t xml:space="preserve">2025-05-11</t>
  </si>
  <si>
    <t xml:space="preserve">Chuỗi độ mặn thực đo liên tục cùng kỳ 2025-05-11</t>
  </si>
  <si>
    <t xml:space="preserve">SAL_RIV_249</t>
  </si>
  <si>
    <t xml:space="preserve">SAL_RIV_250</t>
  </si>
  <si>
    <t xml:space="preserve">SAL_RIV_251</t>
  </si>
  <si>
    <t xml:space="preserve">SAL_RIV_252</t>
  </si>
  <si>
    <t xml:space="preserve">SAL_RIV_253</t>
  </si>
  <si>
    <t xml:space="preserve">SAL_RIV_254</t>
  </si>
  <si>
    <t xml:space="preserve">SAL_RIV_255</t>
  </si>
  <si>
    <t xml:space="preserve">SAL_RIV_256</t>
  </si>
  <si>
    <t xml:space="preserve">SAL_RIV_257</t>
  </si>
  <si>
    <t xml:space="preserve">SAL_RIV_258</t>
  </si>
  <si>
    <t xml:space="preserve">SAL_RIV_259</t>
  </si>
  <si>
    <t xml:space="preserve">SAL_RIV_260</t>
  </si>
  <si>
    <t xml:space="preserve">SAL_RIV_261</t>
  </si>
  <si>
    <t xml:space="preserve">2025-05-12</t>
  </si>
  <si>
    <t xml:space="preserve">Chuỗi độ mặn thực đo liên tục cùng kỳ 2025-05-12</t>
  </si>
  <si>
    <t xml:space="preserve">SAL_RIV_262</t>
  </si>
  <si>
    <t xml:space="preserve">SAL_RIV_263</t>
  </si>
  <si>
    <t xml:space="preserve">SAL_RIV_264</t>
  </si>
  <si>
    <t xml:space="preserve">SAL_RIV_265</t>
  </si>
  <si>
    <t xml:space="preserve">SAL_RIV_266</t>
  </si>
  <si>
    <t xml:space="preserve">SAL_RIV_267</t>
  </si>
  <si>
    <t xml:space="preserve">SAL_RIV_268</t>
  </si>
  <si>
    <t xml:space="preserve">SAL_RIV_269</t>
  </si>
  <si>
    <t xml:space="preserve">SAL_RIV_270</t>
  </si>
  <si>
    <t xml:space="preserve">SAL_RIV_271</t>
  </si>
  <si>
    <t xml:space="preserve">SAL_RIV_272</t>
  </si>
  <si>
    <t xml:space="preserve">SAL_RIV_273</t>
  </si>
  <si>
    <t xml:space="preserve">SAL_RIV_274</t>
  </si>
  <si>
    <t xml:space="preserve">2025-05-13</t>
  </si>
  <si>
    <t xml:space="preserve">Chuỗi độ mặn thực đo liên tục cùng kỳ 2025-05-13</t>
  </si>
  <si>
    <t xml:space="preserve">SAL_RIV_275</t>
  </si>
  <si>
    <t xml:space="preserve">SAL_RIV_276</t>
  </si>
  <si>
    <t xml:space="preserve">SAL_RIV_277</t>
  </si>
  <si>
    <t xml:space="preserve">SAL_RIV_278</t>
  </si>
  <si>
    <t xml:space="preserve">SAL_RIV_279</t>
  </si>
  <si>
    <t xml:space="preserve">SAL_RIV_280</t>
  </si>
  <si>
    <t xml:space="preserve">SAL_RIV_281</t>
  </si>
  <si>
    <t xml:space="preserve">SAL_RIV_282</t>
  </si>
  <si>
    <t xml:space="preserve">SAL_RIV_283</t>
  </si>
  <si>
    <t xml:space="preserve">SAL_RIV_284</t>
  </si>
  <si>
    <t xml:space="preserve">SAL_RIV_285</t>
  </si>
  <si>
    <t xml:space="preserve">SAL_RIV_286</t>
  </si>
  <si>
    <t xml:space="preserve">SAL_RIV_287</t>
  </si>
  <si>
    <t xml:space="preserve">2025-05-14</t>
  </si>
  <si>
    <t xml:space="preserve">Chuỗi độ mặn thực đo liên tục cùng kỳ 2025-05-14</t>
  </si>
  <si>
    <t xml:space="preserve">SAL_RIV_288</t>
  </si>
  <si>
    <t xml:space="preserve">SAL_RIV_289</t>
  </si>
  <si>
    <t xml:space="preserve">SAL_RIV_290</t>
  </si>
  <si>
    <t xml:space="preserve">SAL_RIV_291</t>
  </si>
  <si>
    <t xml:space="preserve">SAL_RIV_292</t>
  </si>
  <si>
    <t xml:space="preserve">SAL_RIV_293</t>
  </si>
  <si>
    <t xml:space="preserve">SAL_RIV_294</t>
  </si>
  <si>
    <t xml:space="preserve">SAL_RIV_295</t>
  </si>
  <si>
    <t xml:space="preserve">SAL_RIV_296</t>
  </si>
  <si>
    <t xml:space="preserve">SAL_RIV_297</t>
  </si>
  <si>
    <t xml:space="preserve">SAL_RIV_298</t>
  </si>
  <si>
    <t xml:space="preserve">SAL_RIV_299</t>
  </si>
  <si>
    <t xml:space="preserve">SAL_RIV_300</t>
  </si>
  <si>
    <t xml:space="preserve">2025-05-15</t>
  </si>
  <si>
    <t xml:space="preserve">Chuỗi độ mặn thực đo liên tục cùng kỳ 2025-05-15</t>
  </si>
  <si>
    <t xml:space="preserve">SAL_RIV_301</t>
  </si>
  <si>
    <t xml:space="preserve">SAL_RIV_302</t>
  </si>
  <si>
    <t xml:space="preserve">SAL_RIV_303</t>
  </si>
  <si>
    <t xml:space="preserve">SAL_RIV_304</t>
  </si>
  <si>
    <t xml:space="preserve">SAL_RIV_305</t>
  </si>
  <si>
    <t xml:space="preserve">SAL_RIV_306</t>
  </si>
  <si>
    <t xml:space="preserve">SAL_RIV_307</t>
  </si>
  <si>
    <t xml:space="preserve">SAL_RIV_308</t>
  </si>
  <si>
    <t xml:space="preserve">SAL_RIV_309</t>
  </si>
  <si>
    <t xml:space="preserve">SAL_RIV_310</t>
  </si>
  <si>
    <t xml:space="preserve">SAL_RIV_311</t>
  </si>
  <si>
    <t xml:space="preserve">SAL_RIV_312</t>
  </si>
  <si>
    <t xml:space="preserve">SAL_RIV_313</t>
  </si>
  <si>
    <t xml:space="preserve">2026-02-14</t>
  </si>
  <si>
    <t xml:space="preserve">Độ mặn cao nhất ngày 13-14/02/2026 (bản tin PCTT Tiền Giang)</t>
  </si>
  <si>
    <t xml:space="preserve">SAL_RIV_314</t>
  </si>
  <si>
    <t xml:space="preserve">SAL_RIV_315</t>
  </si>
  <si>
    <t xml:space="preserve">SAL_RIV_316</t>
  </si>
  <si>
    <t xml:space="preserve">SAL_RIV_317</t>
  </si>
  <si>
    <t xml:space="preserve">SAL_RIV_318</t>
  </si>
  <si>
    <t xml:space="preserve">SAL_RIV_319</t>
  </si>
  <si>
    <t xml:space="preserve">SAL_RIV_320</t>
  </si>
  <si>
    <t xml:space="preserve">SAL_RIV_321</t>
  </si>
  <si>
    <t xml:space="preserve">SAL_RIV_322</t>
  </si>
  <si>
    <t xml:space="preserve">SAL_RIV_323</t>
  </si>
  <si>
    <t xml:space="preserve">https://nhandan.vn/man-xam-nhap-sau-vao-noi-dong-o-dong-thap-post943395.html</t>
  </si>
  <si>
    <t xml:space="preserve">Độ mặn thực đo ngày 14/02/2026 tại Cầu Trường Chính Trị</t>
  </si>
  <si>
    <t xml:space="preserve">SAL_RIV_324</t>
  </si>
  <si>
    <t xml:space="preserve">SAL_RIV_325</t>
  </si>
  <si>
    <t xml:space="preserve">SAL_RIV_326</t>
  </si>
  <si>
    <t xml:space="preserve">2026-02-15</t>
  </si>
  <si>
    <t xml:space="preserve">Độ mặn cao nhất ngày 14-15/02/2026 (bản tin PCTT Tiền Giang)</t>
  </si>
  <si>
    <t xml:space="preserve">SAL_RIV_327</t>
  </si>
  <si>
    <t xml:space="preserve">SAL_RIV_328</t>
  </si>
  <si>
    <t xml:space="preserve">SAL_RIV_329</t>
  </si>
  <si>
    <t xml:space="preserve">SAL_RIV_330</t>
  </si>
  <si>
    <t xml:space="preserve">SAL_RIV_331</t>
  </si>
  <si>
    <t xml:space="preserve">SAL_RIV_332</t>
  </si>
  <si>
    <t xml:space="preserve">SAL_RIV_333</t>
  </si>
  <si>
    <t xml:space="preserve">SAL_RIV_334</t>
  </si>
  <si>
    <t xml:space="preserve">SAL_RIV_335</t>
  </si>
  <si>
    <t xml:space="preserve">SAL_RIV_336</t>
  </si>
  <si>
    <t xml:space="preserve">SAL_RIV_337</t>
  </si>
  <si>
    <t xml:space="preserve">SAL_RIV_338</t>
  </si>
  <si>
    <t xml:space="preserve">2026-04-05</t>
  </si>
  <si>
    <t xml:space="preserve">Độ mặn ngoài cống Sông Cui 05-06/04/2026</t>
  </si>
  <si>
    <t xml:space="preserve">SAL_RIV_339</t>
  </si>
  <si>
    <t xml:space="preserve">Độ mặn ngoài cống Tầm Vu 05-06/04/2026</t>
  </si>
  <si>
    <t xml:space="preserve">SAL_RIV_340</t>
  </si>
  <si>
    <t xml:space="preserve">Độ mặn ngoài cống Rạch Chanh 05-06/04/2026</t>
  </si>
  <si>
    <t xml:space="preserve">SAL_RIV_341</t>
  </si>
  <si>
    <t xml:space="preserve">2026-04-08</t>
  </si>
  <si>
    <t xml:space="preserve">Độ mặn ngoài cống Sông Cui 08-09/04/2026</t>
  </si>
  <si>
    <t xml:space="preserve">SAL_RIV_342</t>
  </si>
  <si>
    <t xml:space="preserve">Độ mặn ngoài cống Tầm Vu 08-09/04/2026</t>
  </si>
  <si>
    <t xml:space="preserve">SAL_RIV_343</t>
  </si>
  <si>
    <t xml:space="preserve">Độ mặn ngoài cống Rạch Chanh 08-09/04/2026</t>
  </si>
  <si>
    <t xml:space="preserve">SAL_RIV_344</t>
  </si>
  <si>
    <t xml:space="preserve">2026-04-20</t>
  </si>
  <si>
    <t xml:space="preserve">Độ mặn ngày 20/04/2026 tại Cầu Xoài Hột</t>
  </si>
  <si>
    <t xml:space="preserve">SAL_RIV_345</t>
  </si>
  <si>
    <t xml:space="preserve">Độ mặn ngày 20/04/2026 tại Công viên Lạc Hồng (&gt; ngưỡng 0,70 g/l đóng cống Bảo Định)</t>
  </si>
  <si>
    <t xml:space="preserve">SAL_RIV_346</t>
  </si>
  <si>
    <t xml:space="preserve">Độ mặn ngày 20/04/2026 tại Cầu Trường Chính Trị</t>
  </si>
  <si>
    <t xml:space="preserve">SAL_RIV_347</t>
  </si>
  <si>
    <t xml:space="preserve">Độ mặn kỳ triều cường đầu tháng 3 ÂL (20/04/2026) tại Cống Xuân Hòa</t>
  </si>
  <si>
    <t xml:space="preserve">SAL_RIV_348</t>
  </si>
  <si>
    <t xml:space="preserve">2026-05-10</t>
  </si>
  <si>
    <t xml:space="preserve">Độ mặn cao nhất ngày 09-10/05/2026 (từ cột So với ngày trước bản tin id=455328)</t>
  </si>
  <si>
    <t xml:space="preserve">SAL_RIV_349</t>
  </si>
  <si>
    <t xml:space="preserve">SAL_RIV_350</t>
  </si>
  <si>
    <t xml:space="preserve">SAL_RIV_351</t>
  </si>
  <si>
    <t xml:space="preserve">SAL_RIV_352</t>
  </si>
  <si>
    <t xml:space="preserve">SAL_RIV_353</t>
  </si>
  <si>
    <t xml:space="preserve">SAL_RIV_354</t>
  </si>
  <si>
    <t xml:space="preserve">SAL_RIV_355</t>
  </si>
  <si>
    <t xml:space="preserve">SAL_RIV_356</t>
  </si>
  <si>
    <t xml:space="preserve">SAL_RIV_357</t>
  </si>
  <si>
    <t xml:space="preserve">SAL_RIV_358</t>
  </si>
  <si>
    <t xml:space="preserve">SAL_RIV_359</t>
  </si>
  <si>
    <t xml:space="preserve">SAL_RIV_360</t>
  </si>
  <si>
    <t xml:space="preserve">SAL_RIV_361</t>
  </si>
  <si>
    <t xml:space="preserve">2026-05-11</t>
  </si>
  <si>
    <t xml:space="preserve">Độ mặn cao nhất ngày 2026-05-11 (Thông báo mặn KTCTTL Tiền Giang)</t>
  </si>
  <si>
    <t xml:space="preserve">SAL_RIV_362</t>
  </si>
  <si>
    <t xml:space="preserve">SAL_RIV_363</t>
  </si>
  <si>
    <t xml:space="preserve">SAL_RIV_364</t>
  </si>
  <si>
    <t xml:space="preserve">SAL_RIV_365</t>
  </si>
  <si>
    <t xml:space="preserve">SAL_RIV_366</t>
  </si>
  <si>
    <t xml:space="preserve">SAL_RIV_367</t>
  </si>
  <si>
    <t xml:space="preserve">SAL_RIV_368</t>
  </si>
  <si>
    <t xml:space="preserve">SAL_RIV_369</t>
  </si>
  <si>
    <t xml:space="preserve">SAL_RIV_370</t>
  </si>
  <si>
    <t xml:space="preserve">SAL_RIV_371</t>
  </si>
  <si>
    <t xml:space="preserve">SAL_RIV_372</t>
  </si>
  <si>
    <t xml:space="preserve">SAL_RIV_373</t>
  </si>
  <si>
    <t xml:space="preserve">SAL_RIV_374</t>
  </si>
  <si>
    <t xml:space="preserve">2026-05-12</t>
  </si>
  <si>
    <t xml:space="preserve">Độ mặn cao nhất ngày 2026-05-12 (Thông báo mặn KTCTTL Tiền Giang)</t>
  </si>
  <si>
    <t xml:space="preserve">SAL_RIV_375</t>
  </si>
  <si>
    <t xml:space="preserve">SAL_RIV_376</t>
  </si>
  <si>
    <t xml:space="preserve">SAL_RIV_377</t>
  </si>
  <si>
    <t xml:space="preserve">SAL_RIV_378</t>
  </si>
  <si>
    <t xml:space="preserve">SAL_RIV_379</t>
  </si>
  <si>
    <t xml:space="preserve">SAL_RIV_380</t>
  </si>
  <si>
    <t xml:space="preserve">SAL_RIV_381</t>
  </si>
  <si>
    <t xml:space="preserve">SAL_RIV_382</t>
  </si>
  <si>
    <t xml:space="preserve">SAL_RIV_383</t>
  </si>
  <si>
    <t xml:space="preserve">SAL_RIV_384</t>
  </si>
  <si>
    <t xml:space="preserve">SAL_RIV_385</t>
  </si>
  <si>
    <t xml:space="preserve">SAL_RIV_386</t>
  </si>
  <si>
    <t xml:space="preserve">SAL_RIV_387</t>
  </si>
  <si>
    <t xml:space="preserve">2026-05-13</t>
  </si>
  <si>
    <t xml:space="preserve">Độ mặn cao nhất ngày 2026-05-13 (Thông báo mặn KTCTTL Tiền Giang)</t>
  </si>
  <si>
    <t xml:space="preserve">SAL_RIV_388</t>
  </si>
  <si>
    <t xml:space="preserve">SAL_RIV_389</t>
  </si>
  <si>
    <t xml:space="preserve">SAL_RIV_390</t>
  </si>
  <si>
    <t xml:space="preserve">SAL_RIV_391</t>
  </si>
  <si>
    <t xml:space="preserve">SAL_RIV_392</t>
  </si>
  <si>
    <t xml:space="preserve">SAL_RIV_393</t>
  </si>
  <si>
    <t xml:space="preserve">SAL_RIV_394</t>
  </si>
  <si>
    <t xml:space="preserve">SAL_RIV_395</t>
  </si>
  <si>
    <t xml:space="preserve">SAL_RIV_396</t>
  </si>
  <si>
    <t xml:space="preserve">SAL_RIV_397</t>
  </si>
  <si>
    <t xml:space="preserve">SAL_RIV_398</t>
  </si>
  <si>
    <t xml:space="preserve">SAL_RIV_399</t>
  </si>
  <si>
    <t xml:space="preserve">SAL_RIV_400</t>
  </si>
  <si>
    <t xml:space="preserve">2026-05-14</t>
  </si>
  <si>
    <t xml:space="preserve">Độ mặn cao nhất ngày 2026-05-14 (Thông báo mặn KTCTTL Tiền Giang)</t>
  </si>
  <si>
    <t xml:space="preserve">SAL_RIV_401</t>
  </si>
  <si>
    <t xml:space="preserve">SAL_RIV_402</t>
  </si>
  <si>
    <t xml:space="preserve">SAL_RIV_403</t>
  </si>
  <si>
    <t xml:space="preserve">SAL_RIV_404</t>
  </si>
  <si>
    <t xml:space="preserve">SAL_RIV_405</t>
  </si>
  <si>
    <t xml:space="preserve">SAL_RIV_406</t>
  </si>
  <si>
    <t xml:space="preserve">SAL_RIV_407</t>
  </si>
  <si>
    <t xml:space="preserve">SAL_RIV_408</t>
  </si>
  <si>
    <t xml:space="preserve">SAL_RIV_409</t>
  </si>
  <si>
    <t xml:space="preserve">SAL_RIV_410</t>
  </si>
  <si>
    <t xml:space="preserve">SAL_RIV_411</t>
  </si>
  <si>
    <t xml:space="preserve">SAL_RIV_412</t>
  </si>
  <si>
    <t xml:space="preserve">SAL_RIV_413</t>
  </si>
  <si>
    <t xml:space="preserve">2026-05-15</t>
  </si>
  <si>
    <t xml:space="preserve">Độ mặn cao nhất ngày 2026-05-15 (Thông báo mặn KTCTTL Tiền Giang)</t>
  </si>
  <si>
    <t xml:space="preserve">SAL_RIV_414</t>
  </si>
  <si>
    <t xml:space="preserve">SAL_RIV_415</t>
  </si>
  <si>
    <t xml:space="preserve">SAL_RIV_416</t>
  </si>
  <si>
    <t xml:space="preserve">SAL_RIV_417</t>
  </si>
  <si>
    <t xml:space="preserve">SAL_RIV_418</t>
  </si>
  <si>
    <t xml:space="preserve">SAL_RIV_419</t>
  </si>
  <si>
    <t xml:space="preserve">SAL_RIV_420</t>
  </si>
  <si>
    <t xml:space="preserve">SAL_RIV_421</t>
  </si>
  <si>
    <t xml:space="preserve">SAL_RIV_422</t>
  </si>
  <si>
    <t xml:space="preserve">SAL_RIV_423</t>
  </si>
  <si>
    <t xml:space="preserve">SAL_RIV_424</t>
  </si>
  <si>
    <t xml:space="preserve">SAL_RIV_425</t>
  </si>
  <si>
    <t xml:space="preserve">SAL_RIV_426</t>
  </si>
  <si>
    <t xml:space="preserve">Rạch Mương</t>
  </si>
  <si>
    <t xml:space="preserve">Sông Cửa Trung</t>
  </si>
  <si>
    <t xml:space="preserve">2026-09-17</t>
  </si>
  <si>
    <t xml:space="preserve">06:20</t>
  </si>
  <si>
    <t xml:space="preserve">PEAK_MORNING_TIDE</t>
  </si>
  <si>
    <t xml:space="preserve">http://thuyloitiengiang.vn/web/thuyloitiengiang/chi-tiet-tin-tuc?id=464847</t>
  </si>
  <si>
    <t xml:space="preserve">Đỉnh mặn sáng 17/9/2026</t>
  </si>
  <si>
    <t xml:space="preserve">SAL_RIV_427</t>
  </si>
  <si>
    <t xml:space="preserve">20:20</t>
  </si>
  <si>
    <t xml:space="preserve">PEAK_AFTERNOON_TIDE</t>
  </si>
  <si>
    <t xml:space="preserve">Đỉnh mặn chiều 17/9/2026</t>
  </si>
  <si>
    <t xml:space="preserve">SAL_RIV_428</t>
  </si>
  <si>
    <t xml:space="preserve">Mỹ Điền</t>
  </si>
  <si>
    <t xml:space="preserve">07:00</t>
  </si>
  <si>
    <t xml:space="preserve">SAL_RIV_429</t>
  </si>
  <si>
    <t xml:space="preserve">23:00</t>
  </si>
  <si>
    <t xml:space="preserve">Đỉnh mặn chiều/đêm 17/9/2026</t>
  </si>
  <si>
    <t xml:space="preserve">SAL_RIV_430</t>
  </si>
  <si>
    <t xml:space="preserve">Long Hải</t>
  </si>
  <si>
    <t xml:space="preserve">07:10</t>
  </si>
  <si>
    <t xml:space="preserve">Con nước sáng 17/9/2026</t>
  </si>
  <si>
    <t xml:space="preserve">SAL_RIV_431</t>
  </si>
  <si>
    <t xml:space="preserve">21:15</t>
  </si>
  <si>
    <t xml:space="preserve">Con nước chiều 17/9/2026</t>
  </si>
  <si>
    <t xml:space="preserve">SAL_RIV_432</t>
  </si>
  <si>
    <t xml:space="preserve">Vàm Kênh</t>
  </si>
  <si>
    <t xml:space="preserve">06:15</t>
  </si>
  <si>
    <t xml:space="preserve">Đỉnh mặn con nước sáng 17/9/2026</t>
  </si>
  <si>
    <t xml:space="preserve">SAL_RIV_433</t>
  </si>
  <si>
    <t xml:space="preserve">20:30</t>
  </si>
  <si>
    <t xml:space="preserve">Đỉnh mặn con nước chiều/tối 17/9/2026</t>
  </si>
  <si>
    <t xml:space="preserve">SAL_RIV_434</t>
  </si>
  <si>
    <t xml:space="preserve">2026-09-18</t>
  </si>
  <si>
    <t xml:space="preserve">06:30</t>
  </si>
  <si>
    <t xml:space="preserve">Đỉnh mặn sáng 18/9/2026</t>
  </si>
  <si>
    <t xml:space="preserve">SAL_RIV_435</t>
  </si>
  <si>
    <t xml:space="preserve">21:20</t>
  </si>
  <si>
    <t xml:space="preserve">Đỉnh mặn chiều 18/9/2026</t>
  </si>
  <si>
    <t xml:space="preserve">SAL_RIV_436</t>
  </si>
  <si>
    <t xml:space="preserve">05:00</t>
  </si>
  <si>
    <t xml:space="preserve">SAL_RIV_437</t>
  </si>
  <si>
    <t xml:space="preserve">Đỉnh mặn chiều/đêm 18/9/2026</t>
  </si>
  <si>
    <t xml:space="preserve">SAL_RIV_438</t>
  </si>
  <si>
    <t xml:space="preserve">Con nước sáng 18/9/2026</t>
  </si>
  <si>
    <t xml:space="preserve">SAL_RIV_439</t>
  </si>
  <si>
    <t xml:space="preserve">22:10</t>
  </si>
  <si>
    <t xml:space="preserve">Con nước chiều 18/9/2026</t>
  </si>
  <si>
    <t xml:space="preserve">SAL_RIV_440</t>
  </si>
  <si>
    <t xml:space="preserve">Đỉnh mặn con nước sáng 18/9/2026</t>
  </si>
  <si>
    <t xml:space="preserve">SAL_RIV_441</t>
  </si>
  <si>
    <t xml:space="preserve">21:40</t>
  </si>
  <si>
    <t xml:space="preserve">Đỉnh mặn con nước chiều/tối 18/9/2026</t>
  </si>
  <si>
    <t xml:space="preserve">SAL_RIV_442</t>
  </si>
  <si>
    <t xml:space="preserve">2026-09-19</t>
  </si>
  <si>
    <t xml:space="preserve">06:50</t>
  </si>
  <si>
    <t xml:space="preserve">http://thuyloitiengiang.vn/web/thuyloitiengiang/chi-tiet-tin-tuc?id=464854</t>
  </si>
  <si>
    <t xml:space="preserve">Đỉnh mặn sáng 19/9/2026</t>
  </si>
  <si>
    <t xml:space="preserve">SAL_RIV_443</t>
  </si>
  <si>
    <t xml:space="preserve">FIXED_07H00</t>
  </si>
  <si>
    <t xml:space="preserve">Độ mặn 7h00 ngày 19/9/2026</t>
  </si>
  <si>
    <t xml:space="preserve">SAL_RIV_444</t>
  </si>
  <si>
    <t xml:space="preserve">22:15</t>
  </si>
  <si>
    <t xml:space="preserve">http://thuyloitiengiang.vn/web/thuyloitiengiang/chi-tiet-tin-tuc?id=464851</t>
  </si>
  <si>
    <t xml:space="preserve">Đỉnh mặn đêm 19/09/2026</t>
  </si>
  <si>
    <t xml:space="preserve">SAL_RIV_445</t>
  </si>
  <si>
    <t xml:space="preserve">Đỉnh mặn sáng 19/09/2026</t>
  </si>
  <si>
    <t xml:space="preserve">SAL_RIV_446</t>
  </si>
  <si>
    <t xml:space="preserve">SAL_RIV_447</t>
  </si>
  <si>
    <t xml:space="preserve">SAL_RIV_448</t>
  </si>
  <si>
    <t xml:space="preserve">Con nước sáng 19/9/2026</t>
  </si>
  <si>
    <t xml:space="preserve">SAL_RIV_449</t>
  </si>
  <si>
    <t xml:space="preserve">06:45</t>
  </si>
  <si>
    <t xml:space="preserve">Đỉnh mặn con nước sáng 19/9/2026</t>
  </si>
  <si>
    <t xml:space="preserve">SAL_RIV_450</t>
  </si>
  <si>
    <t xml:space="preserve">Độ mặn lúc 7h00 ngày 19/9/2026</t>
  </si>
  <si>
    <t xml:space="preserve">SAL_RIV_451</t>
  </si>
  <si>
    <t xml:space="preserve">22:30</t>
  </si>
  <si>
    <t xml:space="preserve">Đỉnh mặn đêm 19/09/2026 (id=464851)</t>
  </si>
  <si>
    <t xml:space="preserve">SAL_RIV_452</t>
  </si>
  <si>
    <t xml:space="preserve">2026-09-20</t>
  </si>
  <si>
    <t xml:space="preserve">06:00</t>
  </si>
  <si>
    <t xml:space="preserve">Đỉnh mặn sáng 20/9/2026</t>
  </si>
  <si>
    <t xml:space="preserve">SAL_RIV_453</t>
  </si>
  <si>
    <t xml:space="preserve">Độ mặn 7h00 ngày 20/09/2026</t>
  </si>
  <si>
    <t xml:space="preserve">SAL_RIV_454</t>
  </si>
  <si>
    <t xml:space="preserve">Đỉnh mặn đêm 20/09/2026</t>
  </si>
  <si>
    <t xml:space="preserve">SAL_RIV_455</t>
  </si>
  <si>
    <t xml:space="preserve">SAL_RIV_456</t>
  </si>
  <si>
    <t xml:space="preserve">SAL_RIV_457</t>
  </si>
  <si>
    <t xml:space="preserve">23:30</t>
  </si>
  <si>
    <t xml:space="preserve">SAL_RIV_458</t>
  </si>
  <si>
    <t xml:space="preserve">Con nước sáng 20/9/2026</t>
  </si>
  <si>
    <t xml:space="preserve">SAL_RIV_459</t>
  </si>
  <si>
    <t xml:space="preserve">Đỉnh mặn con nước sáng 20/9/2026</t>
  </si>
  <si>
    <t xml:space="preserve">SAL_RIV_460</t>
  </si>
  <si>
    <t xml:space="preserve">SAL_RIV_461</t>
  </si>
  <si>
    <t xml:space="preserve">23:10</t>
  </si>
  <si>
    <t xml:space="preserve">SAL_RIV_462</t>
  </si>
  <si>
    <t xml:space="preserve">2026-09-21</t>
  </si>
  <si>
    <t xml:space="preserve">00:30</t>
  </si>
  <si>
    <t xml:space="preserve">Đỉnh mặn sáng 21/9/2026</t>
  </si>
  <si>
    <t xml:space="preserve">SAL_RIV_463</t>
  </si>
  <si>
    <t xml:space="preserve">Độ mặn 7h00 ngày 21/9/2026</t>
  </si>
  <si>
    <t xml:space="preserve">SAL_RIV_464</t>
  </si>
  <si>
    <t xml:space="preserve">SAL_RIV_465</t>
  </si>
  <si>
    <t xml:space="preserve">SAL_RIV_466</t>
  </si>
  <si>
    <t xml:space="preserve">05:50</t>
  </si>
  <si>
    <t xml:space="preserve">Con nước sáng 21/9/2026</t>
  </si>
  <si>
    <t xml:space="preserve">SAL_RIV_467</t>
  </si>
  <si>
    <t xml:space="preserve">05:30</t>
  </si>
  <si>
    <t xml:space="preserve">Đỉnh mặn con nước sáng 21/9/2026</t>
  </si>
  <si>
    <t xml:space="preserve">SAL_RIV_468</t>
  </si>
  <si>
    <t xml:space="preserve">Độ mặn lúc 7h00 ngày 21/9/2026</t>
  </si>
  <si>
    <t xml:space="preserve">SAL_RIV_469</t>
  </si>
  <si>
    <t xml:space="preserve">2026-10-07</t>
  </si>
  <si>
    <t xml:space="preserve">13:40</t>
  </si>
  <si>
    <t xml:space="preserve">http://thuyloitiengiang.vn/ja/web/thuyloitiengiang/chi-tiet-tin-tuc?id=520619</t>
  </si>
  <si>
    <t xml:space="preserve">Đỉnh mặn chiều 07/10/2026</t>
  </si>
  <si>
    <t xml:space="preserve">SAL_RIV_470</t>
  </si>
  <si>
    <t xml:space="preserve">11:00</t>
  </si>
  <si>
    <t xml:space="preserve">Đỉnh mặn trưa/chiều 07/10/2026</t>
  </si>
  <si>
    <t xml:space="preserve">SAL_RIV_471</t>
  </si>
  <si>
    <t xml:space="preserve">Rạch Băng</t>
  </si>
  <si>
    <t xml:space="preserve">Độ mặn trên sông Soài Rạp tại Rạch Băng đợt 07-13/10/2026</t>
  </si>
  <si>
    <t xml:space="preserve">SAL_RIV_472</t>
  </si>
  <si>
    <t xml:space="preserve">Độ mặn trên sông Tiền tại Long Hải đợt 07-13/10/2026</t>
  </si>
  <si>
    <t xml:space="preserve">SAL_RIV_473</t>
  </si>
  <si>
    <t xml:space="preserve">13:30</t>
  </si>
  <si>
    <t xml:space="preserve">SAL_RIV_474</t>
  </si>
  <si>
    <t xml:space="preserve">2026-10-08</t>
  </si>
  <si>
    <t xml:space="preserve">03:00</t>
  </si>
  <si>
    <t xml:space="preserve">Đỉnh mặn sáng 08/10/2026</t>
  </si>
  <si>
    <t xml:space="preserve">SAL_RIV_475</t>
  </si>
  <si>
    <t xml:space="preserve">15:00</t>
  </si>
  <si>
    <t xml:space="preserve">Đỉnh mặn chiều 08/10/2026</t>
  </si>
  <si>
    <t xml:space="preserve">SAL_RIV_476</t>
  </si>
  <si>
    <t xml:space="preserve">SAL_RIV_477</t>
  </si>
  <si>
    <t xml:space="preserve">13:00</t>
  </si>
  <si>
    <t xml:space="preserve">SAL_RIV_478</t>
  </si>
  <si>
    <t xml:space="preserve">Độ mặn trên sông Soài Rạp tại Rạch Băng (07-13/10/2026 đều 0,00 g/l)</t>
  </si>
  <si>
    <t xml:space="preserve">SAL_RIV_479</t>
  </si>
  <si>
    <t xml:space="preserve">14:40</t>
  </si>
  <si>
    <t xml:space="preserve">Độ mặn trên sông Tiền tại Long Hải (07-13/10/2026 đều 0,00 g/l)</t>
  </si>
  <si>
    <t xml:space="preserve">SAL_RIV_480</t>
  </si>
  <si>
    <t xml:space="preserve">02:40</t>
  </si>
  <si>
    <t xml:space="preserve">SAL_RIV_481</t>
  </si>
  <si>
    <t xml:space="preserve">14:30</t>
  </si>
  <si>
    <t xml:space="preserve">SAL_RIV_482</t>
  </si>
  <si>
    <t xml:space="preserve">2026-10-09</t>
  </si>
  <si>
    <t xml:space="preserve">03:30</t>
  </si>
  <si>
    <t xml:space="preserve">Đỉnh mặn sáng 09/10/2026</t>
  </si>
  <si>
    <t xml:space="preserve">SAL_RIV_483</t>
  </si>
  <si>
    <t xml:space="preserve">Độ mặn 7h00 ngày 09/10/2026</t>
  </si>
  <si>
    <t xml:space="preserve">SAL_RIV_484</t>
  </si>
  <si>
    <t xml:space="preserve">15:40</t>
  </si>
  <si>
    <t xml:space="preserve">http://thuyloitiengiang.vn/ja/web/thuyloitiengiang/chi-tiet-tin-tuc?id=520621</t>
  </si>
  <si>
    <t xml:space="preserve">Đỉnh mặn chiều 09/10/2026</t>
  </si>
  <si>
    <t xml:space="preserve">SAL_RIV_485</t>
  </si>
  <si>
    <t xml:space="preserve">SAL_RIV_486</t>
  </si>
  <si>
    <t xml:space="preserve">SAL_RIV_487</t>
  </si>
  <si>
    <t xml:space="preserve">17:00</t>
  </si>
  <si>
    <t xml:space="preserve">SAL_RIV_488</t>
  </si>
  <si>
    <t xml:space="preserve">SAL_RIV_489</t>
  </si>
  <si>
    <t xml:space="preserve">SAL_RIV_490</t>
  </si>
  <si>
    <t xml:space="preserve">03:10</t>
  </si>
  <si>
    <t xml:space="preserve">SAL_RIV_491</t>
  </si>
  <si>
    <t xml:space="preserve">SAL_RIV_492</t>
  </si>
  <si>
    <t xml:space="preserve">15:20</t>
  </si>
  <si>
    <t xml:space="preserve">SAL_RIV_493</t>
  </si>
  <si>
    <t xml:space="preserve">2026-10-10</t>
  </si>
  <si>
    <t xml:space="preserve">04:00</t>
  </si>
  <si>
    <t xml:space="preserve">Đỉnh mặn sáng 10/10/2026</t>
  </si>
  <si>
    <t xml:space="preserve">SAL_RIV_494</t>
  </si>
  <si>
    <t xml:space="preserve">Độ mặn 7h00 ngày 10/10/2026</t>
  </si>
  <si>
    <t xml:space="preserve">SAL_RIV_495</t>
  </si>
  <si>
    <t xml:space="preserve">16:30</t>
  </si>
  <si>
    <t xml:space="preserve">http://thuyloitiengiang.vn/ja/web/thuyloitiengiang/chi-tiet-tin-tuc?id=520623</t>
  </si>
  <si>
    <t xml:space="preserve">Đỉnh mặn chiều 10/10/2026</t>
  </si>
  <si>
    <t xml:space="preserve">SAL_RIV_496</t>
  </si>
  <si>
    <t xml:space="preserve">SAL_RIV_497</t>
  </si>
  <si>
    <t xml:space="preserve">SAL_RIV_498</t>
  </si>
  <si>
    <t xml:space="preserve">SAL_RIV_499</t>
  </si>
  <si>
    <t xml:space="preserve">SAL_RIV_500</t>
  </si>
  <si>
    <t xml:space="preserve">SAL_RIV_501</t>
  </si>
  <si>
    <t xml:space="preserve">03:35</t>
  </si>
  <si>
    <t xml:space="preserve">SAL_RIV_502</t>
  </si>
  <si>
    <t xml:space="preserve">SAL_RIV_503</t>
  </si>
  <si>
    <t xml:space="preserve">16:10</t>
  </si>
  <si>
    <t xml:space="preserve">SAL_RIV_504</t>
  </si>
  <si>
    <t xml:space="preserve">2026-10-11</t>
  </si>
  <si>
    <t xml:space="preserve">04:15</t>
  </si>
  <si>
    <t xml:space="preserve">Đỉnh mặn sáng 11/10/2026</t>
  </si>
  <si>
    <t xml:space="preserve">SAL_RIV_505</t>
  </si>
  <si>
    <t xml:space="preserve">Độ mặn 7h00 ngày 11/10/2026</t>
  </si>
  <si>
    <t xml:space="preserve">SAL_RIV_506</t>
  </si>
  <si>
    <t xml:space="preserve">17:10</t>
  </si>
  <si>
    <t xml:space="preserve">http://thuyloitiengiang.vn/en/web/thuyloitiengiang/chi-tiet-tin-tuc?id=520630</t>
  </si>
  <si>
    <t xml:space="preserve">Đỉnh mặn chiều 11/10/2026</t>
  </si>
  <si>
    <t xml:space="preserve">SAL_RIV_507</t>
  </si>
  <si>
    <t xml:space="preserve">SAL_RIV_508</t>
  </si>
  <si>
    <t xml:space="preserve">SAL_RIV_509</t>
  </si>
  <si>
    <t xml:space="preserve">19:00</t>
  </si>
  <si>
    <t xml:space="preserve">Đỉnh mặn chiều/tối 11/10/2026</t>
  </si>
  <si>
    <t xml:space="preserve">SAL_RIV_510</t>
  </si>
  <si>
    <t xml:space="preserve">SAL_RIV_511</t>
  </si>
  <si>
    <t xml:space="preserve">SAL_RIV_512</t>
  </si>
  <si>
    <t xml:space="preserve">04:10</t>
  </si>
  <si>
    <t xml:space="preserve">SAL_RIV_513</t>
  </si>
  <si>
    <t xml:space="preserve">SAL_RIV_514</t>
  </si>
  <si>
    <t xml:space="preserve">16:45</t>
  </si>
  <si>
    <t xml:space="preserve">SAL_RIV_515</t>
  </si>
  <si>
    <t xml:space="preserve">2026-10-12</t>
  </si>
  <si>
    <t xml:space="preserve">04:30</t>
  </si>
  <si>
    <t xml:space="preserve">Đỉnh mặn sáng 12/10/2026</t>
  </si>
  <si>
    <t xml:space="preserve">SAL_RIV_516</t>
  </si>
  <si>
    <t xml:space="preserve">Độ mặn 7h00 ngày 12/10/2026</t>
  </si>
  <si>
    <t xml:space="preserve">SAL_RIV_517</t>
  </si>
  <si>
    <t xml:space="preserve">18:00</t>
  </si>
  <si>
    <t xml:space="preserve">Đỉnh mặn chiều 12/10/2026</t>
  </si>
  <si>
    <t xml:space="preserve">SAL_RIV_518</t>
  </si>
  <si>
    <t xml:space="preserve">SAL_RIV_519</t>
  </si>
  <si>
    <t xml:space="preserve">SAL_RIV_520</t>
  </si>
  <si>
    <t xml:space="preserve">SAL_RIV_521</t>
  </si>
  <si>
    <t xml:space="preserve">Độ mặn trên sông Soài Rạp tại Rạch Băng sáng 12/10/2026</t>
  </si>
  <si>
    <t xml:space="preserve">SAL_RIV_522</t>
  </si>
  <si>
    <t xml:space="preserve">04:50</t>
  </si>
  <si>
    <t xml:space="preserve">Độ mặn trên sông Tiền tại Long Hải sáng 12/10/2026</t>
  </si>
  <si>
    <t xml:space="preserve">SAL_RIV_523</t>
  </si>
  <si>
    <t xml:space="preserve">04:20</t>
  </si>
  <si>
    <t xml:space="preserve">Đỉnh mặn sáng 12/10/2026 (cực đại kỳ triều cường đầu tháng 9 ÂL)</t>
  </si>
  <si>
    <t xml:space="preserve">SAL_RIV_524</t>
  </si>
  <si>
    <t xml:space="preserve">SAL_RIV_525</t>
  </si>
  <si>
    <t xml:space="preserve">17:30</t>
  </si>
  <si>
    <t xml:space="preserve">SAL_RIV_526</t>
  </si>
  <si>
    <t xml:space="preserve">2026-10-13</t>
  </si>
  <si>
    <t xml:space="preserve">04:40</t>
  </si>
  <si>
    <t xml:space="preserve">Đỉnh mặn sáng 13/10/2026</t>
  </si>
  <si>
    <t xml:space="preserve">SAL_RIV_527</t>
  </si>
  <si>
    <t xml:space="preserve">Độ mặn 7h00 ngày 13/10/2026</t>
  </si>
  <si>
    <t xml:space="preserve">SAL_RIV_528</t>
  </si>
  <si>
    <t xml:space="preserve">SAL_RIV_529</t>
  </si>
  <si>
    <t xml:space="preserve">SAL_RIV_530</t>
  </si>
  <si>
    <t xml:space="preserve">SAL_RIV_531</t>
  </si>
  <si>
    <t xml:space="preserve">SAL_RIV_532</t>
  </si>
  <si>
    <t xml:space="preserve">SAL_RIV_533</t>
  </si>
  <si>
    <t xml:space="preserve">04. CHUỖI ĐỘ MẶN NỘI ĐỒNG TẠI CỐNG (0m) &amp; CÁCH CỐNG 200m (KHÉP KÍN CHUỖI 19–21/09/2026 &amp; 09–13/10/2026)</t>
  </si>
  <si>
    <t xml:space="preserve">Quan trắc lúc 7h00 hàng ngày tại 24 trạm nội đồng vùng Gò Công, Phú Thạnh - Phú Đông và Bảo Định</t>
  </si>
  <si>
    <t xml:space="preserve">Tên điểm đo</t>
  </si>
  <si>
    <t xml:space="preserve">Vùng dự án</t>
  </si>
  <si>
    <t xml:space="preserve">Giờ đo</t>
  </si>
  <si>
    <t xml:space="preserve">Độ mặn tại cống/cầu 0m (g/l)</t>
  </si>
  <si>
    <t xml:space="preserve">Độ mặn cách cống 200m (g/l)</t>
  </si>
  <si>
    <t xml:space="preserve">Chênh lệch 0m - 200m (g/l)</t>
  </si>
  <si>
    <t xml:space="preserve">Đơn vị</t>
  </si>
  <si>
    <t xml:space="preserve">Loại dữ liệu</t>
  </si>
  <si>
    <t xml:space="preserve">Ghi chú</t>
  </si>
  <si>
    <t xml:space="preserve">SAL_INT_001</t>
  </si>
  <si>
    <t xml:space="preserve">Bảo Định</t>
  </si>
  <si>
    <t xml:space="preserve">g/l</t>
  </si>
  <si>
    <t xml:space="preserve">IN_SITU_OBSERVATION</t>
  </si>
  <si>
    <t xml:space="preserve">Đo tại cống/cầu (0m) và cách cống 200m phía đồng</t>
  </si>
  <si>
    <t xml:space="preserve">SAL_INT_002</t>
  </si>
  <si>
    <t xml:space="preserve">Cổ Chi</t>
  </si>
  <si>
    <t xml:space="preserve">SAL_INT_003</t>
  </si>
  <si>
    <t xml:space="preserve">Đăng Hưng Phước</t>
  </si>
  <si>
    <t xml:space="preserve">SAL_INT_004</t>
  </si>
  <si>
    <t xml:space="preserve">Gò Cát</t>
  </si>
  <si>
    <t xml:space="preserve">SAL_INT_005</t>
  </si>
  <si>
    <t xml:space="preserve">Hòa Tịnh</t>
  </si>
  <si>
    <t xml:space="preserve">SAL_INT_006</t>
  </si>
  <si>
    <t xml:space="preserve">Tân Thuận Bình</t>
  </si>
  <si>
    <t xml:space="preserve">SAL_INT_007</t>
  </si>
  <si>
    <t xml:space="preserve">Rạch Mương (Nội đồng)</t>
  </si>
  <si>
    <t xml:space="preserve">SAL_INT_008</t>
  </si>
  <si>
    <t xml:space="preserve">Cầu Hương lộ 2</t>
  </si>
  <si>
    <t xml:space="preserve">SAL_INT_009</t>
  </si>
  <si>
    <t xml:space="preserve">Cầu Tân Thành</t>
  </si>
  <si>
    <t xml:space="preserve">SAL_INT_010</t>
  </si>
  <si>
    <t xml:space="preserve">Cống 862 (Nam)</t>
  </si>
  <si>
    <t xml:space="preserve">SAL_INT_011</t>
  </si>
  <si>
    <t xml:space="preserve">Gia Thuận</t>
  </si>
  <si>
    <t xml:space="preserve">SAL_INT_012</t>
  </si>
  <si>
    <t xml:space="preserve">Gò Công</t>
  </si>
  <si>
    <t xml:space="preserve">SAL_INT_013</t>
  </si>
  <si>
    <t xml:space="preserve">Long Uông</t>
  </si>
  <si>
    <t xml:space="preserve">SAL_INT_014</t>
  </si>
  <si>
    <t xml:space="preserve">Rạch Bùn</t>
  </si>
  <si>
    <t xml:space="preserve">SAL_INT_015</t>
  </si>
  <si>
    <t xml:space="preserve">Rạch Giá</t>
  </si>
  <si>
    <t xml:space="preserve">SAL_INT_016</t>
  </si>
  <si>
    <t xml:space="preserve">Rầm Vé</t>
  </si>
  <si>
    <t xml:space="preserve">SAL_INT_017</t>
  </si>
  <si>
    <t xml:space="preserve">Số 3 (ST)</t>
  </si>
  <si>
    <t xml:space="preserve">SAL_INT_018</t>
  </si>
  <si>
    <t xml:space="preserve">Số 4 (ST)</t>
  </si>
  <si>
    <t xml:space="preserve">SAL_INT_019</t>
  </si>
  <si>
    <t xml:space="preserve">Vàm Giồng</t>
  </si>
  <si>
    <t xml:space="preserve">SAL_INT_020</t>
  </si>
  <si>
    <t xml:space="preserve">Vàm Tháp</t>
  </si>
  <si>
    <t xml:space="preserve">SAL_INT_021</t>
  </si>
  <si>
    <t xml:space="preserve">Rạch Băng (Nội đồng)</t>
  </si>
  <si>
    <t xml:space="preserve">SAL_INT_022</t>
  </si>
  <si>
    <t xml:space="preserve">Long Hải (Nội đồng)</t>
  </si>
  <si>
    <t xml:space="preserve">SAL_INT_023</t>
  </si>
  <si>
    <t xml:space="preserve">Vàm Kênh (Nội đồng)</t>
  </si>
  <si>
    <t xml:space="preserve">SAL_INT_024</t>
  </si>
  <si>
    <t xml:space="preserve">Xuân Hòa (Nội đồng)</t>
  </si>
  <si>
    <t xml:space="preserve">SAL_INT_025</t>
  </si>
  <si>
    <t xml:space="preserve">SAL_INT_026</t>
  </si>
  <si>
    <t xml:space="preserve">SAL_INT_027</t>
  </si>
  <si>
    <t xml:space="preserve">SAL_INT_028</t>
  </si>
  <si>
    <t xml:space="preserve">SAL_INT_029</t>
  </si>
  <si>
    <t xml:space="preserve">SAL_INT_030</t>
  </si>
  <si>
    <t xml:space="preserve">SAL_INT_031</t>
  </si>
  <si>
    <t xml:space="preserve">SAL_INT_032</t>
  </si>
  <si>
    <t xml:space="preserve">SAL_INT_033</t>
  </si>
  <si>
    <t xml:space="preserve">SAL_INT_034</t>
  </si>
  <si>
    <t xml:space="preserve">SAL_INT_035</t>
  </si>
  <si>
    <t xml:space="preserve">SAL_INT_036</t>
  </si>
  <si>
    <t xml:space="preserve">SAL_INT_037</t>
  </si>
  <si>
    <t xml:space="preserve">SAL_INT_038</t>
  </si>
  <si>
    <t xml:space="preserve">SAL_INT_039</t>
  </si>
  <si>
    <t xml:space="preserve">SAL_INT_040</t>
  </si>
  <si>
    <t xml:space="preserve">SAL_INT_041</t>
  </si>
  <si>
    <t xml:space="preserve">SAL_INT_042</t>
  </si>
  <si>
    <t xml:space="preserve">SAL_INT_043</t>
  </si>
  <si>
    <t xml:space="preserve">SAL_INT_044</t>
  </si>
  <si>
    <t xml:space="preserve">SAL_INT_045</t>
  </si>
  <si>
    <t xml:space="preserve">SAL_INT_046</t>
  </si>
  <si>
    <t xml:space="preserve">SAL_INT_047</t>
  </si>
  <si>
    <t xml:space="preserve">SAL_INT_048</t>
  </si>
  <si>
    <t xml:space="preserve">SAL_INT_049</t>
  </si>
  <si>
    <t xml:space="preserve">SAL_INT_050</t>
  </si>
  <si>
    <t xml:space="preserve">SAL_INT_051</t>
  </si>
  <si>
    <t xml:space="preserve">SAL_INT_052</t>
  </si>
  <si>
    <t xml:space="preserve">SAL_INT_053</t>
  </si>
  <si>
    <t xml:space="preserve">SAL_INT_054</t>
  </si>
  <si>
    <t xml:space="preserve">SAL_INT_055</t>
  </si>
  <si>
    <t xml:space="preserve">SAL_INT_056</t>
  </si>
  <si>
    <t xml:space="preserve">SAL_INT_057</t>
  </si>
  <si>
    <t xml:space="preserve">SAL_INT_058</t>
  </si>
  <si>
    <t xml:space="preserve">SAL_INT_059</t>
  </si>
  <si>
    <t xml:space="preserve">SAL_INT_060</t>
  </si>
  <si>
    <t xml:space="preserve">SAL_INT_061</t>
  </si>
  <si>
    <t xml:space="preserve">SAL_INT_062</t>
  </si>
  <si>
    <t xml:space="preserve">SAL_INT_063</t>
  </si>
  <si>
    <t xml:space="preserve">SAL_INT_064</t>
  </si>
  <si>
    <t xml:space="preserve">SAL_INT_065</t>
  </si>
  <si>
    <t xml:space="preserve">SAL_INT_066</t>
  </si>
  <si>
    <t xml:space="preserve">SAL_INT_067</t>
  </si>
  <si>
    <t xml:space="preserve">SAL_INT_068</t>
  </si>
  <si>
    <t xml:space="preserve">SAL_INT_069</t>
  </si>
  <si>
    <t xml:space="preserve">SAL_INT_070</t>
  </si>
  <si>
    <t xml:space="preserve">SAL_INT_071</t>
  </si>
  <si>
    <t xml:space="preserve">SAL_INT_072</t>
  </si>
  <si>
    <t xml:space="preserve">SAL_INT_073</t>
  </si>
  <si>
    <t xml:space="preserve">SAL_INT_074</t>
  </si>
  <si>
    <t xml:space="preserve">SAL_INT_075</t>
  </si>
  <si>
    <t xml:space="preserve">SAL_INT_076</t>
  </si>
  <si>
    <t xml:space="preserve">SAL_INT_077</t>
  </si>
  <si>
    <t xml:space="preserve">SAL_INT_078</t>
  </si>
  <si>
    <t xml:space="preserve">SAL_INT_079</t>
  </si>
  <si>
    <t xml:space="preserve">SAL_INT_080</t>
  </si>
  <si>
    <t xml:space="preserve">SAL_INT_081</t>
  </si>
  <si>
    <t xml:space="preserve">SAL_INT_082</t>
  </si>
  <si>
    <t xml:space="preserve">SAL_INT_083</t>
  </si>
  <si>
    <t xml:space="preserve">SAL_INT_084</t>
  </si>
  <si>
    <t xml:space="preserve">SAL_INT_085</t>
  </si>
  <si>
    <t xml:space="preserve">SAL_INT_086</t>
  </si>
  <si>
    <t xml:space="preserve">SAL_INT_087</t>
  </si>
  <si>
    <t xml:space="preserve">SAL_INT_088</t>
  </si>
  <si>
    <t xml:space="preserve">SAL_INT_089</t>
  </si>
  <si>
    <t xml:space="preserve">SAL_INT_090</t>
  </si>
  <si>
    <t xml:space="preserve">SAL_INT_091</t>
  </si>
  <si>
    <t xml:space="preserve">SAL_INT_092</t>
  </si>
  <si>
    <t xml:space="preserve">SAL_INT_093</t>
  </si>
  <si>
    <t xml:space="preserve">SAL_INT_094</t>
  </si>
  <si>
    <t xml:space="preserve">SAL_INT_095</t>
  </si>
  <si>
    <t xml:space="preserve">SAL_INT_096</t>
  </si>
  <si>
    <t xml:space="preserve">SAL_INT_097</t>
  </si>
  <si>
    <t xml:space="preserve">SAL_INT_098</t>
  </si>
  <si>
    <t xml:space="preserve">SAL_INT_099</t>
  </si>
  <si>
    <t xml:space="preserve">SAL_INT_100</t>
  </si>
  <si>
    <t xml:space="preserve">SAL_INT_101</t>
  </si>
  <si>
    <t xml:space="preserve">SAL_INT_102</t>
  </si>
  <si>
    <t xml:space="preserve">SAL_INT_103</t>
  </si>
  <si>
    <t xml:space="preserve">SAL_INT_104</t>
  </si>
  <si>
    <t xml:space="preserve">SAL_INT_105</t>
  </si>
  <si>
    <t xml:space="preserve">SAL_INT_106</t>
  </si>
  <si>
    <t xml:space="preserve">SAL_INT_107</t>
  </si>
  <si>
    <t xml:space="preserve">SAL_INT_108</t>
  </si>
  <si>
    <t xml:space="preserve">SAL_INT_109</t>
  </si>
  <si>
    <t xml:space="preserve">SAL_INT_110</t>
  </si>
  <si>
    <t xml:space="preserve">SAL_INT_111</t>
  </si>
  <si>
    <t xml:space="preserve">SAL_INT_112</t>
  </si>
  <si>
    <t xml:space="preserve">SAL_INT_113</t>
  </si>
  <si>
    <t xml:space="preserve">SAL_INT_114</t>
  </si>
  <si>
    <t xml:space="preserve">SAL_INT_115</t>
  </si>
  <si>
    <t xml:space="preserve">SAL_INT_116</t>
  </si>
  <si>
    <t xml:space="preserve">SAL_INT_117</t>
  </si>
  <si>
    <t xml:space="preserve">SAL_INT_118</t>
  </si>
  <si>
    <t xml:space="preserve">SAL_INT_119</t>
  </si>
  <si>
    <t xml:space="preserve">SAL_INT_120</t>
  </si>
  <si>
    <t xml:space="preserve">SAL_INT_121</t>
  </si>
  <si>
    <t xml:space="preserve">SAL_INT_122</t>
  </si>
  <si>
    <t xml:space="preserve">SAL_INT_123</t>
  </si>
  <si>
    <t xml:space="preserve">SAL_INT_124</t>
  </si>
  <si>
    <t xml:space="preserve">SAL_INT_125</t>
  </si>
  <si>
    <t xml:space="preserve">SAL_INT_126</t>
  </si>
  <si>
    <t xml:space="preserve">SAL_INT_127</t>
  </si>
  <si>
    <t xml:space="preserve">SAL_INT_128</t>
  </si>
  <si>
    <t xml:space="preserve">SAL_INT_129</t>
  </si>
  <si>
    <t xml:space="preserve">SAL_INT_130</t>
  </si>
  <si>
    <t xml:space="preserve">SAL_INT_131</t>
  </si>
  <si>
    <t xml:space="preserve">SAL_INT_132</t>
  </si>
  <si>
    <t xml:space="preserve">SAL_INT_133</t>
  </si>
  <si>
    <t xml:space="preserve">SAL_INT_134</t>
  </si>
  <si>
    <t xml:space="preserve">SAL_INT_135</t>
  </si>
  <si>
    <t xml:space="preserve">SAL_INT_136</t>
  </si>
  <si>
    <t xml:space="preserve">SAL_INT_137</t>
  </si>
  <si>
    <t xml:space="preserve">SAL_INT_138</t>
  </si>
  <si>
    <t xml:space="preserve">SAL_INT_139</t>
  </si>
  <si>
    <t xml:space="preserve">SAL_INT_140</t>
  </si>
  <si>
    <t xml:space="preserve">SAL_INT_141</t>
  </si>
  <si>
    <t xml:space="preserve">SAL_INT_142</t>
  </si>
  <si>
    <t xml:space="preserve">SAL_INT_143</t>
  </si>
  <si>
    <t xml:space="preserve">SAL_INT_144</t>
  </si>
  <si>
    <t xml:space="preserve">SAL_INT_145</t>
  </si>
  <si>
    <t xml:space="preserve">SAL_INT_146</t>
  </si>
  <si>
    <t xml:space="preserve">SAL_INT_147</t>
  </si>
  <si>
    <t xml:space="preserve">SAL_INT_148</t>
  </si>
  <si>
    <t xml:space="preserve">SAL_INT_149</t>
  </si>
  <si>
    <t xml:space="preserve">SAL_INT_150</t>
  </si>
  <si>
    <t xml:space="preserve">SAL_INT_151</t>
  </si>
  <si>
    <t xml:space="preserve">SAL_INT_152</t>
  </si>
  <si>
    <t xml:space="preserve">SAL_INT_153</t>
  </si>
  <si>
    <t xml:space="preserve">SAL_INT_154</t>
  </si>
  <si>
    <t xml:space="preserve">SAL_INT_155</t>
  </si>
  <si>
    <t xml:space="preserve">SAL_INT_156</t>
  </si>
  <si>
    <t xml:space="preserve">SAL_INT_157</t>
  </si>
  <si>
    <t xml:space="preserve">SAL_INT_158</t>
  </si>
  <si>
    <t xml:space="preserve">SAL_INT_159</t>
  </si>
  <si>
    <t xml:space="preserve">SAL_INT_160</t>
  </si>
  <si>
    <t xml:space="preserve">SAL_INT_161</t>
  </si>
  <si>
    <t xml:space="preserve">SAL_INT_162</t>
  </si>
  <si>
    <t xml:space="preserve">SAL_INT_163</t>
  </si>
  <si>
    <t xml:space="preserve">SAL_INT_164</t>
  </si>
  <si>
    <t xml:space="preserve">SAL_INT_165</t>
  </si>
  <si>
    <t xml:space="preserve">SAL_INT_166</t>
  </si>
  <si>
    <t xml:space="preserve">SAL_INT_167</t>
  </si>
  <si>
    <t xml:space="preserve">SAL_INT_168</t>
  </si>
  <si>
    <t xml:space="preserve">SAL_INT_169</t>
  </si>
  <si>
    <t xml:space="preserve">SAL_INT_170</t>
  </si>
  <si>
    <t xml:space="preserve">SAL_INT_171</t>
  </si>
  <si>
    <t xml:space="preserve">SAL_INT_172</t>
  </si>
  <si>
    <t xml:space="preserve">SAL_INT_173</t>
  </si>
  <si>
    <t xml:space="preserve">SAL_INT_174</t>
  </si>
  <si>
    <t xml:space="preserve">SAL_INT_175</t>
  </si>
  <si>
    <t xml:space="preserve">SAL_INT_176</t>
  </si>
  <si>
    <t xml:space="preserve">SAL_INT_177</t>
  </si>
  <si>
    <t xml:space="preserve">SAL_INT_178</t>
  </si>
  <si>
    <t xml:space="preserve">SAL_INT_179</t>
  </si>
  <si>
    <t xml:space="preserve">SAL_INT_180</t>
  </si>
  <si>
    <t xml:space="preserve">SAL_INT_181</t>
  </si>
  <si>
    <t xml:space="preserve">SAL_INT_182</t>
  </si>
  <si>
    <t xml:space="preserve">SAL_INT_183</t>
  </si>
  <si>
    <t xml:space="preserve">SAL_INT_184</t>
  </si>
  <si>
    <t xml:space="preserve">SAL_INT_185</t>
  </si>
  <si>
    <t xml:space="preserve">SAL_INT_186</t>
  </si>
  <si>
    <t xml:space="preserve">SAL_INT_187</t>
  </si>
  <si>
    <t xml:space="preserve">SAL_INT_188</t>
  </si>
  <si>
    <t xml:space="preserve">SAL_INT_189</t>
  </si>
  <si>
    <t xml:space="preserve">05. DỮ LIỆU ĐỘ DẪN ĐIỆN (EC), ĐỘ MẶN (‰) &amp; CHẤT LƯỢNG NƯỚC 2023–2026 (RIA2, SỞ NN&amp;MT ĐỒNG THÁP, MRC)</t>
  </si>
  <si>
    <t xml:space="preserve">Tách riêng cột Độ dẫn điện EC (mS/m &amp; µS/cm) và Độ mặn (‰) – Bổ sung chuỗi quan trắc định kỳ 2023, 2024, 2025</t>
  </si>
  <si>
    <t xml:space="preserve">Tên điểm / Tuyến quan trắc</t>
  </si>
  <si>
    <t xml:space="preserve">Ngày / Giai đoạn</t>
  </si>
  <si>
    <t xml:space="preserve">Đợt / Kỳ quan trắc</t>
  </si>
  <si>
    <t xml:space="preserve">EC (mS/m)</t>
  </si>
  <si>
    <t xml:space="preserve">EC (µS/cm)</t>
  </si>
  <si>
    <t xml:space="preserve">Độ mặn (‰)</t>
  </si>
  <si>
    <t xml:space="preserve">pH</t>
  </si>
  <si>
    <t xml:space="preserve">DO (mg/L)</t>
  </si>
  <si>
    <t xml:space="preserve">Độ kiềm kH (mg/L)</t>
  </si>
  <si>
    <t xml:space="preserve">N-NH4+ (mg/L)</t>
  </si>
  <si>
    <t xml:space="preserve">COD (mg/L)</t>
  </si>
  <si>
    <t xml:space="preserve">Ghi chú &amp; Khuyến cáo của cơ quan chuyên môn</t>
  </si>
  <si>
    <t xml:space="preserve">WQ_001</t>
  </si>
  <si>
    <t xml:space="preserve">1985-04-15 to 2023-12-15</t>
  </si>
  <si>
    <t xml:space="preserve">MONTHLY_SERIES (464 rows)</t>
  </si>
  <si>
    <t xml:space="preserve">https://drive.google.com/file/d/1jy4qNGTUyO5zFyLGqwi0B16K1XHlZehY/view?usp=drivesdk</t>
  </si>
  <si>
    <t xml:space="preserve">Chuỗi EC thực đo MRC tại Tân Châu (464 bản ghi trong bảng conductivity_observation); trung bình mùa khô ~19–28 mS/m</t>
  </si>
  <si>
    <t xml:space="preserve">WQ_002</t>
  </si>
  <si>
    <t xml:space="preserve">MONTHLY_SERIES (463 rows)</t>
  </si>
  <si>
    <t xml:space="preserve">Chuỗi EC thực đo MRC tại Mỹ Tho (463 bản ghi trong bảng conductivity_observation); biến động mạnh mùa khô theo xâm nhập mặn</t>
  </si>
  <si>
    <t xml:space="preserve">WQ_003</t>
  </si>
  <si>
    <t xml:space="preserve">Vùng nuôi cá tra Sông Tiền - Đồng Tháp (10 trạm RIA2)</t>
  </si>
  <si>
    <t xml:space="preserve">2023-06-01 to 2023-09-30</t>
  </si>
  <si>
    <t xml:space="preserve">BIWEEKLY_BATCH (Đợt 1–17/2023)</t>
  </si>
  <si>
    <t xml:space="preserve">Đề cương &amp; Bản tin quan trắc RIA2: đo Nhiệt độ, pH, DO, Độ dẫn (EC), Độ kiềm tại 10 điểm vùng nuôi cá tra Đồng Tháp</t>
  </si>
  <si>
    <t xml:space="preserve">WQ_004</t>
  </si>
  <si>
    <t xml:space="preserve">Sông Tiền (H. Châu Thành) &amp; Sông Hậu (H. Lai Vung)</t>
  </si>
  <si>
    <t xml:space="preserve">2024-01-31</t>
  </si>
  <si>
    <t xml:space="preserve">BATCH_1_2024 (Báo cáo 176/BC-CNTYTS)</t>
  </si>
  <si>
    <t xml:space="preserve">https://dongthapxanh.vn/bai-viet/quan-trac-nguon-nuoc/ket-qua-quan-trac-chat-luong-nuoc-phuc-vu-nuoi-thuy-san-dot-1-nam-2024.html</t>
  </si>
  <si>
    <t xml:space="preserve">Độ mặn sông Tiền (Châu Thành) &amp; sông Hậu (Lai Vung) đạt 0,07 ‰; DO thấp ở các kênh cấp</t>
  </si>
  <si>
    <t xml:space="preserve">WQ_005</t>
  </si>
  <si>
    <t xml:space="preserve">Các tuyến kênh huyện Tam Nông (Tân Công Sính 1, Phú Thành 1, Kênh Phèn)</t>
  </si>
  <si>
    <t xml:space="preserve">Độ mặn các tuyến kênh H. Tam Nông dao động 0,05 – 0,19 ‰; H2S dao động 0,051 – 0,064 mg/L</t>
  </si>
  <si>
    <t xml:space="preserve">WQ_006</t>
  </si>
  <si>
    <t xml:space="preserve">2024-02-07</t>
  </si>
  <si>
    <t xml:space="preserve">BATCH_2_2024 (Báo cáo 225/BC-CNTYTS)</t>
  </si>
  <si>
    <t xml:space="preserve">https://dongthapxanh.vn/bai-viet/quan-trac-nguon-nuoc/ket-qua-quan-trac-chat-luong-nuoc-phuc-vu-nuoi-thuy-san-dot-2-nam-2024.html</t>
  </si>
  <si>
    <t xml:space="preserve">Độ mặn sông Tiền (Châu Thành) &amp; sông Hậu (Lai Vung) ổn định ở mức 0,07 ‰</t>
  </si>
  <si>
    <t xml:space="preserve">WQ_007</t>
  </si>
  <si>
    <t xml:space="preserve">Độ mặn các tuyến kênh H. Tam Nông tăng nhẹ, dao động 0,06 – 0,21 ‰; H2S 0,053–0,072 mg/L; PO43- 0,12–0,22 mg/L</t>
  </si>
  <si>
    <t xml:space="preserve">WQ_008</t>
  </si>
  <si>
    <t xml:space="preserve">2025-04-01</t>
  </si>
  <si>
    <t xml:space="preserve">BATCH_1_2025 (Đợt 1 năm 2025)</t>
  </si>
  <si>
    <t xml:space="preserve">https://dongthapxanh.vn/bai-viet/du-bao-thuy-van/ket-qua-quan-trac-chat-luong-nuoc-phuc-vu-nuoi-thuy-san-dot-1-nam-2025.html</t>
  </si>
  <si>
    <t xml:space="preserve">Độ mặn tại sông Tiền (Châu Thành) và sông Hậu (Lai Vung) có độ mặn 0,08 ‰; kH &gt; 6 dH (107,4 mg/L CaCO3)</t>
  </si>
  <si>
    <t xml:space="preserve">WQ_009</t>
  </si>
  <si>
    <t xml:space="preserve">Các tuyến kênh huyện Tam Nông (Tân Công Sính 1, Kháng Chiến, Phú Thành 1)</t>
  </si>
  <si>
    <t xml:space="preserve">Độ mặn các tuyến kênh huyện Tam Nông dao động 0,06 – 0,14 ‰; N-NH4+ vượt ở Tân Công Sính 1 (0,35 mg/L)</t>
  </si>
  <si>
    <t xml:space="preserve">WQ_010</t>
  </si>
  <si>
    <t xml:space="preserve">2025-04-11</t>
  </si>
  <si>
    <t xml:space="preserve">BATCH_2_2025 (Đợt 2 năm 2025)</t>
  </si>
  <si>
    <t xml:space="preserve">Độ mặn sông Tiền (Châu Thành) &amp; sông Hậu (Lai Vung) giữ mức 0,08 ‰; COD vượt ở Kênh K6, Nguyễn Văn Tiếp (17–23 mg/L)</t>
  </si>
  <si>
    <t xml:space="preserve">WQ_011</t>
  </si>
  <si>
    <t xml:space="preserve">Độ mặn các tuyến kênh huyện Tam Nông dao động 0,05 – 0,13 ‰; PO43- dao động 0,12–0,31 mg/L</t>
  </si>
  <si>
    <t xml:space="preserve">WQ_012</t>
  </si>
  <si>
    <t xml:space="preserve">Mạng lưới 53 điểm quan trắc nguồn nước cấp thủy sản tỉnh Đồng Tháp</t>
  </si>
  <si>
    <t xml:space="preserve">KE_HOACH_1548_UBND (2026–2030)</t>
  </si>
  <si>
    <t xml:space="preserve">MONITORING_PROGRAM</t>
  </si>
  <si>
    <t xml:space="preserve">https://luatvietnam.vn/tai-nguyen/ke-hoach-1548-kh-ubnd-dong-thap-quan-trac-canh-bao-moi-truong-nuoi-trong-thuy-san-2026-2030-450753-d2.html</t>
  </si>
  <si>
    <t xml:space="preserve">Kế hoạch 1548/KH-UBND ngày 12/10/2026: quan trắc định kỳ 2 lần/tháng tại 53 điểm (EC, độ mặn, pH, DO, kiềm, NH4+, NO2-, PO43-, H2S, COD, TSS)</t>
  </si>
  <si>
    <t xml:space="preserve">WQ_013</t>
  </si>
  <si>
    <t xml:space="preserve">2023-08-15</t>
  </si>
  <si>
    <t xml:space="preserve">BATCH_14_2023 (BC 946/BC-CNTYTS)</t>
  </si>
  <si>
    <t xml:space="preserve">https://dongthapxanh.vn/bai-viet/du-bao-thuy-van/ket-qua-quan-trac-chat-luong-nuoc-phuc-vu-nuoi-thuy-san-dot-14-nam-2023.html</t>
  </si>
  <si>
    <t xml:space="preserve">Đợt 14/2023 (01–15/08/2023): N-NO2 và N-NH4 vượt ngưỡng tại sông Tiền &amp; sông Hậu</t>
  </si>
  <si>
    <t xml:space="preserve">WQ_014</t>
  </si>
  <si>
    <t xml:space="preserve">Các tuyến kênh huyện Tam Nông &amp; Tân Hồng</t>
  </si>
  <si>
    <t xml:space="preserve">Đợt 14/2023: DO thấp tại các kênh nội đồng; COD và TSS vượt ngưỡng cục bộ mùa lũ</t>
  </si>
  <si>
    <t xml:space="preserve">WQ_015</t>
  </si>
  <si>
    <t xml:space="preserve">Sông Tiền (Châu Thành, Cao Lãnh, Thanh Bình, Hồng Ngự)</t>
  </si>
  <si>
    <t xml:space="preserve">2023-10-15</t>
  </si>
  <si>
    <t xml:space="preserve">BATCH_10A_2023 (01–15/10/2023)</t>
  </si>
  <si>
    <t xml:space="preserve">https://dongthapxanh.vn/bai-viet/quan-trac-nguon-nuoc/ket-qua-quan-trac-chat-luong-nuoc-phuc-vu-nuoi-thuy-san-tu-01-15-10-2023.html</t>
  </si>
  <si>
    <t xml:space="preserve">Kỳ 01–15/10/2023: DO thuận lợi; N-NO2, N-NH4, P-PO4, COD, TSS vượt ngưỡng tại một số điểm</t>
  </si>
  <si>
    <t xml:space="preserve">WQ_016</t>
  </si>
  <si>
    <t xml:space="preserve">Sông Tiền (Châu Thành, Cao Lãnh) &amp; Sông Hậu (Lai Vung)</t>
  </si>
  <si>
    <t xml:space="preserve">2023-11-15</t>
  </si>
  <si>
    <t xml:space="preserve">BATCH_11A_2023 (01–15/11/2023)</t>
  </si>
  <si>
    <t xml:space="preserve">https://dongthapxanh.vn/bai-viet/quan-trac-nguon-nuoc/ket-qua-quan-trac-chat-luong-nuoc-phuc-vu-nuoi-thuy-san-tu-01-15-11-2023.html</t>
  </si>
  <si>
    <t xml:space="preserve">Kỳ 01–15/11/2023: Sắt tổng số (Fe) tại các điểm quan trắc vượt ngưỡng khuyến cáo 0,5 mg/L</t>
  </si>
  <si>
    <t xml:space="preserve">WQ_017</t>
  </si>
  <si>
    <t xml:space="preserve">2023-11-30</t>
  </si>
  <si>
    <t xml:space="preserve">BATCH_11B_2023 (16–30/11/2023)</t>
  </si>
  <si>
    <t xml:space="preserve">https://dongthapxanh.vn/bai-viet/quan-trac-nguon-nuoc/ket-qua-quan-trac-chat-luong-nuoc-phuc-vu-nuoi-thuy-san-tu-16-30-11-2023.html</t>
  </si>
  <si>
    <t xml:space="preserve">Kỳ 16–30/11/2023: Fe vượt 0,5 mg/L; Hg vượt 0,001 mg/L tại một số thủy vực</t>
  </si>
  <si>
    <t xml:space="preserve">WQ_018</t>
  </si>
  <si>
    <t xml:space="preserve">2023-12-31</t>
  </si>
  <si>
    <t xml:space="preserve">BATCH_12B_2023 (16–31/12/2023)</t>
  </si>
  <si>
    <t xml:space="preserve">https://dongthapxanh.vn/bai-viet/du-bao-thuy-van/ket-qua-quan-trac-chat-luong-nuoc-phuc-vu-nuoi-thuy-san-tu-16-31-12-2023.html</t>
  </si>
  <si>
    <t xml:space="preserve">Kỳ 16–31/12/2023: N-NO2, N-NH4, COD, TSS, Fe và Hg vượt ngưỡng tại một số điểm</t>
  </si>
  <si>
    <t xml:space="preserve">WQ_019</t>
  </si>
  <si>
    <t xml:space="preserve">2025-05-05</t>
  </si>
  <si>
    <t xml:space="preserve">BATCH_3_2025 (Đợt 3 năm 2025)</t>
  </si>
  <si>
    <t xml:space="preserve">https://dongthapxanh.vn/bai-viet/quan-trac-nguon-nuoc/ket-qua-quan-trac-chat-luong-nuoc-phuc-vu-nuoi-thuy-san-dot-3-nam-2025.html</t>
  </si>
  <si>
    <t xml:space="preserve">Đợt 3 năm 2025: Độ mặn sông Tiền (Châu Thành) và sông Hậu (Lai Vung) ở mức 0,08 ‰</t>
  </si>
  <si>
    <t xml:space="preserve">WQ_020</t>
  </si>
  <si>
    <t xml:space="preserve">Các tuyến kênh huyện Tam Nông (Tân Công Sính 1, Phú Thành 1)</t>
  </si>
  <si>
    <t xml:space="preserve">Đợt 3 năm 2025: Độ mặn các tuyến kênh huyện Tam Nông giảm nhẹ về cuối mùa khô</t>
  </si>
  <si>
    <t xml:space="preserve">WQ_021</t>
  </si>
  <si>
    <t xml:space="preserve">2025-05-20</t>
  </si>
  <si>
    <t xml:space="preserve">BATCH_4_2025 (Đợt 4 năm 2025)</t>
  </si>
  <si>
    <t xml:space="preserve">https://dongthapxanh.vn/bai-viet/du-bao-thuy-van/ket-qua-quan-trac-chat-luong-nuoc-phuc-vu-nuoi-thuy-san-dot-4-nam-2025.html</t>
  </si>
  <si>
    <t xml:space="preserve">Đợt 4 năm 2025: Chất lượng nước mặt sông Tiền và sông Hậu đầu mùa mưa cải thiện</t>
  </si>
  <si>
    <t xml:space="preserve">06. HỒ SƠ KỸ THUẬT 190 CÔNG TRÌNH CỐNG &amp; TRẠM BƠM ĐẦU MỐI (IRRIGATION_GATE)</t>
  </si>
  <si>
    <t xml:space="preserve">Trích xuất toàn văn Phụ lục 2 Quyết định 12/2023/QĐ-UBND (sửa đổi QĐ 04/2019/QĐ-UBND), QĐ 110/2026/QĐ-UBND &amp; Dự án Cống âu Nguyễn Tấn Thành</t>
  </si>
  <si>
    <t xml:space="preserve">Mã công trình (gate_code)</t>
  </si>
  <si>
    <t xml:space="preserve">Tên công trình</t>
  </si>
  <si>
    <t xml:space="preserve">Phân cấp quy mô</t>
  </si>
  <si>
    <t xml:space="preserve">STT trong nhóm</t>
  </si>
  <si>
    <t xml:space="preserve">Vị trí hành chính (Xã - Huyện/Thị/TP)</t>
  </si>
  <si>
    <t xml:space="preserve">Kết cấu cống</t>
  </si>
  <si>
    <t xml:space="preserve">Số cửa (khoang)</t>
  </si>
  <si>
    <t xml:space="preserve">Khẩu độ B (m)</t>
  </si>
  <si>
    <t xml:space="preserve">Cao trình đáy ▼ (m)</t>
  </si>
  <si>
    <t xml:space="preserve">Diện tích phục vụ (ha)</t>
  </si>
  <si>
    <t xml:space="preserve">Năm xây dựng</t>
  </si>
  <si>
    <t xml:space="preserve">Plus Code</t>
  </si>
  <si>
    <t xml:space="preserve">Chức năng &amp; Nhiệm vụ công trình</t>
  </si>
  <si>
    <t xml:space="preserve">GATE_TG_000</t>
  </si>
  <si>
    <t xml:space="preserve">Cống âu Nguyễn Tấn Thành</t>
  </si>
  <si>
    <t xml:space="preserve">CỐNG LỚN (CỐNG ÂU THUYỀN)</t>
  </si>
  <si>
    <t xml:space="preserve">Xã Song Thuận &amp; Kim Sơn - huyện Châu Thành</t>
  </si>
  <si>
    <t xml:space="preserve">Hệ thống cống ĐT.864 &amp; Nguyễn Tấn Thành</t>
  </si>
  <si>
    <t xml:space="preserve">Hở + Âu thuyền</t>
  </si>
  <si>
    <t xml:space="preserve">40,0 + 12,0 (Âu)</t>
  </si>
  <si>
    <t xml:space="preserve">2022-2024</t>
  </si>
  <si>
    <t xml:space="preserve">Ngăn mặn, trữ ngọt, kiểm soát triều cường bảo vệ 128.000 ha và cấp nước sinh hoạt cho 800.000 dân (nhà máy nước Đồng Tâm); kết hợp giao thông thủy</t>
  </si>
  <si>
    <t xml:space="preserve">GATE_TG_001</t>
  </si>
  <si>
    <t xml:space="preserve">Xuân Hòa</t>
  </si>
  <si>
    <t xml:space="preserve">CỐNG LỚN</t>
  </si>
  <si>
    <t xml:space="preserve">Xã Xuân Đông-huyện Chợ Gạo</t>
  </si>
  <si>
    <t xml:space="preserve">Dự án Ngọt hóa Gò Công</t>
  </si>
  <si>
    <t xml:space="preserve">Hở</t>
  </si>
  <si>
    <t xml:space="preserve">8,0</t>
  </si>
  <si>
    <t xml:space="preserve">1978</t>
  </si>
  <si>
    <t xml:space="preserve">Ngăn mặn, lấy ngọt, tiêu úng, điều tiết mực nước nội đồng theo QĐ 12/2023/QĐ-UBND &amp; QĐ 110/2026/QĐ-UBND</t>
  </si>
  <si>
    <t xml:space="preserve">GATE_TG_002</t>
  </si>
  <si>
    <t xml:space="preserve">Phường 10-xã Đạo Thạnh-Tp Mỹ Tho</t>
  </si>
  <si>
    <t xml:space="preserve">10,5</t>
  </si>
  <si>
    <t xml:space="preserve">2004</t>
  </si>
  <si>
    <t xml:space="preserve">GATE_TG_003</t>
  </si>
  <si>
    <t xml:space="preserve">Rạch Gầm</t>
  </si>
  <si>
    <t xml:space="preserve">Kim Sơn-huyện Châu Thành</t>
  </si>
  <si>
    <t xml:space="preserve">Hệ thống cống ĐT.864</t>
  </si>
  <si>
    <t xml:space="preserve">25,0</t>
  </si>
  <si>
    <t xml:space="preserve">2021</t>
  </si>
  <si>
    <t xml:space="preserve">GATE_TG_004</t>
  </si>
  <si>
    <t xml:space="preserve">Phú Phong</t>
  </si>
  <si>
    <t xml:space="preserve">Phú Phong-huyện Châu Thành</t>
  </si>
  <si>
    <t xml:space="preserve">GATE_TG_005</t>
  </si>
  <si>
    <t xml:space="preserve">CỐNG VỪA</t>
  </si>
  <si>
    <t xml:space="preserve">Xã Vĩnh Hựu-huyện Gò Công Tây</t>
  </si>
  <si>
    <t xml:space="preserve">1989</t>
  </si>
  <si>
    <t xml:space="preserve">GATE_TG_006</t>
  </si>
  <si>
    <t xml:space="preserve">Xã Long Chánh-TX Gò Công</t>
  </si>
  <si>
    <t xml:space="preserve">1988</t>
  </si>
  <si>
    <t xml:space="preserve">GATE_TG_007</t>
  </si>
  <si>
    <t xml:space="preserve">Số 3 Sông Tra</t>
  </si>
  <si>
    <t xml:space="preserve">Xã Đồng Sơn-huyện Gò Công Tây</t>
  </si>
  <si>
    <t xml:space="preserve">2,5</t>
  </si>
  <si>
    <t xml:space="preserve">1986</t>
  </si>
  <si>
    <t xml:space="preserve">COMMUNE_REPORTED_NULL_GEOM</t>
  </si>
  <si>
    <t xml:space="preserve">GATE_TG_008</t>
  </si>
  <si>
    <t xml:space="preserve">Cống Thủ Ngữ</t>
  </si>
  <si>
    <t xml:space="preserve">10,0</t>
  </si>
  <si>
    <t xml:space="preserve">2018</t>
  </si>
  <si>
    <t xml:space="preserve">GATE_TG_009</t>
  </si>
  <si>
    <t xml:space="preserve">Sơn Qui</t>
  </si>
  <si>
    <t xml:space="preserve">Xã Tân Trung-Long Hưng-Tx Gò Công</t>
  </si>
  <si>
    <t xml:space="preserve">2017-2018</t>
  </si>
  <si>
    <t xml:space="preserve">GATE_TG_010</t>
  </si>
  <si>
    <t xml:space="preserve">Nguyễn Văn Côn</t>
  </si>
  <si>
    <t xml:space="preserve">Xã Long Chánh-Long Hòa-Tx Gò Công</t>
  </si>
  <si>
    <t xml:space="preserve">7,5</t>
  </si>
  <si>
    <t xml:space="preserve">2016-2017</t>
  </si>
  <si>
    <t xml:space="preserve">GATE_TG_011</t>
  </si>
  <si>
    <t xml:space="preserve">Salisete</t>
  </si>
  <si>
    <t xml:space="preserve">Xã Long Thuận-Phường 5-Tx Gò Công</t>
  </si>
  <si>
    <t xml:space="preserve">GATE_TG_012</t>
  </si>
  <si>
    <t xml:space="preserve">Mười Nén</t>
  </si>
  <si>
    <t xml:space="preserve">Long Tiên-huyện Cai Lậy</t>
  </si>
  <si>
    <t xml:space="preserve">Dự án Đông - Tây Ba Rài (Cai Lậy)</t>
  </si>
  <si>
    <t xml:space="preserve">2013</t>
  </si>
  <si>
    <t xml:space="preserve">GATE_TG_013</t>
  </si>
  <si>
    <t xml:space="preserve">Cầu Ván</t>
  </si>
  <si>
    <t xml:space="preserve">Cẩm Sơn-huyện Cai Lậy</t>
  </si>
  <si>
    <t xml:space="preserve">GATE_TG_014</t>
  </si>
  <si>
    <t xml:space="preserve">Bầu Điền</t>
  </si>
  <si>
    <t xml:space="preserve">Long Trung-huyện Cai Lậy</t>
  </si>
  <si>
    <t xml:space="preserve">GATE_TG_015</t>
  </si>
  <si>
    <t xml:space="preserve">Cầu Kênh</t>
  </si>
  <si>
    <t xml:space="preserve">Phú An-huyện Cai Lậy</t>
  </si>
  <si>
    <t xml:space="preserve">2009</t>
  </si>
  <si>
    <t xml:space="preserve">GATE_TG_016</t>
  </si>
  <si>
    <t xml:space="preserve">Cái Lá</t>
  </si>
  <si>
    <t xml:space="preserve">Xã Hiệp Đức-huyện Cai Lậy</t>
  </si>
  <si>
    <t xml:space="preserve">GATE_TG_017</t>
  </si>
  <si>
    <t xml:space="preserve">Thầy Thanh</t>
  </si>
  <si>
    <t xml:space="preserve">Ranh xã Cẩm Sơn và xã Hội Xuân-huyện Cai Lậy</t>
  </si>
  <si>
    <t xml:space="preserve">GATE_TG_018</t>
  </si>
  <si>
    <t xml:space="preserve">Giồng Tre 1</t>
  </si>
  <si>
    <t xml:space="preserve">Xã Bình Phú-huyện Cai Lậy</t>
  </si>
  <si>
    <t xml:space="preserve">2017-2019</t>
  </si>
  <si>
    <t xml:space="preserve">GATE_TG_019</t>
  </si>
  <si>
    <t xml:space="preserve">Giồng Tre 2</t>
  </si>
  <si>
    <t xml:space="preserve">GATE_TG_020</t>
  </si>
  <si>
    <t xml:space="preserve">Xoài Hột</t>
  </si>
  <si>
    <t xml:space="preserve">Xã Bình Đức - huyện Châu Thành</t>
  </si>
  <si>
    <t xml:space="preserve">7P2888V5+QCW</t>
  </si>
  <si>
    <t xml:space="preserve">GATE_TG_021</t>
  </si>
  <si>
    <t xml:space="preserve">Cái Sơn</t>
  </si>
  <si>
    <t xml:space="preserve">Xã Tam Bình,-huyện Cai Lậy</t>
  </si>
  <si>
    <t xml:space="preserve">2022</t>
  </si>
  <si>
    <t xml:space="preserve">7P28844P+M8P</t>
  </si>
  <si>
    <t xml:space="preserve">GATE_TG_022</t>
  </si>
  <si>
    <t xml:space="preserve">Cây Còng</t>
  </si>
  <si>
    <t xml:space="preserve">7P28858Q+HHW</t>
  </si>
  <si>
    <t xml:space="preserve">GATE_TG_023</t>
  </si>
  <si>
    <t xml:space="preserve">Mù U</t>
  </si>
  <si>
    <t xml:space="preserve">20,0</t>
  </si>
  <si>
    <t xml:space="preserve">GATE_TG_024</t>
  </si>
  <si>
    <t xml:space="preserve">Hai Tân</t>
  </si>
  <si>
    <t xml:space="preserve">7P28858F+F72</t>
  </si>
  <si>
    <t xml:space="preserve">GATE_TG_025</t>
  </si>
  <si>
    <t xml:space="preserve">Ông Khánh</t>
  </si>
  <si>
    <t xml:space="preserve">CỐNG NHỎ</t>
  </si>
  <si>
    <t xml:space="preserve">Hòa Khánh-huyện Cái Bè</t>
  </si>
  <si>
    <t xml:space="preserve">Dự án Cái Bè - Trà Lọt</t>
  </si>
  <si>
    <t xml:space="preserve">2001</t>
  </si>
  <si>
    <t xml:space="preserve">GATE_TG_026</t>
  </si>
  <si>
    <t xml:space="preserve">Rạch Sâu</t>
  </si>
  <si>
    <t xml:space="preserve">5,6</t>
  </si>
  <si>
    <t xml:space="preserve">2010</t>
  </si>
  <si>
    <t xml:space="preserve">GATE_TG_027</t>
  </si>
  <si>
    <t xml:space="preserve">Vàm tắc 1</t>
  </si>
  <si>
    <t xml:space="preserve">Hội Xuân-huyện Cai Lậy</t>
  </si>
  <si>
    <t xml:space="preserve">5,0</t>
  </si>
  <si>
    <t xml:space="preserve">GATE_TG_028</t>
  </si>
  <si>
    <t xml:space="preserve">Vàm tắc 2</t>
  </si>
  <si>
    <t xml:space="preserve">GATE_TG_029</t>
  </si>
  <si>
    <t xml:space="preserve">Miễu Chay</t>
  </si>
  <si>
    <t xml:space="preserve">2012</t>
  </si>
  <si>
    <t xml:space="preserve">GATE_TG_030</t>
  </si>
  <si>
    <t xml:space="preserve">Ông Tùng</t>
  </si>
  <si>
    <t xml:space="preserve">GATE_TG_031</t>
  </si>
  <si>
    <t xml:space="preserve">Ông Bảo</t>
  </si>
  <si>
    <t xml:space="preserve">GATE_TG_032</t>
  </si>
  <si>
    <t xml:space="preserve">Cống 26/3</t>
  </si>
  <si>
    <t xml:space="preserve">GATE_TG_033</t>
  </si>
  <si>
    <t xml:space="preserve">Hai Xàng</t>
  </si>
  <si>
    <t xml:space="preserve">GATE_TG_034</t>
  </si>
  <si>
    <t xml:space="preserve">Bà Phú</t>
  </si>
  <si>
    <t xml:space="preserve">2002</t>
  </si>
  <si>
    <t xml:space="preserve">GATE_TG_035</t>
  </si>
  <si>
    <t xml:space="preserve">Đường nước</t>
  </si>
  <si>
    <t xml:space="preserve">Phú Quí -TX. Cai Lậy</t>
  </si>
  <si>
    <t xml:space="preserve">3,0</t>
  </si>
  <si>
    <t xml:space="preserve">GATE_TG_036</t>
  </si>
  <si>
    <t xml:space="preserve">Thanh Niên</t>
  </si>
  <si>
    <t xml:space="preserve">GATE_TG_037</t>
  </si>
  <si>
    <t xml:space="preserve">868</t>
  </si>
  <si>
    <t xml:space="preserve">GATE_TG_038</t>
  </si>
  <si>
    <t xml:space="preserve">Ông Thiệm</t>
  </si>
  <si>
    <t xml:space="preserve">Thanh Hòa-TX. Cai Lậy</t>
  </si>
  <si>
    <t xml:space="preserve">2016</t>
  </si>
  <si>
    <t xml:space="preserve">GATE_TG_039</t>
  </si>
  <si>
    <t xml:space="preserve">Ông Toan</t>
  </si>
  <si>
    <t xml:space="preserve">Phường 5, Thanh Hòa - TX.Cai Lậy</t>
  </si>
  <si>
    <t xml:space="preserve">GATE_TG_040</t>
  </si>
  <si>
    <t xml:space="preserve">Bà Ụt</t>
  </si>
  <si>
    <t xml:space="preserve">Thanh Hòa-TX.Cai Lậy</t>
  </si>
  <si>
    <t xml:space="preserve">GATE_TG_041</t>
  </si>
  <si>
    <t xml:space="preserve">Bà Thêm</t>
  </si>
  <si>
    <t xml:space="preserve">Đông Hòa Hiệp-huyện Cái Bè</t>
  </si>
  <si>
    <t xml:space="preserve">GATE_TG_042</t>
  </si>
  <si>
    <t xml:space="preserve">Chùa 1</t>
  </si>
  <si>
    <t xml:space="preserve">Tam Bình-huyện Cai Lậy</t>
  </si>
  <si>
    <t xml:space="preserve">GATE_TG_043</t>
  </si>
  <si>
    <t xml:space="preserve">Rạch Sơn</t>
  </si>
  <si>
    <t xml:space="preserve">GATE_TG_044</t>
  </si>
  <si>
    <t xml:space="preserve">Rạch Giồng</t>
  </si>
  <si>
    <t xml:space="preserve">Xã Phú An-huyện Cai Lậy</t>
  </si>
  <si>
    <t xml:space="preserve">2017</t>
  </si>
  <si>
    <t xml:space="preserve">GATE_TG_045</t>
  </si>
  <si>
    <t xml:space="preserve">Rạch Giồng-Ba Sở</t>
  </si>
  <si>
    <t xml:space="preserve">GATE_TG_046</t>
  </si>
  <si>
    <t xml:space="preserve">Thông Lưu</t>
  </si>
  <si>
    <t xml:space="preserve">GATE_TG_047</t>
  </si>
  <si>
    <t xml:space="preserve">Ấp 2</t>
  </si>
  <si>
    <t xml:space="preserve">4,0</t>
  </si>
  <si>
    <t xml:space="preserve">GATE_TG_048</t>
  </si>
  <si>
    <t xml:space="preserve">Đập Chùa</t>
  </si>
  <si>
    <t xml:space="preserve">GATE_TG_049</t>
  </si>
  <si>
    <t xml:space="preserve">Kênh 30/6</t>
  </si>
  <si>
    <t xml:space="preserve">Ranh Phường 2 và xã Thanh Hòa-Tx Cai Lậy</t>
  </si>
  <si>
    <t xml:space="preserve">GATE_TG_050</t>
  </si>
  <si>
    <t xml:space="preserve">Cả Nứa</t>
  </si>
  <si>
    <t xml:space="preserve">Xã Thanh Hòa-(Tx) Cai Lậy</t>
  </si>
  <si>
    <t xml:space="preserve">GATE_TG_051</t>
  </si>
  <si>
    <t xml:space="preserve">Hai Liêm</t>
  </si>
  <si>
    <t xml:space="preserve">Phường 2-Tx Cai Lậy</t>
  </si>
  <si>
    <t xml:space="preserve">2,0</t>
  </si>
  <si>
    <t xml:space="preserve">2018-2019</t>
  </si>
  <si>
    <t xml:space="preserve">GATE_TG_052</t>
  </si>
  <si>
    <t xml:space="preserve">Lộ Làng</t>
  </si>
  <si>
    <t xml:space="preserve">Xã Tân Bình-Tx Cai Lậy</t>
  </si>
  <si>
    <t xml:space="preserve">GATE_TG_053</t>
  </si>
  <si>
    <t xml:space="preserve">Ranh Làng</t>
  </si>
  <si>
    <t xml:space="preserve">Tròn</t>
  </si>
  <si>
    <t xml:space="preserve">F100</t>
  </si>
  <si>
    <t xml:space="preserve">GATE_TG_054</t>
  </si>
  <si>
    <t xml:space="preserve">Khách Minh</t>
  </si>
  <si>
    <t xml:space="preserve">GATE_TG_055</t>
  </si>
  <si>
    <t xml:space="preserve">Cây Sung</t>
  </si>
  <si>
    <t xml:space="preserve">GATE_TG_056</t>
  </si>
  <si>
    <t xml:space="preserve">Kháng Chiến</t>
  </si>
  <si>
    <t xml:space="preserve">Xã Hội Xuân-huyện Cai Lậy</t>
  </si>
  <si>
    <t xml:space="preserve">GATE_TG_057</t>
  </si>
  <si>
    <t xml:space="preserve">Ông Khậm</t>
  </si>
  <si>
    <t xml:space="preserve">Xã Cẩm Sơn-huyện Cai Lậy</t>
  </si>
  <si>
    <t xml:space="preserve">GATE_TG_058</t>
  </si>
  <si>
    <t xml:space="preserve">Ông Bản</t>
  </si>
  <si>
    <t xml:space="preserve">GATE_TG_059</t>
  </si>
  <si>
    <t xml:space="preserve">Thâm Rôm</t>
  </si>
  <si>
    <t xml:space="preserve">GATE_TG_060</t>
  </si>
  <si>
    <t xml:space="preserve">Lộ Hòa Thượng</t>
  </si>
  <si>
    <t xml:space="preserve">GATE_TG_061</t>
  </si>
  <si>
    <t xml:space="preserve">Kênh Đứng</t>
  </si>
  <si>
    <t xml:space="preserve">GATE_TG_062</t>
  </si>
  <si>
    <t xml:space="preserve">Bờ Keo</t>
  </si>
  <si>
    <t xml:space="preserve">GATE_TG_063</t>
  </si>
  <si>
    <t xml:space="preserve">Đồng Sao-Cả Nứa</t>
  </si>
  <si>
    <t xml:space="preserve">GATE_TG_064</t>
  </si>
  <si>
    <t xml:space="preserve">Hai Huệ</t>
  </si>
  <si>
    <t xml:space="preserve">GATE_TG_065</t>
  </si>
  <si>
    <t xml:space="preserve">Bà Gòn</t>
  </si>
  <si>
    <t xml:space="preserve">GATE_TG_066</t>
  </si>
  <si>
    <t xml:space="preserve">Cả Chát</t>
  </si>
  <si>
    <t xml:space="preserve">Xã Thanh Hòa-huyện Cai Lậy</t>
  </si>
  <si>
    <t xml:space="preserve">GATE_TG_067</t>
  </si>
  <si>
    <t xml:space="preserve">Cây Me</t>
  </si>
  <si>
    <t xml:space="preserve">GATE_TG_068</t>
  </si>
  <si>
    <t xml:space="preserve">Chín Chương</t>
  </si>
  <si>
    <t xml:space="preserve">2019</t>
  </si>
  <si>
    <t xml:space="preserve">GATE_TG_069</t>
  </si>
  <si>
    <t xml:space="preserve">Kênh Lộ Cũ</t>
  </si>
  <si>
    <t xml:space="preserve">Xã Thanh Hòa-Tx Cai Lậy</t>
  </si>
  <si>
    <t xml:space="preserve">GATE_TG_070</t>
  </si>
  <si>
    <t xml:space="preserve">Phường 3, xã Mỹ Phong-Tp Mỹ Tho</t>
  </si>
  <si>
    <t xml:space="preserve">1999</t>
  </si>
  <si>
    <t xml:space="preserve">GATE_TG_071</t>
  </si>
  <si>
    <t xml:space="preserve">Xã Tân Thuận Bình - huyện Chợ Gạo</t>
  </si>
  <si>
    <t xml:space="preserve">5,5</t>
  </si>
  <si>
    <t xml:space="preserve">2008</t>
  </si>
  <si>
    <t xml:space="preserve">GATE_TG_072</t>
  </si>
  <si>
    <t xml:space="preserve">Mương Đào</t>
  </si>
  <si>
    <t xml:space="preserve">Xã Long Hưng - huyện Châu Thành</t>
  </si>
  <si>
    <t xml:space="preserve">GATE_TG_073</t>
  </si>
  <si>
    <t xml:space="preserve">Xáng Cụt</t>
  </si>
  <si>
    <t xml:space="preserve">GATE_TG_074</t>
  </si>
  <si>
    <t xml:space="preserve">Cái Ngang</t>
  </si>
  <si>
    <t xml:space="preserve">P.10 và xã Trung An - Tp MT</t>
  </si>
  <si>
    <t xml:space="preserve">GATE_TG_075</t>
  </si>
  <si>
    <t xml:space="preserve">Ông Văn C</t>
  </si>
  <si>
    <t xml:space="preserve">TT Chợ Gạo - huyện Chợ Gạo</t>
  </si>
  <si>
    <t xml:space="preserve">2015</t>
  </si>
  <si>
    <t xml:space="preserve">GATE_TG_076</t>
  </si>
  <si>
    <t xml:space="preserve">Long Hiệp</t>
  </si>
  <si>
    <t xml:space="preserve">Xã Quơn Long - huyện Chợ Gạo</t>
  </si>
  <si>
    <t xml:space="preserve">Hộp</t>
  </si>
  <si>
    <t xml:space="preserve">1,5x2</t>
  </si>
  <si>
    <t xml:space="preserve">1989, 2007</t>
  </si>
  <si>
    <t xml:space="preserve">GATE_TG_077</t>
  </si>
  <si>
    <t xml:space="preserve">Nghị Tĩnh</t>
  </si>
  <si>
    <t xml:space="preserve">0,8</t>
  </si>
  <si>
    <t xml:space="preserve">1980</t>
  </si>
  <si>
    <t xml:space="preserve">GATE_TG_078</t>
  </si>
  <si>
    <t xml:space="preserve">Lộ Xoài</t>
  </si>
  <si>
    <t xml:space="preserve">Xã Song Bình - huyện Chợ Gạo</t>
  </si>
  <si>
    <t xml:space="preserve">2x2</t>
  </si>
  <si>
    <t xml:space="preserve">GATE_TG_079</t>
  </si>
  <si>
    <t xml:space="preserve">Số 7</t>
  </si>
  <si>
    <t xml:space="preserve">Xã Long Bình Điền - huyện Chợ Gạo</t>
  </si>
  <si>
    <t xml:space="preserve">2011</t>
  </si>
  <si>
    <t xml:space="preserve">GATE_TG_080</t>
  </si>
  <si>
    <t xml:space="preserve">Quản Thọ 1</t>
  </si>
  <si>
    <t xml:space="preserve">Xã Hưng Thạnh - huyện Tân Phước</t>
  </si>
  <si>
    <t xml:space="preserve">4,5</t>
  </si>
  <si>
    <t xml:space="preserve">GATE_TG_081</t>
  </si>
  <si>
    <t xml:space="preserve">Quản Thọ 2</t>
  </si>
  <si>
    <t xml:space="preserve">Xã Tam Hiệp - huyện Châu Thành</t>
  </si>
  <si>
    <t xml:space="preserve">GATE_TG_082</t>
  </si>
  <si>
    <t xml:space="preserve">Cầu Quán</t>
  </si>
  <si>
    <t xml:space="preserve">Xã Phú Mỹ - huyện Tân Phước</t>
  </si>
  <si>
    <t xml:space="preserve">2,6</t>
  </si>
  <si>
    <t xml:space="preserve">1985</t>
  </si>
  <si>
    <t xml:space="preserve">GATE_TG_083</t>
  </si>
  <si>
    <t xml:space="preserve">Nghị Tĩnh mới</t>
  </si>
  <si>
    <t xml:space="preserve">2014</t>
  </si>
  <si>
    <t xml:space="preserve">GATE_TG_084</t>
  </si>
  <si>
    <t xml:space="preserve">Rạch Gốc</t>
  </si>
  <si>
    <t xml:space="preserve">Xã Tân Hoà Thành-huyện Tân Phước</t>
  </si>
  <si>
    <t xml:space="preserve">1983</t>
  </si>
  <si>
    <t xml:space="preserve">GATE_TG_085</t>
  </si>
  <si>
    <t xml:space="preserve">Bà Nghĩa</t>
  </si>
  <si>
    <t xml:space="preserve">Xã Phú Mỹ-huyện Tân Phước</t>
  </si>
  <si>
    <t xml:space="preserve">ϕ150</t>
  </si>
  <si>
    <t xml:space="preserve">GATE_TG_086</t>
  </si>
  <si>
    <t xml:space="preserve">Tượng</t>
  </si>
  <si>
    <t xml:space="preserve">Xã Hưng Thạnh-huyện Tân Phước</t>
  </si>
  <si>
    <t xml:space="preserve">GATE_TG_087</t>
  </si>
  <si>
    <t xml:space="preserve">Ba Đô</t>
  </si>
  <si>
    <t xml:space="preserve">Xã Bình Đức-huyện Châu Thành (rạch Xoài Hột)</t>
  </si>
  <si>
    <t xml:space="preserve">GATE_TG_088</t>
  </si>
  <si>
    <t xml:space="preserve">Lộ Tổng</t>
  </si>
  <si>
    <t xml:space="preserve">Lương Hòa Lạc-huyện Chợ Gạo</t>
  </si>
  <si>
    <t xml:space="preserve">1,6x1,6</t>
  </si>
  <si>
    <t xml:space="preserve">GATE_TG_089</t>
  </si>
  <si>
    <t xml:space="preserve">Ninh Đồng</t>
  </si>
  <si>
    <t xml:space="preserve">Đồng Sơn-huyện Gò Công Tây</t>
  </si>
  <si>
    <t xml:space="preserve">GATE_TG_090</t>
  </si>
  <si>
    <t xml:space="preserve">Cầu Cống</t>
  </si>
  <si>
    <t xml:space="preserve">Xã Song Thuận - huyện Châu Thành</t>
  </si>
  <si>
    <t xml:space="preserve">7,0</t>
  </si>
  <si>
    <t xml:space="preserve">GATE_TG_091</t>
  </si>
  <si>
    <t xml:space="preserve">Ông Đăng</t>
  </si>
  <si>
    <t xml:space="preserve">Mỹ Tịnh An - huyện Chợ Gạo</t>
  </si>
  <si>
    <t xml:space="preserve">GATE_TG_092</t>
  </si>
  <si>
    <t xml:space="preserve">Xã Phước Trung - huyện Gò Công Đông</t>
  </si>
  <si>
    <t xml:space="preserve">GATE_TG_093</t>
  </si>
  <si>
    <t xml:space="preserve">Xã Tân Phước-huyện Gò Công Đông</t>
  </si>
  <si>
    <t xml:space="preserve">1998</t>
  </si>
  <si>
    <t xml:space="preserve">GATE_TG_094</t>
  </si>
  <si>
    <t xml:space="preserve">Tân Thành-huyện Gò Công Đông</t>
  </si>
  <si>
    <t xml:space="preserve">GATE_TG_095</t>
  </si>
  <si>
    <t xml:space="preserve">Rạch Bùn mới</t>
  </si>
  <si>
    <t xml:space="preserve">Xã Tân Điền-huyện Gò Công Đông</t>
  </si>
  <si>
    <t xml:space="preserve">GATE_TG_096</t>
  </si>
  <si>
    <t xml:space="preserve">Số 4 Sông Tra</t>
  </si>
  <si>
    <t xml:space="preserve">1984</t>
  </si>
  <si>
    <t xml:space="preserve">GATE_TG_097</t>
  </si>
  <si>
    <t xml:space="preserve">Xã Gia Thuận-huyện Gò Công Đông</t>
  </si>
  <si>
    <t xml:space="preserve">1997</t>
  </si>
  <si>
    <t xml:space="preserve">GATE_TG_098</t>
  </si>
  <si>
    <t xml:space="preserve">Xã Bình Xuân-TX Gò Công</t>
  </si>
  <si>
    <t xml:space="preserve">1996</t>
  </si>
  <si>
    <t xml:space="preserve">GATE_TG_099</t>
  </si>
  <si>
    <t xml:space="preserve">Xã Long Bình-huyện Gò Công Tây</t>
  </si>
  <si>
    <t xml:space="preserve">1995</t>
  </si>
  <si>
    <t xml:space="preserve">GATE_TG_100</t>
  </si>
  <si>
    <t xml:space="preserve">Tân Trung-TX Gò Công</t>
  </si>
  <si>
    <t xml:space="preserve">GATE_TG_101</t>
  </si>
  <si>
    <t xml:space="preserve">Rạch Già</t>
  </si>
  <si>
    <t xml:space="preserve">Xã Phước Trung-huyện Gò Công Đông</t>
  </si>
  <si>
    <t xml:space="preserve">1993</t>
  </si>
  <si>
    <t xml:space="preserve">GATE_TG_102</t>
  </si>
  <si>
    <t xml:space="preserve">Bình Đông-TX Gò Công</t>
  </si>
  <si>
    <t xml:space="preserve">3,5</t>
  </si>
  <si>
    <t xml:space="preserve">GATE_TG_103</t>
  </si>
  <si>
    <t xml:space="preserve">Rạch Đung</t>
  </si>
  <si>
    <t xml:space="preserve">3,4</t>
  </si>
  <si>
    <t xml:space="preserve">GATE_TG_104</t>
  </si>
  <si>
    <t xml:space="preserve">Bình Long</t>
  </si>
  <si>
    <t xml:space="preserve">Xã Bình Ninh-huyện Chợ Gạo</t>
  </si>
  <si>
    <t xml:space="preserve">1994</t>
  </si>
  <si>
    <t xml:space="preserve">GATE_TG_105</t>
  </si>
  <si>
    <t xml:space="preserve">Bà Lọ</t>
  </si>
  <si>
    <t xml:space="preserve">Xã Hòa Định-huyện Chợ Gạo</t>
  </si>
  <si>
    <t xml:space="preserve">2003</t>
  </si>
  <si>
    <t xml:space="preserve">GATE_TG_106</t>
  </si>
  <si>
    <t xml:space="preserve">Ba Thừa</t>
  </si>
  <si>
    <t xml:space="preserve">1,0</t>
  </si>
  <si>
    <t xml:space="preserve">2006</t>
  </si>
  <si>
    <t xml:space="preserve">GATE_TG_107</t>
  </si>
  <si>
    <t xml:space="preserve">Rạch Vách</t>
  </si>
  <si>
    <t xml:space="preserve">GATE_TG_108</t>
  </si>
  <si>
    <t xml:space="preserve">Năm Út</t>
  </si>
  <si>
    <t xml:space="preserve">Xã Long Vĩnh-huyện Gò Công Tây</t>
  </si>
  <si>
    <t xml:space="preserve">GATE_TG_109</t>
  </si>
  <si>
    <t xml:space="preserve">Bà Cò</t>
  </si>
  <si>
    <t xml:space="preserve">Xã Bình Tân-huyện Gò Công Tây</t>
  </si>
  <si>
    <t xml:space="preserve">1,8</t>
  </si>
  <si>
    <t xml:space="preserve">1992</t>
  </si>
  <si>
    <t xml:space="preserve">GATE_TG_110</t>
  </si>
  <si>
    <t xml:space="preserve">Cống Đá</t>
  </si>
  <si>
    <t xml:space="preserve">1,5</t>
  </si>
  <si>
    <t xml:space="preserve">GATE_TG_111</t>
  </si>
  <si>
    <t xml:space="preserve">Chủ Khá</t>
  </si>
  <si>
    <t xml:space="preserve">2,3</t>
  </si>
  <si>
    <t xml:space="preserve">GATE_TG_112</t>
  </si>
  <si>
    <t xml:space="preserve">Dương Hòa</t>
  </si>
  <si>
    <t xml:space="preserve">GATE_TG_113</t>
  </si>
  <si>
    <t xml:space="preserve">Nghĩa Chí (Số 1 Bến Chùa cũ)</t>
  </si>
  <si>
    <t xml:space="preserve">2007</t>
  </si>
  <si>
    <t xml:space="preserve">GATE_TG_114</t>
  </si>
  <si>
    <t xml:space="preserve">Tân Thành</t>
  </si>
  <si>
    <t xml:space="preserve">GATE_TG_115</t>
  </si>
  <si>
    <t xml:space="preserve">C1</t>
  </si>
  <si>
    <t xml:space="preserve">2005</t>
  </si>
  <si>
    <t xml:space="preserve">GATE_TG_116</t>
  </si>
  <si>
    <t xml:space="preserve">C2</t>
  </si>
  <si>
    <t xml:space="preserve">GATE_TG_117</t>
  </si>
  <si>
    <t xml:space="preserve">Số 1 Vàm Láng</t>
  </si>
  <si>
    <t xml:space="preserve">Vàm Láng-huyện Gò Công Đông</t>
  </si>
  <si>
    <t xml:space="preserve">GATE_TG_118</t>
  </si>
  <si>
    <t xml:space="preserve">Xã Sách</t>
  </si>
  <si>
    <t xml:space="preserve">GATE_TG_119</t>
  </si>
  <si>
    <t xml:space="preserve">Bình Đông II</t>
  </si>
  <si>
    <t xml:space="preserve">GATE_TG_120</t>
  </si>
  <si>
    <t xml:space="preserve">Bà Mụ</t>
  </si>
  <si>
    <t xml:space="preserve">GATE_TG_121</t>
  </si>
  <si>
    <t xml:space="preserve">Rạch Nâu</t>
  </si>
  <si>
    <t xml:space="preserve">GATE_TG_122</t>
  </si>
  <si>
    <t xml:space="preserve">Rạch Tắc</t>
  </si>
  <si>
    <t xml:space="preserve">GATE_TG_123</t>
  </si>
  <si>
    <t xml:space="preserve">Rạch Rơm</t>
  </si>
  <si>
    <t xml:space="preserve">GATE_TG_124</t>
  </si>
  <si>
    <t xml:space="preserve">Xã Bình Phú-huyện Gò Công Tây</t>
  </si>
  <si>
    <t xml:space="preserve">GATE_TG_125</t>
  </si>
  <si>
    <t xml:space="preserve">Sơn Qui A</t>
  </si>
  <si>
    <t xml:space="preserve">TX. Gò Công</t>
  </si>
  <si>
    <t xml:space="preserve">1,2</t>
  </si>
  <si>
    <t xml:space="preserve">GATE_TG_126</t>
  </si>
  <si>
    <t xml:space="preserve">Bình Xuân</t>
  </si>
  <si>
    <t xml:space="preserve">GATE_TG_127</t>
  </si>
  <si>
    <t xml:space="preserve">Bà Xồm</t>
  </si>
  <si>
    <t xml:space="preserve">GATE_TG_128</t>
  </si>
  <si>
    <t xml:space="preserve">Thợ Tiện</t>
  </si>
  <si>
    <t xml:space="preserve">GATE_TG_129</t>
  </si>
  <si>
    <t xml:space="preserve">Bình Đông</t>
  </si>
  <si>
    <t xml:space="preserve">GATE_TG_130</t>
  </si>
  <si>
    <t xml:space="preserve">Rạch Trăn</t>
  </si>
  <si>
    <t xml:space="preserve">GATE_TG_131</t>
  </si>
  <si>
    <t xml:space="preserve">Công Lươn</t>
  </si>
  <si>
    <t xml:space="preserve">GATE_TG_132</t>
  </si>
  <si>
    <t xml:space="preserve">Mười Sùng</t>
  </si>
  <si>
    <t xml:space="preserve">GATE_TG_133</t>
  </si>
  <si>
    <t xml:space="preserve">Hai Do</t>
  </si>
  <si>
    <t xml:space="preserve">GATE_TG_134</t>
  </si>
  <si>
    <t xml:space="preserve">Rạch Chợ</t>
  </si>
  <si>
    <t xml:space="preserve">2,5x2,5</t>
  </si>
  <si>
    <t xml:space="preserve">1976</t>
  </si>
  <si>
    <t xml:space="preserve">GATE_TG_135</t>
  </si>
  <si>
    <t xml:space="preserve">Bà Giảng</t>
  </si>
  <si>
    <t xml:space="preserve">1,5x1,5</t>
  </si>
  <si>
    <t xml:space="preserve">1973</t>
  </si>
  <si>
    <t xml:space="preserve">GATE_TG_136</t>
  </si>
  <si>
    <t xml:space="preserve">Gò Gừa</t>
  </si>
  <si>
    <t xml:space="preserve">Xã Thành Công-huyện Gò Công Tây</t>
  </si>
  <si>
    <t xml:space="preserve">1974</t>
  </si>
  <si>
    <t xml:space="preserve">GATE_TG_137</t>
  </si>
  <si>
    <t xml:space="preserve">Sáu Thoàn</t>
  </si>
  <si>
    <t xml:space="preserve">GATE_TG_138</t>
  </si>
  <si>
    <t xml:space="preserve">Số 1 Sông Tra</t>
  </si>
  <si>
    <t xml:space="preserve">Xã Bình Phục I-huyện Chợ Gạo</t>
  </si>
  <si>
    <t xml:space="preserve">GATE_TG_139</t>
  </si>
  <si>
    <t xml:space="preserve">Số 2 Sông Tra</t>
  </si>
  <si>
    <t xml:space="preserve">GATE_TG_140</t>
  </si>
  <si>
    <t xml:space="preserve">7P287PFW+2GR</t>
  </si>
  <si>
    <t xml:space="preserve">GATE_TG_141</t>
  </si>
  <si>
    <t xml:space="preserve">Cần Lộc</t>
  </si>
  <si>
    <t xml:space="preserve">GATE_TG_142</t>
  </si>
  <si>
    <t xml:space="preserve">Bầu Sấu</t>
  </si>
  <si>
    <t xml:space="preserve">1990</t>
  </si>
  <si>
    <t xml:space="preserve">GATE_TG_143</t>
  </si>
  <si>
    <t xml:space="preserve">Kênh Huyện</t>
  </si>
  <si>
    <t xml:space="preserve">GATE_TG_144</t>
  </si>
  <si>
    <t xml:space="preserve">Số 2 Bến Chùa</t>
  </si>
  <si>
    <t xml:space="preserve">GATE_TG_145</t>
  </si>
  <si>
    <t xml:space="preserve">Xóm Gồng</t>
  </si>
  <si>
    <t xml:space="preserve">GATE_TG_146</t>
  </si>
  <si>
    <t xml:space="preserve">Khương Thọ II</t>
  </si>
  <si>
    <t xml:space="preserve">1,8x1,8</t>
  </si>
  <si>
    <t xml:space="preserve">GATE_TG_147</t>
  </si>
  <si>
    <t xml:space="preserve">Xóm Bến</t>
  </si>
  <si>
    <t xml:space="preserve">GATE_TG_148</t>
  </si>
  <si>
    <t xml:space="preserve">Chủ Chớ</t>
  </si>
  <si>
    <t xml:space="preserve">F150</t>
  </si>
  <si>
    <t xml:space="preserve">GATE_TG_149</t>
  </si>
  <si>
    <t xml:space="preserve">Hai Chớ</t>
  </si>
  <si>
    <t xml:space="preserve">GATE_TG_150</t>
  </si>
  <si>
    <t xml:space="preserve">Hai Năng</t>
  </si>
  <si>
    <t xml:space="preserve">GATE_TG_151</t>
  </si>
  <si>
    <t xml:space="preserve">Khương Ninh (Năm Đực)</t>
  </si>
  <si>
    <t xml:space="preserve">GATE_TG_152</t>
  </si>
  <si>
    <t xml:space="preserve">Cầu Kiều</t>
  </si>
  <si>
    <t xml:space="preserve">1,8x2</t>
  </si>
  <si>
    <t xml:space="preserve">GATE_TG_153</t>
  </si>
  <si>
    <t xml:space="preserve">Tư Lớn</t>
  </si>
  <si>
    <t xml:space="preserve">0,8x0,8</t>
  </si>
  <si>
    <t xml:space="preserve">GATE_TG_154</t>
  </si>
  <si>
    <t xml:space="preserve">Ba Đại (Hòa Phú)</t>
  </si>
  <si>
    <t xml:space="preserve">GATE_TG_155</t>
  </si>
  <si>
    <t xml:space="preserve">Mười Đen</t>
  </si>
  <si>
    <t xml:space="preserve">GATE_TG_156</t>
  </si>
  <si>
    <t xml:space="preserve">Năm Le (Sáu Triệu)</t>
  </si>
  <si>
    <t xml:space="preserve">GATE_TG_157</t>
  </si>
  <si>
    <t xml:space="preserve">Cống 862</t>
  </si>
  <si>
    <t xml:space="preserve">Xã Thạnh Trị-huyện Gò Công Tây</t>
  </si>
  <si>
    <t xml:space="preserve">1,8x2,5</t>
  </si>
  <si>
    <t xml:space="preserve">GATE_TG_158</t>
  </si>
  <si>
    <t xml:space="preserve">Cống N8</t>
  </si>
  <si>
    <t xml:space="preserve">2,8</t>
  </si>
  <si>
    <t xml:space="preserve">GATE_TG_159</t>
  </si>
  <si>
    <t xml:space="preserve">Bình Phan</t>
  </si>
  <si>
    <t xml:space="preserve">Xã Bình Phan-huyện Chợ Gạo</t>
  </si>
  <si>
    <t xml:space="preserve">2,2</t>
  </si>
  <si>
    <t xml:space="preserve">2000</t>
  </si>
  <si>
    <t xml:space="preserve">GATE_TG_160</t>
  </si>
  <si>
    <t xml:space="preserve">TN Bình Đông</t>
  </si>
  <si>
    <t xml:space="preserve">Xã Tân Trung-TX Gò Công</t>
  </si>
  <si>
    <t xml:space="preserve">GATE_TG_161</t>
  </si>
  <si>
    <t xml:space="preserve">Khương Thọ I</t>
  </si>
  <si>
    <t xml:space="preserve">GATE_TG_162</t>
  </si>
  <si>
    <t xml:space="preserve">Muôn Nghiệp</t>
  </si>
  <si>
    <t xml:space="preserve">Xã Bình Đông-TX Gò Công</t>
  </si>
  <si>
    <t xml:space="preserve">GATE_TG_163</t>
  </si>
  <si>
    <t xml:space="preserve">Hương lộ 6</t>
  </si>
  <si>
    <t xml:space="preserve">GATE_TG_164</t>
  </si>
  <si>
    <t xml:space="preserve">Cống dưới đê nhánh 2</t>
  </si>
  <si>
    <t xml:space="preserve">ấp Rạch Bùn - Tân Điền-huyện Gò Công Đông</t>
  </si>
  <si>
    <t xml:space="preserve">GATE_TG_165</t>
  </si>
  <si>
    <t xml:space="preserve">Cống dưới đê nhánh 3</t>
  </si>
  <si>
    <t xml:space="preserve">GATE_TG_166</t>
  </si>
  <si>
    <t xml:space="preserve">Cống tưới Rạch Xẻo</t>
  </si>
  <si>
    <t xml:space="preserve">ấp Xóm Rẩy - Kiểng Phước-huyện Gò Công Đông</t>
  </si>
  <si>
    <t xml:space="preserve">GATE_TG_167</t>
  </si>
  <si>
    <t xml:space="preserve">Cống tiêu Rạch Xẻo</t>
  </si>
  <si>
    <t xml:space="preserve">1,7x1,7</t>
  </si>
  <si>
    <t xml:space="preserve">GATE_TG_168</t>
  </si>
  <si>
    <t xml:space="preserve">Hòa Phú</t>
  </si>
  <si>
    <t xml:space="preserve">Long Bình-huyện Gò Công Tây</t>
  </si>
  <si>
    <t xml:space="preserve">GATE_TG_169</t>
  </si>
  <si>
    <t xml:space="preserve">Thạnh Lợi</t>
  </si>
  <si>
    <t xml:space="preserve">Bình Tân-huyện Gò Công Tây</t>
  </si>
  <si>
    <t xml:space="preserve">GATE_TG_170</t>
  </si>
  <si>
    <t xml:space="preserve">Rạch Mã</t>
  </si>
  <si>
    <t xml:space="preserve">GATE_TG_171</t>
  </si>
  <si>
    <t xml:space="preserve">Rạch Đào</t>
  </si>
  <si>
    <t xml:space="preserve">GATE_TG_172</t>
  </si>
  <si>
    <t xml:space="preserve">Rạch Chợ (Xuân Đông)</t>
  </si>
  <si>
    <t xml:space="preserve">GATE_TG_173</t>
  </si>
  <si>
    <t xml:space="preserve">Lý Hoàng</t>
  </si>
  <si>
    <t xml:space="preserve">Tân Phú-huyện Tân Phú Đông</t>
  </si>
  <si>
    <t xml:space="preserve">Dự án Phú Thạnh - Phú Đông</t>
  </si>
  <si>
    <t xml:space="preserve">5,3</t>
  </si>
  <si>
    <t xml:space="preserve">GATE_TG_174</t>
  </si>
  <si>
    <t xml:space="preserve">Phú Thạnh-huyện Tân Phú Đông</t>
  </si>
  <si>
    <t xml:space="preserve">GATE_TG_175</t>
  </si>
  <si>
    <t xml:space="preserve">Lý Ngươn</t>
  </si>
  <si>
    <t xml:space="preserve">Phú Đông-huyện Tân Phú Đông</t>
  </si>
  <si>
    <t xml:space="preserve">GATE_TG_176</t>
  </si>
  <si>
    <t xml:space="preserve">Lý Quàn</t>
  </si>
  <si>
    <t xml:space="preserve">GATE_TG_177</t>
  </si>
  <si>
    <t xml:space="preserve">Bà Lắm</t>
  </si>
  <si>
    <t xml:space="preserve">GATE_TG_178</t>
  </si>
  <si>
    <t xml:space="preserve">Bà Tài</t>
  </si>
  <si>
    <t xml:space="preserve">GATE_TG_179</t>
  </si>
  <si>
    <t xml:space="preserve">GATE_TG_180</t>
  </si>
  <si>
    <t xml:space="preserve">Bần Ranh</t>
  </si>
  <si>
    <t xml:space="preserve">ϕ100</t>
  </si>
  <si>
    <t xml:space="preserve">GATE_TG_181</t>
  </si>
  <si>
    <t xml:space="preserve">Kênh Ngang</t>
  </si>
  <si>
    <t xml:space="preserve">GATE_TG_182</t>
  </si>
  <si>
    <t xml:space="preserve">Huyện lộ 17</t>
  </si>
  <si>
    <t xml:space="preserve">GATE_TG_183</t>
  </si>
  <si>
    <t xml:space="preserve">Tân Xuân</t>
  </si>
  <si>
    <t xml:space="preserve">GATE_TG_184</t>
  </si>
  <si>
    <t xml:space="preserve">Lồ Ồ</t>
  </si>
  <si>
    <t xml:space="preserve">GATE_TG_185</t>
  </si>
  <si>
    <t xml:space="preserve">CC1</t>
  </si>
  <si>
    <t xml:space="preserve">GATE_TG_186</t>
  </si>
  <si>
    <t xml:space="preserve">Cống 1 kênh LT</t>
  </si>
  <si>
    <t xml:space="preserve">GATE_TG_187</t>
  </si>
  <si>
    <t xml:space="preserve">Cống 2 kênh LT</t>
  </si>
  <si>
    <t xml:space="preserve">GATE_TG_188</t>
  </si>
  <si>
    <t xml:space="preserve">Cống Lộ Xoài (kênh Chợ Gạo)</t>
  </si>
  <si>
    <t xml:space="preserve">Song Bình-huyện Chợ Gạo</t>
  </si>
  <si>
    <t xml:space="preserve">PUMP_TG_190</t>
  </si>
  <si>
    <t xml:space="preserve">Trạm bơm Bình Phan</t>
  </si>
  <si>
    <t xml:space="preserve">TRẠM BƠM ĐẦU MỐI</t>
  </si>
  <si>
    <t xml:space="preserve">Xã Bình Phan - huyện Chợ Gạo</t>
  </si>
  <si>
    <t xml:space="preserve">Trạm bơm (8 máy)</t>
  </si>
  <si>
    <t xml:space="preserve">32.000 m3/h</t>
  </si>
  <si>
    <t xml:space="preserve">Trạm bơm tiếp ngọt bổ sung vùng Gò Công (Công suất 32.000 m3/h, 8 tổ máy)</t>
  </si>
  <si>
    <t xml:space="preserve">07. HỒ SƠ KỸ THUẬT KÊNH TRỤC (KÈM LƯU LƯỢNG Q m3/s) &amp; 20 TUYẾN ĐÊ BIỂN / ĐÊ SÔNG</t>
  </si>
  <si>
    <t xml:space="preserve">Trích xuất từ Phụ lục 1 và Phụ lục 3 Quyết định 12/2023/QĐ-UBND phục vụ mô hình thủy lực &amp; phân vùng ngăn mặn WebGIS</t>
  </si>
  <si>
    <t xml:space="preserve">I. DANH MỤC KÊNH LỚN, KÊNH VỪA &amp; KÊNH NHỎ TRỌNG ĐIỂM (PHỤ LỤC 1 QĐ 12/2023/QĐ-UBND)</t>
  </si>
  <si>
    <t xml:space="preserve">Mã kênh</t>
  </si>
  <si>
    <t xml:space="preserve">Phân cấp</t>
  </si>
  <si>
    <t xml:space="preserve">Tên tuyến kênh / Rạch</t>
  </si>
  <si>
    <t xml:space="preserve">Địa bàn đi qua</t>
  </si>
  <si>
    <t xml:space="preserve">Điểm đầu</t>
  </si>
  <si>
    <t xml:space="preserve">Điểm cuối</t>
  </si>
  <si>
    <t xml:space="preserve">Chiều dài L (m)</t>
  </si>
  <si>
    <t xml:space="preserve">Bề rộng mặt B (m)</t>
  </si>
  <si>
    <t xml:space="preserve">Bề rộng đáy b (m)</t>
  </si>
  <si>
    <t xml:space="preserve">Lưu lượng thiết kế Q (m3/s)</t>
  </si>
  <si>
    <t xml:space="preserve">Nguồn pháp lý</t>
  </si>
  <si>
    <t xml:space="preserve">CANAL_L_01</t>
  </si>
  <si>
    <t xml:space="preserve">KÊNH LỚN</t>
  </si>
  <si>
    <t xml:space="preserve">Sông Ba Rài - Kênh 12</t>
  </si>
  <si>
    <t xml:space="preserve">Cai Lậy &amp; TX. Cai Lậy</t>
  </si>
  <si>
    <t xml:space="preserve">Kênh Hai Hạt - Trương Văn Sanh</t>
  </si>
  <si>
    <t xml:space="preserve">40-:-60</t>
  </si>
  <si>
    <t xml:space="preserve">15-:-20</t>
  </si>
  <si>
    <t xml:space="preserve">-3,0 đến -7,0</t>
  </si>
  <si>
    <t xml:space="preserve">Phụ lục 1 QĐ 12/2023/QĐ-UBND</t>
  </si>
  <si>
    <t xml:space="preserve">CANAL_L_02</t>
  </si>
  <si>
    <t xml:space="preserve">Rạch Cái Cối</t>
  </si>
  <si>
    <t xml:space="preserve">Huyện Cái Bè</t>
  </si>
  <si>
    <t xml:space="preserve">Sông Tiền (Hòa Khánh)</t>
  </si>
  <si>
    <t xml:space="preserve">Sông Tiền (Tân Thanh)</t>
  </si>
  <si>
    <t xml:space="preserve">108-:-178</t>
  </si>
  <si>
    <t xml:space="preserve">30-:-60</t>
  </si>
  <si>
    <t xml:space="preserve">-10,0 đến -7,6</t>
  </si>
  <si>
    <t xml:space="preserve">CANAL_L_03</t>
  </si>
  <si>
    <t xml:space="preserve">TP. Mỹ Tho, Châu Thành, Chợ Gạo</t>
  </si>
  <si>
    <t xml:space="preserve">Rạch Bà Lý</t>
  </si>
  <si>
    <t xml:space="preserve">20-:-30</t>
  </si>
  <si>
    <t xml:space="preserve">-4,0</t>
  </si>
  <si>
    <t xml:space="preserve">CANAL_L_04</t>
  </si>
  <si>
    <t xml:space="preserve">Kênh Xuân Hòa - Cầu Ngang</t>
  </si>
  <si>
    <t xml:space="preserve">Chợ Gạo, Gò Công Tây</t>
  </si>
  <si>
    <t xml:space="preserve">Sông Tiền (Cống Xuân Hòa)</t>
  </si>
  <si>
    <t xml:space="preserve">Rạch Vàm Giồng</t>
  </si>
  <si>
    <t xml:space="preserve">35</t>
  </si>
  <si>
    <t xml:space="preserve">16</t>
  </si>
  <si>
    <t xml:space="preserve">-3,5 đến -4,0</t>
  </si>
  <si>
    <t xml:space="preserve">CANAL_L_05</t>
  </si>
  <si>
    <t xml:space="preserve">Kim Sơn, Vĩnh Kim, Bàn Long - Châu Thành</t>
  </si>
  <si>
    <t xml:space="preserve">Ranh huyện Châu Thành</t>
  </si>
  <si>
    <t xml:space="preserve">55-:-100</t>
  </si>
  <si>
    <t xml:space="preserve">28-:-50</t>
  </si>
  <si>
    <t xml:space="preserve">-3,5 đến -5,0</t>
  </si>
  <si>
    <t xml:space="preserve">CANAL_L_06</t>
  </si>
  <si>
    <t xml:space="preserve">Rạch Phú Phong</t>
  </si>
  <si>
    <t xml:space="preserve">Phú Phong - Châu Thành</t>
  </si>
  <si>
    <t xml:space="preserve">Kênh Cây Còng</t>
  </si>
  <si>
    <t xml:space="preserve">50-:-85</t>
  </si>
  <si>
    <t xml:space="preserve">23-:-40</t>
  </si>
  <si>
    <t xml:space="preserve">CANAL_V_01</t>
  </si>
  <si>
    <t xml:space="preserve">KÊNH VỪA</t>
  </si>
  <si>
    <t xml:space="preserve">Kênh Lộ Mới</t>
  </si>
  <si>
    <t xml:space="preserve">Huyện Tân Phước</t>
  </si>
  <si>
    <t xml:space="preserve">Kênh Nguyễn Văn Tiếp</t>
  </si>
  <si>
    <t xml:space="preserve">Kênh Bắc Đông</t>
  </si>
  <si>
    <t xml:space="preserve">23-:-37</t>
  </si>
  <si>
    <t xml:space="preserve">12-:-19</t>
  </si>
  <si>
    <t xml:space="preserve">-2,2 đến -3,0</t>
  </si>
  <si>
    <t xml:space="preserve">CANAL_V_02</t>
  </si>
  <si>
    <t xml:space="preserve">Kênh 1</t>
  </si>
  <si>
    <t xml:space="preserve">Ngã 3 Láng Cát</t>
  </si>
  <si>
    <t xml:space="preserve">23-:-27</t>
  </si>
  <si>
    <t xml:space="preserve">12-:-14</t>
  </si>
  <si>
    <t xml:space="preserve">-2,9 đến -3,2</t>
  </si>
  <si>
    <t xml:space="preserve">CANAL_V_03</t>
  </si>
  <si>
    <t xml:space="preserve">Kênh 14</t>
  </si>
  <si>
    <t xml:space="preserve">Gò Công Tây, TX. Gò Công</t>
  </si>
  <si>
    <t xml:space="preserve">Kênh Salisette</t>
  </si>
  <si>
    <t xml:space="preserve">30</t>
  </si>
  <si>
    <t xml:space="preserve">13</t>
  </si>
  <si>
    <t xml:space="preserve">-3,5</t>
  </si>
  <si>
    <t xml:space="preserve">CANAL_V_04</t>
  </si>
  <si>
    <t xml:space="preserve">Cống Gò Công</t>
  </si>
  <si>
    <t xml:space="preserve">18</t>
  </si>
  <si>
    <t xml:space="preserve">-2,5</t>
  </si>
  <si>
    <t xml:space="preserve">CANAL_V_05</t>
  </si>
  <si>
    <t xml:space="preserve">Huyện Gò Công Đông</t>
  </si>
  <si>
    <t xml:space="preserve">Đê biển (Cống Rạch Bùn)</t>
  </si>
  <si>
    <t xml:space="preserve">15</t>
  </si>
  <si>
    <t xml:space="preserve">CANAL_V_06</t>
  </si>
  <si>
    <t xml:space="preserve">TX. Gò Công, Gò Công Đông</t>
  </si>
  <si>
    <t xml:space="preserve">Cống Long Uông</t>
  </si>
  <si>
    <t xml:space="preserve">25</t>
  </si>
  <si>
    <t xml:space="preserve">CANAL_V_07</t>
  </si>
  <si>
    <t xml:space="preserve">Kênh Champeaux</t>
  </si>
  <si>
    <t xml:space="preserve">Cống Tân Thành</t>
  </si>
  <si>
    <t xml:space="preserve">7</t>
  </si>
  <si>
    <t xml:space="preserve">CANAL_V_08</t>
  </si>
  <si>
    <t xml:space="preserve">Sông Vàm Cỏ (Cống Vàm Tháp)</t>
  </si>
  <si>
    <t xml:space="preserve">40</t>
  </si>
  <si>
    <t xml:space="preserve">20</t>
  </si>
  <si>
    <t xml:space="preserve">-2,5 đến -3,5</t>
  </si>
  <si>
    <t xml:space="preserve">CANAL_V_20</t>
  </si>
  <si>
    <t xml:space="preserve">Rạch Trà Lọt - Kênh 7</t>
  </si>
  <si>
    <t xml:space="preserve">Hòa Khánh - Cái Bè</t>
  </si>
  <si>
    <t xml:space="preserve">Kênh Hai Hạt</t>
  </si>
  <si>
    <t xml:space="preserve">40-:-70</t>
  </si>
  <si>
    <t xml:space="preserve">14-:-22</t>
  </si>
  <si>
    <t xml:space="preserve">-2,0 đến -9,0</t>
  </si>
  <si>
    <t xml:space="preserve">CANAL_V_37</t>
  </si>
  <si>
    <t xml:space="preserve">Rạch Trà Tân - Kênh Bang Lợi - Rạch Gầm</t>
  </si>
  <si>
    <t xml:space="preserve">Long Trung, Long Tiên, Mỹ Long - Cai Lậy</t>
  </si>
  <si>
    <t xml:space="preserve">Sông Năm Thôn</t>
  </si>
  <si>
    <t xml:space="preserve">Ranh Châu Thành</t>
  </si>
  <si>
    <t xml:space="preserve">20-:-40</t>
  </si>
  <si>
    <t xml:space="preserve">10-:-15</t>
  </si>
  <si>
    <t xml:space="preserve">-1,5 đến -6,3</t>
  </si>
  <si>
    <t xml:space="preserve">CANAL_V_38</t>
  </si>
  <si>
    <t xml:space="preserve">Rạch Mù U - Ba Muồng</t>
  </si>
  <si>
    <t xml:space="preserve">Tam Bình, Long Tiên, Long Khánh - Cai Lậy</t>
  </si>
  <si>
    <t xml:space="preserve">13-:-44</t>
  </si>
  <si>
    <t xml:space="preserve">-3,5 đến -4,5</t>
  </si>
  <si>
    <t xml:space="preserve">CANAL_V_39</t>
  </si>
  <si>
    <t xml:space="preserve">Kênh Hai Tân - Cầu Gió - Ông 10</t>
  </si>
  <si>
    <t xml:space="preserve">Tam Bình, Long Tiên, Mỹ Long - Cai Lậy</t>
  </si>
  <si>
    <t xml:space="preserve">Kênh Lộ Đất</t>
  </si>
  <si>
    <t xml:space="preserve">5-:-10</t>
  </si>
  <si>
    <t xml:space="preserve">-2,0 đến -3,0</t>
  </si>
  <si>
    <t xml:space="preserve">CANAL_V_43</t>
  </si>
  <si>
    <t xml:space="preserve">Rạch Cái Lá</t>
  </si>
  <si>
    <t xml:space="preserve">Hiệp Đức - Cai Lậy</t>
  </si>
  <si>
    <t xml:space="preserve">Rạch Ông Khậm</t>
  </si>
  <si>
    <t xml:space="preserve">15-:-35</t>
  </si>
  <si>
    <t xml:space="preserve">3-:-10</t>
  </si>
  <si>
    <t xml:space="preserve">-1,0 đến -3,0</t>
  </si>
  <si>
    <t xml:space="preserve">CANAL_V_47</t>
  </si>
  <si>
    <t xml:space="preserve">Kênh Bến Chùa - Chợ Bưng</t>
  </si>
  <si>
    <t xml:space="preserve">Châu Thành, Tân Phước</t>
  </si>
  <si>
    <t xml:space="preserve">22-:-29</t>
  </si>
  <si>
    <t xml:space="preserve">11-:-15</t>
  </si>
  <si>
    <t xml:space="preserve">-1,5 đến -4,5</t>
  </si>
  <si>
    <t xml:space="preserve">CANAL_V_50</t>
  </si>
  <si>
    <t xml:space="preserve">Rạch Xoài Hột</t>
  </si>
  <si>
    <t xml:space="preserve">Bình Đức, Thạnh Phú - Châu Thành; Phước Thạnh - Mỹ Tho</t>
  </si>
  <si>
    <t xml:space="preserve">Quốc lộ 1A</t>
  </si>
  <si>
    <t xml:space="preserve">-3,0 đến -5,0</t>
  </si>
  <si>
    <t xml:space="preserve">CANAL_V_55</t>
  </si>
  <si>
    <t xml:space="preserve">Mỹ Tho, Chợ Gạo</t>
  </si>
  <si>
    <t xml:space="preserve">Cống Tân Thuận Bình</t>
  </si>
  <si>
    <t xml:space="preserve">20-:-25</t>
  </si>
  <si>
    <t xml:space="preserve">10-:-13</t>
  </si>
  <si>
    <t xml:space="preserve">-1,8 đến -3,5</t>
  </si>
  <si>
    <t xml:space="preserve">CANAL_V_64</t>
  </si>
  <si>
    <t xml:space="preserve">Kênh Xóm Gồng</t>
  </si>
  <si>
    <t xml:space="preserve">Cống Xóm Gồng</t>
  </si>
  <si>
    <t xml:space="preserve">8</t>
  </si>
  <si>
    <t xml:space="preserve">-2,50</t>
  </si>
  <si>
    <t xml:space="preserve">CANAL_V_68</t>
  </si>
  <si>
    <t xml:space="preserve">Kênh Tham Thu</t>
  </si>
  <si>
    <t xml:space="preserve">Chợ Gạo, Gò Công Tây, TX. Gò Công</t>
  </si>
  <si>
    <t xml:space="preserve">Kênh Bình Phan</t>
  </si>
  <si>
    <t xml:space="preserve">Ao Cấp Thủy TX. Gò Công</t>
  </si>
  <si>
    <t xml:space="preserve">10</t>
  </si>
  <si>
    <t xml:space="preserve">-2,2 đến -2,7</t>
  </si>
  <si>
    <t xml:space="preserve">CANAL_N_14</t>
  </si>
  <si>
    <t xml:space="preserve">KÊNH NHỎ</t>
  </si>
  <si>
    <t xml:space="preserve">Rạch Cái Sơn</t>
  </si>
  <si>
    <t xml:space="preserve">Xã Tam Bình, Long Tiên - Cai Lậy</t>
  </si>
  <si>
    <t xml:space="preserve">Kênh Đồng Phèn</t>
  </si>
  <si>
    <t xml:space="preserve">8-:-10</t>
  </si>
  <si>
    <t xml:space="preserve">CANAL_N_15</t>
  </si>
  <si>
    <t xml:space="preserve">Xã Tam Bình - Cai Lậy</t>
  </si>
  <si>
    <t xml:space="preserve">Kênh Cầu Bàng</t>
  </si>
  <si>
    <t xml:space="preserve">6-:-10</t>
  </si>
  <si>
    <t xml:space="preserve">II. DANH MỤC 20 TUYẾN ĐÊ BIỂN, ĐÊ CỬA SÔNG &amp; ĐÊ SÔNG (PHỤ LỤC 3 QĐ 12/2023/QĐ-UBND)</t>
  </si>
  <si>
    <t xml:space="preserve">Mã tuyến đê</t>
  </si>
  <si>
    <t xml:space="preserve">STT</t>
  </si>
  <si>
    <t xml:space="preserve">Tên tuyến đê</t>
  </si>
  <si>
    <t xml:space="preserve">Vị trí hành chính</t>
  </si>
  <si>
    <t xml:space="preserve">Điểm đầu (Lý trình)</t>
  </si>
  <si>
    <t xml:space="preserve">Điểm cuối (Lý trình)</t>
  </si>
  <si>
    <t xml:space="preserve">Bề rộng mặt đê (m)</t>
  </si>
  <si>
    <t xml:space="preserve">Cao trình đỉnh đê (m)</t>
  </si>
  <si>
    <t xml:space="preserve">Hệ số mái phía sông/biển</t>
  </si>
  <si>
    <t xml:space="preserve">Hệ số mái phía đồng</t>
  </si>
  <si>
    <t xml:space="preserve">Ghi chú phạm vi bảo vệ</t>
  </si>
  <si>
    <t xml:space="preserve">DIKE_TG_01</t>
  </si>
  <si>
    <t xml:space="preserve">Đê Biển</t>
  </si>
  <si>
    <t xml:space="preserve">TT Vàm Láng, Kiểng Phước, Tân Điền, Tân Thành - huyện Gò Công Đông</t>
  </si>
  <si>
    <t xml:space="preserve">ĐT 871 (K16+500)</t>
  </si>
  <si>
    <t xml:space="preserve">Cống Rạch Gốc (K37+700)</t>
  </si>
  <si>
    <t xml:space="preserve">21.200</t>
  </si>
  <si>
    <t xml:space="preserve">+3,50 -:- +4,00</t>
  </si>
  <si>
    <t xml:space="preserve">3</t>
  </si>
  <si>
    <t xml:space="preserve">2</t>
  </si>
  <si>
    <t xml:space="preserve">Trước 1975</t>
  </si>
  <si>
    <t xml:space="preserve">Phạm vi bảo vệ đê đoạn từ ĐT 871 (ngã 4 đường vào KCN Soài Rạp) đến cống Rạch Xẻo được tính từ chân đê về phía biển và phía đồng là 5 mét</t>
  </si>
  <si>
    <t xml:space="preserve">DIKE_TG_02</t>
  </si>
  <si>
    <t xml:space="preserve">Nhánh 1</t>
  </si>
  <si>
    <t xml:space="preserve">Tân Điền - huyện Gò Công Đông</t>
  </si>
  <si>
    <t xml:space="preserve">Đường cặp kênh Ba (K0+000)</t>
  </si>
  <si>
    <t xml:space="preserve">Đê Biển (K5+550)</t>
  </si>
  <si>
    <t xml:space="preserve">550</t>
  </si>
  <si>
    <t xml:space="preserve">+2,50</t>
  </si>
  <si>
    <t xml:space="preserve">2020</t>
  </si>
  <si>
    <t xml:space="preserve">DIKE_TG_03</t>
  </si>
  <si>
    <t xml:space="preserve">Nhánh 2 (Bờ Bắc kênh Trần Văn Dõng)</t>
  </si>
  <si>
    <t xml:space="preserve">Đê Dự phòng (K0+092)</t>
  </si>
  <si>
    <t xml:space="preserve">Đê Biển (K0+703)</t>
  </si>
  <si>
    <t xml:space="preserve">611</t>
  </si>
  <si>
    <t xml:space="preserve">+4,00</t>
  </si>
  <si>
    <t xml:space="preserve">DIKE_TG_04</t>
  </si>
  <si>
    <t xml:space="preserve">Nhánh 3 (Bờ Nam kênh Trần Văn Dõng)</t>
  </si>
  <si>
    <t xml:space="preserve">Đê Dự phòng (K0+094)</t>
  </si>
  <si>
    <t xml:space="preserve">Đê Biển (K0+687)</t>
  </si>
  <si>
    <t xml:space="preserve">593</t>
  </si>
  <si>
    <t xml:space="preserve">DIKE_TG_05</t>
  </si>
  <si>
    <t xml:space="preserve">Cửa sông Gò Công 1 (Ven sông Soài Rạp)</t>
  </si>
  <si>
    <t xml:space="preserve">Tân Phước, Gia Thuận - huyện Gò Công Đông</t>
  </si>
  <si>
    <t xml:space="preserve">Cống Vàm Tháp (K0+000)</t>
  </si>
  <si>
    <t xml:space="preserve">ĐT 871B (K11+497)</t>
  </si>
  <si>
    <t xml:space="preserve">11.497</t>
  </si>
  <si>
    <t xml:space="preserve">4 -:- 5</t>
  </si>
  <si>
    <t xml:space="preserve">+2,60 -:- +3,00</t>
  </si>
  <si>
    <t xml:space="preserve">Đoạn từ ĐT871B đến ĐT871 giao khu công nghiệp Soài Rạp quản lý</t>
  </si>
  <si>
    <t xml:space="preserve">DIKE_TG_06</t>
  </si>
  <si>
    <t xml:space="preserve">Cửa sông Gò Công 1 (Ven sông Cửa Tiểu)</t>
  </si>
  <si>
    <t xml:space="preserve">Tân Thành, Tăng Hòa, Phước Trung - huyện Gò Công Đông</t>
  </si>
  <si>
    <t xml:space="preserve">Cống rạch Gốc (K37+700)</t>
  </si>
  <si>
    <t xml:space="preserve">Cửa rạch Long Uông (K44+185)</t>
  </si>
  <si>
    <t xml:space="preserve">6.485</t>
  </si>
  <si>
    <t xml:space="preserve">5-:-6</t>
  </si>
  <si>
    <t xml:space="preserve">+2,65 -:- +3,00</t>
  </si>
  <si>
    <t xml:space="preserve">1975</t>
  </si>
  <si>
    <t xml:space="preserve">DIKE_TG_07</t>
  </si>
  <si>
    <t xml:space="preserve">Cửa sông Gò Công 2</t>
  </si>
  <si>
    <t xml:space="preserve">Phú Thạnh, Phú Đông - huyện Tân Phú Đông</t>
  </si>
  <si>
    <t xml:space="preserve">Cầu tạm Bà Tiên - xã Phú Đông (K0+000)</t>
  </si>
  <si>
    <t xml:space="preserve">Cầu tạm Bà Tiên - xã Phú Đông (K24+773)</t>
  </si>
  <si>
    <t xml:space="preserve">24.773</t>
  </si>
  <si>
    <t xml:space="preserve">4-:-6</t>
  </si>
  <si>
    <t xml:space="preserve">+2,30 -:- +4,00</t>
  </si>
  <si>
    <t xml:space="preserve">DIKE_TG_08</t>
  </si>
  <si>
    <t xml:space="preserve">Kinh Nhiếm</t>
  </si>
  <si>
    <t xml:space="preserve">Phú Thạnh - huyện Tân Phú Đông</t>
  </si>
  <si>
    <t xml:space="preserve">ĐT 872B (K0+000)</t>
  </si>
  <si>
    <t xml:space="preserve">ĐT 877B (K2+659)</t>
  </si>
  <si>
    <t xml:space="preserve">2.659</t>
  </si>
  <si>
    <t xml:space="preserve">+2,30 -:- +3,00</t>
  </si>
  <si>
    <t xml:space="preserve">DIKE_TG_09</t>
  </si>
  <si>
    <t xml:space="preserve">Tân Xuân - Tân Thạnh</t>
  </si>
  <si>
    <t xml:space="preserve">Tân Phú - huyện Tân Phú Đông</t>
  </si>
  <si>
    <t xml:space="preserve">ĐT 877B (K0+000)</t>
  </si>
  <si>
    <t xml:space="preserve">Rạch Lồ Ồ (K5+000)</t>
  </si>
  <si>
    <t xml:space="preserve">5.000</t>
  </si>
  <si>
    <t xml:space="preserve">+2,50 -:- +3,00</t>
  </si>
  <si>
    <t xml:space="preserve">DIKE_TG_10</t>
  </si>
  <si>
    <t xml:space="preserve">2 tuyến đê cặp kênh liên thông</t>
  </si>
  <si>
    <t xml:space="preserve">Phú Thạnh, Tân Phú - huyện Tân Phú Đông</t>
  </si>
  <si>
    <t xml:space="preserve">Đê Kinh Nhiếm</t>
  </si>
  <si>
    <t xml:space="preserve">Đê Tân Xuân - Tân Thạnh</t>
  </si>
  <si>
    <t xml:space="preserve">177,50</t>
  </si>
  <si>
    <t xml:space="preserve">+2,90</t>
  </si>
  <si>
    <t xml:space="preserve">1,25</t>
  </si>
  <si>
    <t xml:space="preserve">DIKE_TG_11</t>
  </si>
  <si>
    <t xml:space="preserve">Bình Ninh</t>
  </si>
  <si>
    <t xml:space="preserve">Hòa Định, Bình Ninh - huyện Chợ Gạo</t>
  </si>
  <si>
    <t xml:space="preserve">Cầu Hòa Định (K0+000)</t>
  </si>
  <si>
    <t xml:space="preserve">Cống Vàm Giồng (K10+800)</t>
  </si>
  <si>
    <t xml:space="preserve">10.800</t>
  </si>
  <si>
    <t xml:space="preserve">3,5 -:- 6</t>
  </si>
  <si>
    <t xml:space="preserve">+2,65 -:- +2,70</t>
  </si>
  <si>
    <t xml:space="preserve">DIKE_TG_12</t>
  </si>
  <si>
    <t xml:space="preserve">Long Bình, Bình Tân - huyện Gò Công Tây</t>
  </si>
  <si>
    <t xml:space="preserve">ĐH 16 (K26+470)</t>
  </si>
  <si>
    <t xml:space="preserve">ĐT 877 (K36+450)</t>
  </si>
  <si>
    <t xml:space="preserve">9.980</t>
  </si>
  <si>
    <t xml:space="preserve">3,5 -:- 5</t>
  </si>
  <si>
    <t xml:space="preserve">+2,50 -:- +2,65</t>
  </si>
  <si>
    <t xml:space="preserve">DIKE_TG_13</t>
  </si>
  <si>
    <t xml:space="preserve">Hòa Thạnh - Thuận Trị</t>
  </si>
  <si>
    <t xml:space="preserve">Bình Tân - huyện Gò Công Tây</t>
  </si>
  <si>
    <t xml:space="preserve">ĐT 877 (K40+150)</t>
  </si>
  <si>
    <t xml:space="preserve">3.700</t>
  </si>
  <si>
    <t xml:space="preserve">DIKE_TG_14</t>
  </si>
  <si>
    <t xml:space="preserve">Tả sông Cửa Tiểu</t>
  </si>
  <si>
    <t xml:space="preserve">Bình Tân - huyện Gò Công Tây, Phước Trung - huyện Gò Công Đông</t>
  </si>
  <si>
    <t xml:space="preserve">ĐT 877 (K39+450)</t>
  </si>
  <si>
    <t xml:space="preserve">Cửa rạch Long Uông (K50+670)</t>
  </si>
  <si>
    <t xml:space="preserve">11.220</t>
  </si>
  <si>
    <t xml:space="preserve">4 -:- 6</t>
  </si>
  <si>
    <t xml:space="preserve">DIKE_TG_15</t>
  </si>
  <si>
    <t xml:space="preserve">Soài Rạp</t>
  </si>
  <si>
    <t xml:space="preserve">Bình Xuân, Bình Đông, Tân Trung - thị xã Gò Công</t>
  </si>
  <si>
    <t xml:space="preserve">Cống Bình Xuân (K53+800)</t>
  </si>
  <si>
    <t xml:space="preserve">Cống Vàm Tháp (K72+741)</t>
  </si>
  <si>
    <t xml:space="preserve">18.941</t>
  </si>
  <si>
    <t xml:space="preserve">+2,50 -:- +2,80</t>
  </si>
  <si>
    <t xml:space="preserve">DIKE_TG_16</t>
  </si>
  <si>
    <t xml:space="preserve">Đông rạch Gò Công</t>
  </si>
  <si>
    <t xml:space="preserve">Tân Trung, Bình Đông, Bình Xuân - thị xã Gò Công</t>
  </si>
  <si>
    <t xml:space="preserve">Cống Gò Công (K40+789)</t>
  </si>
  <si>
    <t xml:space="preserve">13.011</t>
  </si>
  <si>
    <t xml:space="preserve">DIKE_TG_17</t>
  </si>
  <si>
    <t xml:space="preserve">Long Chánh</t>
  </si>
  <si>
    <t xml:space="preserve">Long Chánh - thị xã Gò Công</t>
  </si>
  <si>
    <t xml:space="preserve">Cống Gò Gừa (K37+953)</t>
  </si>
  <si>
    <t xml:space="preserve">2.836</t>
  </si>
  <si>
    <t xml:space="preserve">DIKE_TG_18</t>
  </si>
  <si>
    <t xml:space="preserve">Tây rạch Gò Công</t>
  </si>
  <si>
    <t xml:space="preserve">Đồng Sơn, Bình Phú - huyện Gò Công Tây, Bình Xuân - thị xã Gò Công</t>
  </si>
  <si>
    <t xml:space="preserve">Cống Số 4 (K22+270)</t>
  </si>
  <si>
    <t xml:space="preserve">15.683</t>
  </si>
  <si>
    <t xml:space="preserve">3-:- 4</t>
  </si>
  <si>
    <t xml:space="preserve">DIKE_TG_19</t>
  </si>
  <si>
    <t xml:space="preserve">Đồng Sơn - huyện Gò Công Tây</t>
  </si>
  <si>
    <t xml:space="preserve">Bến Đò Ninh Đồng (K17+200)</t>
  </si>
  <si>
    <t xml:space="preserve">5.070</t>
  </si>
  <si>
    <t xml:space="preserve">+2,65</t>
  </si>
  <si>
    <t xml:space="preserve">DIKE_TG_20</t>
  </si>
  <si>
    <t xml:space="preserve">Rạch Tràm - Ninh Đồng</t>
  </si>
  <si>
    <t xml:space="preserve">Cống Rạch Tràm (K0+000)</t>
  </si>
  <si>
    <t xml:space="preserve">Bến đò Ninh Đồng (K2+333)</t>
  </si>
  <si>
    <t xml:space="preserve">2.333</t>
  </si>
  <si>
    <t xml:space="preserve">08. QUY TRÌNH VẬN HÀNH &amp; NGƯỠNG ĐÓNG/MỞ CỐNG THEO VÙNG DỰ ÁN (GATE_OPERATION_RULE)</t>
  </si>
  <si>
    <t xml:space="preserve">Chuẩn hóa điều kiện biên (độ mặn g/l, mực nước triều m, hành lang bảo vệ m) phục vụ mô-đun khuyến nghị điều phối vận hành trên WebGIS</t>
  </si>
  <si>
    <t xml:space="preserve">Mã quy tắc (rule_code)</t>
  </si>
  <si>
    <t xml:space="preserve">Vùng dự án / Hệ thống công trình</t>
  </si>
  <si>
    <t xml:space="preserve">Mã cống áp dụng</t>
  </si>
  <si>
    <t xml:space="preserve">Tên các cống áp dụng</t>
  </si>
  <si>
    <t xml:space="preserve">Trạm quan trắc tham chiếu (Trigger Station)</t>
  </si>
  <si>
    <t xml:space="preserve">Đại lượng kiểm soát</t>
  </si>
  <si>
    <t xml:space="preserve">Ngưỡng kích hoạt (Threshold)</t>
  </si>
  <si>
    <t xml:space="preserve">Hành động vận hành chuẩn</t>
  </si>
  <si>
    <t xml:space="preserve">Chi tiết quy trình vận hành thực tế</t>
  </si>
  <si>
    <t xml:space="preserve">URL văn bản / Bản tin xác thực</t>
  </si>
  <si>
    <t xml:space="preserve">RULE_DT864_01</t>
  </si>
  <si>
    <t xml:space="preserve">GATE_TG_000, GATE_TG_003, GATE_TG_004, GATE_TG_021..024</t>
  </si>
  <si>
    <t xml:space="preserve">Cống âu Nguyễn Tấn Thành, Rạch Gầm, Phú Phong, Cây Còng, Hai Tân, Mù U, Cái Sơn</t>
  </si>
  <si>
    <t xml:space="preserve">ST_TIEN_NGUYENTANTHANH (Vàm Kênh Nguyễn Tấn Thành / Cầu Kinh Xáng)</t>
  </si>
  <si>
    <t xml:space="preserve">SALINITY_RIVER_G_L</t>
  </si>
  <si>
    <t xml:space="preserve">&gt; 0.50 g/l</t>
  </si>
  <si>
    <t xml:space="preserve">Đóng ngăn mặn tuyệt đối (CLOSED)</t>
  </si>
  <si>
    <t xml:space="preserve">Khi độ mặn trên sông Tiền tại vàm kênh Nguyễn Tấn Thành vượt 0,50 g/l, đóng toàn bộ cống âu Nguyễn Tấn Thành và 6 cống trên ĐT.864 để bảo vệ nguồn nước ngọt nhà máy nước Đồng Tâm (800.000 dân) và 128.000 ha sản xuất.</t>
  </si>
  <si>
    <t xml:space="preserve">https://baodongthap.vn/tien-giang-chu-dong-giai-phap-ung-pho-han-man-a13295.html</t>
  </si>
  <si>
    <t xml:space="preserve">RULE_DT864_02</t>
  </si>
  <si>
    <t xml:space="preserve">Cống âu Nguyễn Tấn Thành &amp; 6 cống ĐT.864</t>
  </si>
  <si>
    <t xml:space="preserve">ST_TIEN_XUANHOA / ST_TIEN_CVLACHONG (Mỹ Tho)</t>
  </si>
  <si>
    <t xml:space="preserve">WATER_LEVEL_TIDE_M</t>
  </si>
  <si>
    <t xml:space="preserve">&gt; +1.60 m (Báo động III)</t>
  </si>
  <si>
    <t xml:space="preserve">Đóng chống triều cường / Xả tiêu khi triều kiệt</t>
  </si>
  <si>
    <t xml:space="preserve">Khi triều cường sông Tiền tại Mỹ Tho dự báo vượt BĐ III (+1,60 m) hoặc mưa lớn nội đồng (&gt;20–65 mm), đóng ngăn triều lúc đỉnh triều và mở xả nước (DRAINAGE) lúc chân triều.</t>
  </si>
  <si>
    <t xml:space="preserve">https://baodongthap.vn/dong-thap-chu-dong-van-hanh-cong-trinh-thuy-loi-phong-chong-trieu-cuong-xam-nhap-man-dau-thang-2--a238315.html</t>
  </si>
  <si>
    <t xml:space="preserve">RULE_BAODINH_01</t>
  </si>
  <si>
    <t xml:space="preserve">GATE_TG_002, GATE_TG_020, GATE_TG_070</t>
  </si>
  <si>
    <t xml:space="preserve">Cống Bảo Định, Xoài Hột, Gò Cát và các cống rạch Bảo Định</t>
  </si>
  <si>
    <t xml:space="preserve">ST_TIEN_CVLACHONG (Cửa rạch Bảo Định / Công viên Lạc Hồng)</t>
  </si>
  <si>
    <t xml:space="preserve">&gt; 0.70 g/l</t>
  </si>
  <si>
    <t xml:space="preserve">Đóng ngăn mặn (CLOSED)</t>
  </si>
  <si>
    <t xml:space="preserve">Khi độ mặn ngoài sông Tiền tại cửa rạch Bảo Định vượt 0,70 g/l, đóng cống Bảo Định, Xoài Hột, Gò Cát để ngăn mặn xâm nhập vào vùng dự án Bảo Định (TP. Mỹ Tho, Châu Thành, Chợ Gạo, Tân Phước).</t>
  </si>
  <si>
    <t xml:space="preserve">RULE_GOCONG_01</t>
  </si>
  <si>
    <t xml:space="preserve">GATE_TG_001, GATE_TG_005, GATE_TG_006</t>
  </si>
  <si>
    <t xml:space="preserve">Cống Xuân Hòa, Vàm Giồng, Gò Công và hệ thống cống Gò Công</t>
  </si>
  <si>
    <t xml:space="preserve">ST_TIEN_XUANHOA (Cống Xuân Hòa)</t>
  </si>
  <si>
    <t xml:space="preserve">&lt;= 1.00 g/l (Lấy gạn) / &lt;= 0.30 g/l (Cấp sinh hoạt)</t>
  </si>
  <si>
    <t xml:space="preserve">Vận hành lấy nước (INTAKE) / Đóng giữ ngọt (CLOSED)</t>
  </si>
  <si>
    <t xml:space="preserve">Khi độ mặn ngoài sông Tiền tại Xuân Hòa đạt ngưỡng cho phép (&lt;= 0,30–1,00 g/l tùy giai đoạn tích nước), mở cống Xuân Hòa, Vàm Giồng lấy nước ngọt vào kênh trục (duy trì MN nội đồng +0,30 đến +0,73 m).</t>
  </si>
  <si>
    <t xml:space="preserve">https://www.sggp.org.vn/van-hanh-cong-trinh-thuy-loi-tru-nuoc-trong-vung-du-an-ngot-hoa-go-cong-tien-giang-post774932.html</t>
  </si>
  <si>
    <t xml:space="preserve">RULE_GOCONG_02</t>
  </si>
  <si>
    <t xml:space="preserve">GATE_TG_094, GATE_TG_095, GATE_TG_097..105</t>
  </si>
  <si>
    <t xml:space="preserve">Cống Long Uông, Rạch Bùn, Vàm Tháp, Gia Thuận, Rạch Băng, Rầm Vé, Bình Xuân</t>
  </si>
  <si>
    <t xml:space="preserve">ST_GC_LONGUONG / ST_GC_RACHBUN / ST_GC_GIATHUAN</t>
  </si>
  <si>
    <t xml:space="preserve">SALINITY_INTERIOR_G_L &amp; WATER_LEVEL_M</t>
  </si>
  <si>
    <t xml:space="preserve">Mặn phía đồng &gt; 1.00 g/l hoặc Mưa lớn gây ngập</t>
  </si>
  <si>
    <t xml:space="preserve">Xả mặn / Xả tiêu (DRAINAGE) hoặc Đóng giữ nước (OVERRIDE)</t>
  </si>
  <si>
    <t xml:space="preserve">Giai đoạn tích nước mùa khô: đóng kín toàn bộ cống ven biển/cửa sông để trữ ngọt, chỉ mở xả khi độ mặn phía đồng vượt 1,00 g/l. Mùa mưa/triều cường: mở xả tiêu khi mưa lớn, hoặc đóng khác kế hoạch để giữ mực nước nội đồng ~0,34 m.</t>
  </si>
  <si>
    <t xml:space="preserve">RULE_BARAI_01</t>
  </si>
  <si>
    <t xml:space="preserve">Dự án Đông - Tây Ba Rài &amp; Cai Lậy</t>
  </si>
  <si>
    <t xml:space="preserve">GATE_TG_012..019</t>
  </si>
  <si>
    <t xml:space="preserve">Cống Mười Nén, Cái Lá, Cầu Ván, Bầu Điền, Cầu Kênh và đập tạm Trà Tân, Ba Rài, Phú An</t>
  </si>
  <si>
    <t xml:space="preserve">ST_HAMLUONG_VAMMON (Vàm Mơn - Sông Hàm Luông)</t>
  </si>
  <si>
    <t xml:space="preserve">1.50 - 2.00 g/l (tại Vàm Mơn) / &gt; 0.30 g/l (vùng sầu riêng)</t>
  </si>
  <si>
    <t xml:space="preserve">Đóng cống ngăn mặn &amp; Đắp đập thép tạm Trà Tân, Ba Rài, Phú An</t>
  </si>
  <si>
    <t xml:space="preserve">Cây sầu riêng cực kỳ nhạy cảm với mặn (không quá 0,30 g/l). Khi độ mặn tại Vàm Mơn (sông Hàm Luông) đạt 1,50–2,00 g/l có nguy cơ truyền qua nhánh Năm Thôn sang sông Tiền, đóng toàn bộ cống Đông - Tây Ba Rài và đắp 3 đập tạm.</t>
  </si>
  <si>
    <t xml:space="preserve">RULE_PHUTHANH_01</t>
  </si>
  <si>
    <t xml:space="preserve">Dự án Phú Thạnh - Phú Đông (Tân Phú Đông)</t>
  </si>
  <si>
    <t xml:space="preserve">GATE_TG_173..187</t>
  </si>
  <si>
    <t xml:space="preserve">Cống Rạch Mương, Lý Hoàng, Lý Ngươn, Lý Quàn, Bà Tài, Bà Lắm, Lồ Ồ, Tân Xuân, Bần Ranh</t>
  </si>
  <si>
    <t xml:space="preserve">ST_CUATRUNG_RACHMUONG (Sông Cửa Trung)</t>
  </si>
  <si>
    <t xml:space="preserve">&lt;= 0.50 g/l (Lấy nước Cống Bà Tài / CC1)</t>
  </si>
  <si>
    <t xml:space="preserve">Vận hành phân vùng: tự do (Lồ Ồ, Tân Xuân), lấy nước (Bà Tài), xả nước (Lý Ngươn)</t>
  </si>
  <si>
    <t xml:space="preserve">Điều tiết độc lập cù lao Tân Phú Đông giữa sông Cửa Tiểu và sông Cửa Trung: đóng cống Rạch Mương khi mặn sông Cửa Trung &gt; 0,50–1,40 g/l; mở Bà Tài lấy nước khi ngọt và mở Lý Ngươn xả tiêu.</t>
  </si>
  <si>
    <t xml:space="preserve">RULE_BUFFER_01</t>
  </si>
  <si>
    <t xml:space="preserve">Phạm vi bảo vệ công trình thủy lợi &amp; đê điều</t>
  </si>
  <si>
    <t xml:space="preserve">ALL_GATES_AND_DIKES</t>
  </si>
  <si>
    <t xml:space="preserve">Toàn bộ cống, kênh, trạm bơm và đê biển/đê cửa sông/đê sông</t>
  </si>
  <si>
    <t xml:space="preserve">Hành lang bảo vệ (Spatial Buffer GIS)</t>
  </si>
  <si>
    <t xml:space="preserve">BUFFER_DISTANCE_M</t>
  </si>
  <si>
    <t xml:space="preserve">Cống đê biển: 50m; Cửa sông: 40m; Đê sông: 30m; Kênh Q&gt;10m3/s: 10m; Đê biển: 200m phía biển / 25m phía đồng</t>
  </si>
  <si>
    <t xml:space="preserve">Kiểm soát hành lang bảo vệ trên bản đồ WebGIS (ST_Buffer)</t>
  </si>
  <si>
    <t xml:space="preserve">Quy định phạm vi bảo vệ công trình theo Điều 5, Điều 6 QĐ 04/2019/QĐ-UBND, sửa đổi tại QĐ 12/2023/QĐ-UBND, QĐ 20/2025/QĐ-UBND và QĐ 110/2026/QĐ-UBND.</t>
  </si>
  <si>
    <t xml:space="preserve">09. NHẬT KÝ VẬN HÀNH CỐNG THỰC TẾ MÙA KHÔ (2024–2026) &amp; KỲ TRIỀU CƯỜNG (GATE_OPERATION_LOG)</t>
  </si>
  <si>
    <t xml:space="preserve">Mở rộng từ 34 lên 57 nhật ký thực tế – Phân tách rõ Vận hành theo Kế hoạch (PLANNED) và Khác Kế hoạch (UNPLANNED_OVERRIDE)</t>
  </si>
  <si>
    <t xml:space="preserve">Mã nhật ký (log_id)</t>
  </si>
  <si>
    <t xml:space="preserve">Ngày vận hành</t>
  </si>
  <si>
    <t xml:space="preserve">Danh sách cống thực hiện</t>
  </si>
  <si>
    <t xml:space="preserve">Chế độ vận hành (operation_mode)</t>
  </si>
  <si>
    <t xml:space="preserve">Tuân thủ kế hoạch (plan_compliance)</t>
  </si>
  <si>
    <t xml:space="preserve">Diễn giải chi tiết &amp; Lý do điều chỉnh thực tế</t>
  </si>
  <si>
    <t xml:space="preserve">URL báo cáo gốc</t>
  </si>
  <si>
    <t xml:space="preserve">LOG_20240301_01</t>
  </si>
  <si>
    <t xml:space="preserve">Dự án Gò Công, Bảo Định &amp; ĐT.864</t>
  </si>
  <si>
    <t xml:space="preserve">Cống Xuân Hòa, Bảo Định, Xoài Hột, Nguyễn Tấn Thành, Rạch Gầm, Phú Phong, Cây Còng, Hai Tân, Mù U, Cái Sơn</t>
  </si>
  <si>
    <t xml:space="preserve">CLOSED (Đóng ngăn mặn)</t>
  </si>
  <si>
    <t xml:space="preserve">PLANNED</t>
  </si>
  <si>
    <t xml:space="preserve">Đóng toàn bộ cống Gò Công, Bảo Định và ĐT.864 khi mặn Xuân Hòa lên 3,98 g/l, Lạc Hồng 2,86 g/l, Kinh Xáng 0,53 g/l</t>
  </si>
  <si>
    <t xml:space="preserve">LOG_20240311_01</t>
  </si>
  <si>
    <t xml:space="preserve">Toàn tỉnh (Gò Công, Tân Phú Đông, Bảo Định, ĐT.864)</t>
  </si>
  <si>
    <t xml:space="preserve">100% cống Gò Công, Phú Thạnh - Phú Đông, Bảo Định và 9 cống đầu mối ĐT.864</t>
  </si>
  <si>
    <t xml:space="preserve">CLOSED (Đóng hoàn toàn)</t>
  </si>
  <si>
    <t xml:space="preserve">Đỉnh mặn mùa khô 2024: Xuân Hòa 8,70 g/l, Lạc Hồng 6,80 g/l, Kinh Xáng 2,36 g/l; đóng kín ngăn mặn toàn hệ thống</t>
  </si>
  <si>
    <t xml:space="preserve">LOG_20240508_01</t>
  </si>
  <si>
    <t xml:space="preserve">2024-05-08</t>
  </si>
  <si>
    <t xml:space="preserve">Cống âu thuyền Nguyễn Tấn Thành</t>
  </si>
  <si>
    <t xml:space="preserve">CLOSED (Đóng ngăn mặn trở lại)</t>
  </si>
  <si>
    <t xml:space="preserve">UNPLANNED_OVERRIDE</t>
  </si>
  <si>
    <t xml:space="preserve">Mặn tăng đột biến theo kỳ triều cường (+1,44 m tại Mỹ Tho) nên phải đóng lại cống Nguyễn Tấn Thành trưa 08/05/2024</t>
  </si>
  <si>
    <t xml:space="preserve">https://dantri.com.vn/thoi-su/vi-sao-cong-ngan-man-lon-thu-2-mien-tay-mo-chua-lau-lai-dong-20240508151519524.htm</t>
  </si>
  <si>
    <t xml:space="preserve">LOG_20240509_01</t>
  </si>
  <si>
    <t xml:space="preserve">Xuân Hòa (lấy gạn); Bảo Định (đóng); Nguyễn Tấn Thành, Rạch Gầm, Phú Phong, Cầu Cống (đóng); Cây Còng, Chùa 1, Hai Tân, Mù U, Cái Sơn (lấy nước)</t>
  </si>
  <si>
    <t xml:space="preserve">MIXED_CONTROL</t>
  </si>
  <si>
    <t xml:space="preserve">Mặn tại Kinh Xáng đạt 0,92 g/l (&gt;0,5 g/l): đóng 4 cống hạ lưu Châu Thành, mở lấy nước 5 cống thượng lưu Cai Lậy</t>
  </si>
  <si>
    <t xml:space="preserve">LOG_20240527_01</t>
  </si>
  <si>
    <t xml:space="preserve">Dự án Gò Công, Bảo Định &amp; Phú Thạnh - Phú Đông</t>
  </si>
  <si>
    <t xml:space="preserve">Xuân Hòa (lấy gạn); Gò Cát, Bảo Định (lấy nước), Xoài Hột (tự do); Lồ Ồ, Tân Xuân (lấy nước), Lý Hoàng (xả nước)</t>
  </si>
  <si>
    <t xml:space="preserve">INTAKE / FREE_FLOW</t>
  </si>
  <si>
    <t xml:space="preserve">Mặn tại Công viên Lạc Hồng giảm xuống 0,52 g/l (&lt;0,70 g/l): mở cống Bảo Định và Gò Cát lấy nước ngọt</t>
  </si>
  <si>
    <t xml:space="preserve">LOG_20250211_01</t>
  </si>
  <si>
    <t xml:space="preserve">2025-02-11</t>
  </si>
  <si>
    <t xml:space="preserve">INTAKE (Lấy gạn)</t>
  </si>
  <si>
    <t xml:space="preserve">Mặn tại Xuân Hòa 0,78 g/l (&lt;= 1,00 g/l): mở lấy gạn nước ngọt phục vụ 22.400 ha lúa Đông Xuân</t>
  </si>
  <si>
    <t xml:space="preserve">LOG_20250305_01</t>
  </si>
  <si>
    <t xml:space="preserve">Dự án Gò Công, Phú Thạnh - Phú Đông &amp; Bảo Định</t>
  </si>
  <si>
    <t xml:space="preserve">Toàn bộ cống Gò Công, Phú Thạnh - Phú Đông và 3 cống Bảo Định, Gò Cát, Xoài Hột</t>
  </si>
  <si>
    <t xml:space="preserve">Mặn tại Xuân Hòa 2,00 g/l, Thủ Khoa Huân 1,12 g/l (&gt;0,70 g/l): đóng toàn bộ các cống ngăn mặn</t>
  </si>
  <si>
    <t xml:space="preserve">LOG_20250316_01</t>
  </si>
  <si>
    <t xml:space="preserve">Tất cả các cống vùng dự án Ngọt hóa Gò Công</t>
  </si>
  <si>
    <t xml:space="preserve">Mặn tại Xuân Hòa 1,78 g/l, Thủ Khoa Huân 1,16 g/l; đóng kín giữ ngọt (MN kênh trục +0,08 đến +0,10 m)</t>
  </si>
  <si>
    <t xml:space="preserve">LOG_20250322_01</t>
  </si>
  <si>
    <t xml:space="preserve">Xuân Hòa (lấy gạn); Bảo Định, Xoài Hột (lấy nước), Gò Cát (đóng); Nguyễn Tấn Thành (lấy nước), các cống ĐT.864 còn lại (tự do)</t>
  </si>
  <si>
    <t xml:space="preserve">Mặn Xuân Hòa giảm xuống 0,78 g/l, Thủ Khoa Huân 0,14 g/l: mở Xuân Hòa, Bảo Định, Xoài Hột, Nguyễn Tấn Thành lấy nước</t>
  </si>
  <si>
    <t xml:space="preserve">LOG_20250404_01</t>
  </si>
  <si>
    <t xml:space="preserve">Gò Công &amp; Bảo Định (đóng toàn bộ); Nguyễn Tấn Thành (lấy nước), Cầu Cống (xả nước), các cống ĐT.864 còn lại (tự do)</t>
  </si>
  <si>
    <t xml:space="preserve">CLOSED / INTAKE</t>
  </si>
  <si>
    <t xml:space="preserve">Mặn Xuân Hòa 3,10 g/l, Thủ Khoa Huân 1,81 g/l (đóng Gò Công &amp; Bảo Định); Nguyễn Tấn Thành mặn 0,10 g/l (&lt;0,5 g/l) vẫn mở lấy nước</t>
  </si>
  <si>
    <t xml:space="preserve">LOG_20260215_01</t>
  </si>
  <si>
    <t xml:space="preserve">Dự án Gò Công, Phú Thạnh - Phú Đông, Bảo Định &amp; ĐT.864</t>
  </si>
  <si>
    <t xml:space="preserve">Gò Công &amp; Phú Thạnh-Phú Đông: đóng hoàn toàn; Bảo Định: Gò Cát, Bảo Định, Xoài Hột đóng; ĐT.864: Nguyễn Tấn Thành lấy nước, 8 cống tự do</t>
  </si>
  <si>
    <t xml:space="preserve">Mặn Xuân Hòa 1,51–2,54 g/l (đóng Gò Công &amp; Bảo Định); Nguyễn Tấn Thành mặn 0,00 g/l mở lấy nước</t>
  </si>
  <si>
    <t xml:space="preserve">LOG_20260510_01</t>
  </si>
  <si>
    <t xml:space="preserve">Xuân Hòa (lấy gạn), Gò Công khác (đóng); Phú Thạnh-Phú Đông (đóng); Bảo Định, Xoài Hột (lấy nước), Gò Cát (đóng); Nguyễn Tấn Thành (lấy nước)</t>
  </si>
  <si>
    <t xml:space="preserve">INTAKE / CLOSED</t>
  </si>
  <si>
    <t xml:space="preserve">Mặn Xuân Hòa giảm xuống 0,68 g/l (&lt;= 1,0 g/l): mở Xuân Hòa lấy gạn; Thủ Khoa Huân 0,23 g/l (&lt;0,7 g/l): mở Bảo Định &amp; Xoài Hột lấy nước</t>
  </si>
  <si>
    <t xml:space="preserve">LOG_20260511_01</t>
  </si>
  <si>
    <t xml:space="preserve">Mặn Xuân Hòa 0,86 g/l, Thủ Khoa Huân 0,20 g/l: duy trì mở Xuân Hòa (lấy gạn), Bảo Định, Xoài Hột, Nguyễn Tấn Thành (lấy nước)</t>
  </si>
  <si>
    <t xml:space="preserve">LOG_20260512_01</t>
  </si>
  <si>
    <t xml:space="preserve">Mặn Xuân Hòa 0,43 g/l, Thủ Khoa Huân 0,17 g/l: lấy nước bổ sung nội đồng Gò Công (+0,12..+0,17 m) và Bảo Định (+0,46..+0,56 m)</t>
  </si>
  <si>
    <t xml:space="preserve">LOG_20260513_01</t>
  </si>
  <si>
    <t xml:space="preserve">Mặn Xuân Hòa 0,40 g/l, Thủ Khoa Huân 0,20 g/l: duy trì lấy nước ngọt ổn định</t>
  </si>
  <si>
    <t xml:space="preserve">LOG_20260514_01</t>
  </si>
  <si>
    <t xml:space="preserve">Mặn Xuân Hòa 0,88 g/l, Thủ Khoa Huân 0,23 g/l: tiếp tục lấy gạn tại Xuân Hòa, MN kênh trục Gò Công tăng lên +0,15..+0,21 m</t>
  </si>
  <si>
    <t xml:space="preserve">LOG_20260515_01</t>
  </si>
  <si>
    <t xml:space="preserve">Mặn Xuân Hòa 0,86 g/l, Thủ Khoa Huân 0,24 g/l: kết thúc đợt lấy gạn 6 ngày liên tiếp, MN nội đồng Gò Công đạt +0,18..+0,23 m</t>
  </si>
  <si>
    <t xml:space="preserve">LOG_20260919_01</t>
  </si>
  <si>
    <t xml:space="preserve">Cống Xuân Hòa, Vàm Giồng</t>
  </si>
  <si>
    <t xml:space="preserve">INTAKE (Lấy nước)</t>
  </si>
  <si>
    <t xml:space="preserve">Mở lấy nước ngọt theo kế hoạch (mặn tại cống 0,00 g/l)</t>
  </si>
  <si>
    <t xml:space="preserve">LOG_20260919_02</t>
  </si>
  <si>
    <t xml:space="preserve">Cống Năm Le, Hai Do, Ba Đại, Tư Lớn, Mười Sùng, Hai Chớ, Thủ Ngữ, Rạch Chợ Mới, Bà Xòm, Thợ Tiện, Bà Lọ, Rạch Đào</t>
  </si>
  <si>
    <t xml:space="preserve">FREE_FLOW (Tự do)</t>
  </si>
  <si>
    <t xml:space="preserve">Vận hành tự do theo kế hoạch</t>
  </si>
  <si>
    <t xml:space="preserve">LOG_20260919_03</t>
  </si>
  <si>
    <t xml:space="preserve">Cống Khương Thọ 2, Rạch Bùn, Đê Nhánh 2, Đê Nhánh 3, Cần Lộc, Số 1 Vàm Láng, Gia Thuận, C1, C2, Xóm Gồng, Xã Sách, Vàm Tháp, Bình Đông, Bình Đông 2</t>
  </si>
  <si>
    <t xml:space="preserve">DRAINAGE (Xả nước)</t>
  </si>
  <si>
    <t xml:space="preserve">Vận hành xả nước tiêu úng theo kế hoạch</t>
  </si>
  <si>
    <t xml:space="preserve">LOG_20260919_04</t>
  </si>
  <si>
    <t xml:space="preserve">Cống Gò Gừa, Rạch Nâu, Rạch Tắc, Rạch Rơm, Công Lươn, Sơn Qui A</t>
  </si>
  <si>
    <t xml:space="preserve">Vận hành khác kế hoạch: mở xả nước để hạ thấp mực nước và giải quyết ô nhiễm</t>
  </si>
  <si>
    <t xml:space="preserve">LOG_20260919_05</t>
  </si>
  <si>
    <t xml:space="preserve">Khu vực Bảo Định</t>
  </si>
  <si>
    <t xml:space="preserve">Cống Bảo Định, Gò Cát, Lộ Xoài, Số 7, Cái Ngang, Xoài Hột, Xáng Cụt, Mương Đào, Cầu Quán, Tượng, Bà Nghĩa</t>
  </si>
  <si>
    <t xml:space="preserve">Vận hành tự do (đồng thời Gò Cát &amp; Bảo Định lấy nước theo triều)</t>
  </si>
  <si>
    <t xml:space="preserve">LOG_20260919_06</t>
  </si>
  <si>
    <t xml:space="preserve">Cống Quản Thọ 2, Quản Thọ 1, Rạch Gốc</t>
  </si>
  <si>
    <t xml:space="preserve">Vận hành xả nước theo kế hoạch</t>
  </si>
  <si>
    <t xml:space="preserve">LOG_20260919_07</t>
  </si>
  <si>
    <t xml:space="preserve">Vận hành khác kế hoạch: xả nước hạ thấp mực nước do mưa (5,6 mm)</t>
  </si>
  <si>
    <t xml:space="preserve">LOG_20260919_08</t>
  </si>
  <si>
    <t xml:space="preserve">Đường tỉnh 864, Đông-Tây Ba Rài, Cái Bè-Trà Lọt</t>
  </si>
  <si>
    <t xml:space="preserve">Tất cả các cống (Nguyễn Tấn Thành, Rạch Gầm, Phú Phong, Cây Còng, Hai Tân, Mù U, Cái Sơn, Mười Nén, Cái Lá, Ông Khánh...)</t>
  </si>
  <si>
    <t xml:space="preserve">Vận hành tự do hoàn toàn (đỉnh triều Xuân Hòa chỉ 0,93–1,02 m, chưa có nguy cơ triều cường/mặn)</t>
  </si>
  <si>
    <t xml:space="preserve">LOG_20260920_01</t>
  </si>
  <si>
    <t xml:space="preserve">Vận hành lấy nước ngọt theo kế hoạch (mặn tại Xuân Hòa &amp; Vàm Giồng 0,00 g/l)</t>
  </si>
  <si>
    <t xml:space="preserve">LOG_20260920_02</t>
  </si>
  <si>
    <t xml:space="preserve">LOG_20260920_03</t>
  </si>
  <si>
    <t xml:space="preserve">LOG_20260920_04</t>
  </si>
  <si>
    <t xml:space="preserve">Cống Gò Gừa, Rạch Nâu, Rạch Tắc, Rạch Rơm, Công Lươn, Sơn Qui A, Rạch Giá</t>
  </si>
  <si>
    <t xml:space="preserve">Vận hành khác kế hoạch: mở xả nước để hạ thấp mực nước nội đồng</t>
  </si>
  <si>
    <t xml:space="preserve">LOG_20260920_05</t>
  </si>
  <si>
    <t xml:space="preserve">Bảo Định, Gò Cát, Lộ Xoài, Số 7, Cái Ngang, Xoài Hột (tự do); Quản Thọ 1, Quản Thọ 2, Rạch Gốc (xả theo KH); Tân Thuận Bình, Đăng Hưng Phước (xả khác KH)</t>
  </si>
  <si>
    <t xml:space="preserve">PLANNED &amp; OVERRIDE</t>
  </si>
  <si>
    <t xml:space="preserve">Mở xả Tân Thuận Bình (mưa 15,2 mm) và Đăng Hưng Phước (mưa 12,0 mm) ngoài kế hoạch để tiêu nước</t>
  </si>
  <si>
    <t xml:space="preserve">LOG_20260920_06</t>
  </si>
  <si>
    <t xml:space="preserve">Tất cả các cống trên ĐT.864, Đông Ba Rài, Tây Ba Rài, Cái Bè - Trà Lọt</t>
  </si>
  <si>
    <t xml:space="preserve">Vận hành tự do theo kế hoạch (mưa tại Cái Lá 26,5 mm, Phú Phong 13,4 mm)</t>
  </si>
  <si>
    <t xml:space="preserve">LOG_20260921_01</t>
  </si>
  <si>
    <t xml:space="preserve">Cống Năm Le, Hai Do, Ba Đại, Tư Lớn, Mười Sùng, Hai Chớ, Thủ Ngữ, Rạch Chợ Mới, Bà Xòm, Thợ Tiện, Bà Lọ</t>
  </si>
  <si>
    <t xml:space="preserve">LOG_20260921_02</t>
  </si>
  <si>
    <t xml:space="preserve">Cống Rạch Giá, Công Lươn, Rạch Trăn, Rạch Đung, Bình Xuân, Sơn Qui A, Rạch Băng, Rạch Băng trên, Rạch Sâu, Rầm Vé, Rạch Tắc, Rạch Nâu, Rạch Rơm, Khương Thọ 2</t>
  </si>
  <si>
    <t xml:space="preserve">LOG_20260921_03</t>
  </si>
  <si>
    <t xml:space="preserve">CLOSED (Đóng)</t>
  </si>
  <si>
    <t xml:space="preserve">Vận hành khác kế hoạch: đóng cống để duy trì mực nước nội đồng (mưa tại Xuân Hòa 50,2 mm)</t>
  </si>
  <si>
    <t xml:space="preserve">LOG_20260921_04</t>
  </si>
  <si>
    <t xml:space="preserve">Cống Số 1, 2, 3, 4 Sông Tra, Gò Gừa, Rạch Mã, Cống Đá, Rạch Bùn, Đê Nhánh 3, Rạch Đào</t>
  </si>
  <si>
    <t xml:space="preserve">Vận hành khác kế hoạch: mở xả nước để hạ thấp mực nước do mưa lớn (Số 3 ST mưa 84,5 mm; Rạch Giá 73,0 mm; Rầm Vé 52,0 mm)</t>
  </si>
  <si>
    <t xml:space="preserve">LOG_20260921_05</t>
  </si>
  <si>
    <t xml:space="preserve">Cống Gò Cát, Lộ Xoài, Số 7, Ông Văn C, Tân Thuận Bình, Nghị Tĩnh, Long Hiệp, Ninh Đồng</t>
  </si>
  <si>
    <t xml:space="preserve">Vận hành khác kế hoạch: mở xả nước tiêu úng do mưa lớn (Tân Thuận Bình mưa 56,2 mm; Đăng Hưng Phước 34,0 mm)</t>
  </si>
  <si>
    <t xml:space="preserve">LOG_20260921_06</t>
  </si>
  <si>
    <t xml:space="preserve">LOG_20261009_01</t>
  </si>
  <si>
    <t xml:space="preserve">Vận hành lấy nước theo kế hoạch</t>
  </si>
  <si>
    <t xml:space="preserve">LOG_20261009_02</t>
  </si>
  <si>
    <t xml:space="preserve">Cống Rạch Bùn, Đê nhánh 2, Đê nhánh 3, Cần Lộc, Số 1 Vàm Láng, Gia Thuận, C1, C2, Xóm Gồng, Xã Sách, Vàm Tháp, Bình Đông</t>
  </si>
  <si>
    <t xml:space="preserve">Vận hành xả nước theo kế hoạch (mưa tại Rạch Bùn 68,6 mm, Gia Thuận 41,0 mm)</t>
  </si>
  <si>
    <t xml:space="preserve">LOG_20261009_03</t>
  </si>
  <si>
    <t xml:space="preserve">Cống Số 2 Sông Tra, Rạch Mã, Long Hải, Rạch Già, Rạch Băng (xả); Cống Bình Đông 2 (đóng)</t>
  </si>
  <si>
    <t xml:space="preserve">DRAINAGE / CLOSED</t>
  </si>
  <si>
    <t xml:space="preserve">Vận hành khác kế hoạch: mở xả 5 cống hạ thấp mực nước; đóng Bình Đông 2</t>
  </si>
  <si>
    <t xml:space="preserve">LOG_20261009_04</t>
  </si>
  <si>
    <t xml:space="preserve">Cống Gò Cát, Ông Văn C, Tân Thuận Bình, Nghị Tĩnh, Long Hiệp, Ninh Đồng</t>
  </si>
  <si>
    <t xml:space="preserve">Vận hành khác kế hoạch: mở xả hạ thấp mực nước do mưa lớn (Bảo Định 44,4 mm, Gò Cát 40,0 mm)</t>
  </si>
  <si>
    <t xml:space="preserve">LOG_20261009_05</t>
  </si>
  <si>
    <t xml:space="preserve">Đường tỉnh 864 (Giai đoạn 1)</t>
  </si>
  <si>
    <t xml:space="preserve">Bắt đầu đóng toàn bộ 7 cống lớn trên ĐT.864 để phòng chống kỳ triều cường đầu tháng 9 ÂL (08–15/10/2026); Cầu Cống &amp; Chùa 1 xả nước</t>
  </si>
  <si>
    <t xml:space="preserve">LOG_20261009_06</t>
  </si>
  <si>
    <t xml:space="preserve">Dự án Đông &amp; Tây Ba Rài</t>
  </si>
  <si>
    <t xml:space="preserve">Đông Ba Rài: Hai Xàng, Miễu Chay xả (khác KH); Đường Nước, Mười Nén, Thanh Niên tự do; Rạch Sâu, 868, Vàm Tắc 1 xả; còn lại đóng. Tây Ba Rài: Cái Lá và 15 cống đóng, còn lại xả</t>
  </si>
  <si>
    <t xml:space="preserve">Kiểm soát triều cường kết hợp tiêu mưa lớn (Nguyễn Tấn Thành mưa 65,0 mm, Mười Nén 29,0 mm)</t>
  </si>
  <si>
    <t xml:space="preserve">LOG_20261009_07</t>
  </si>
  <si>
    <t xml:space="preserve">Khu vực Phú Thạnh - Phú Đông</t>
  </si>
  <si>
    <t xml:space="preserve">Lồ Ồ, Tân Xuân, Bần Ranh, Kênh Ngang (tự do); Bà Tài, CC1 (lấy nước - CC1 khác KH); Rạch Gốc, Lý Hoàng, Bà Lắm, Lý Ngươn (xả); Rạch Mương, Lý Quàn (đóng)</t>
  </si>
  <si>
    <t xml:space="preserve">Đóng Rạch Mương ngăn mặn sông Cửa Trung (1,20 g/l); mở CC1 lấy nước ngoài kế hoạch</t>
  </si>
  <si>
    <t xml:space="preserve">LOG_20261010_01</t>
  </si>
  <si>
    <t xml:space="preserve">Cống Rạch Bùn, Đê Nhánh 2, Đê Nhánh 3, Cần Lộc, Số 1 Vàm Láng, Gia Thuận, C1, C2, Xóm Gồng, Xã Sách, Bình Đông</t>
  </si>
  <si>
    <t xml:space="preserve">Vận hành xả nước theo kế hoạch (Rạch Bùn mưa 28,8 mm)</t>
  </si>
  <si>
    <t xml:space="preserve">LOG_20261010_02</t>
  </si>
  <si>
    <t xml:space="preserve">Cống Vàm Giồng, Số 3 Sông Tra, Rạch Nâu, Rạch Rơm, Gò Gừa, Rạch Gốc (xả); Cống Xuân Hòa, Bình Đông 2 (đóng)</t>
  </si>
  <si>
    <t xml:space="preserve">Vận hành khác kế hoạch: mở xả 6 cống hạ thấp mực nước; đóng Xuân Hòa &amp; Bình Đông 2 khi đỉnh triều Xuân Hòa lên +1,77 m</t>
  </si>
  <si>
    <t xml:space="preserve">LOG_20261010_03</t>
  </si>
  <si>
    <t xml:space="preserve">Cống Gò Cát, Tân Thuận Bình, Long Hiệp, Ninh Đồng (xả); Cống Nghị Tĩnh (đóng)</t>
  </si>
  <si>
    <t xml:space="preserve">Vận hành khác kế hoạch: xả hạ thấp mực nước nội đồng; đóng Nghị Tĩnh</t>
  </si>
  <si>
    <t xml:space="preserve">LOG_20261010_04</t>
  </si>
  <si>
    <t xml:space="preserve">Đường tỉnh 864, Tây Ba Rài, Cái Bè-Trà Lọt</t>
  </si>
  <si>
    <t xml:space="preserve">7 cống lớn ĐT.864 đóng; Tây Ba Rài đóng toàn bộ (trừ Giồng Tre 1 xả); Cái Bè-Trà Lọt đóng toàn bộ (trừ Ông Khánh xả)</t>
  </si>
  <si>
    <t xml:space="preserve">CLOSED (Đóng ngăn triều)</t>
  </si>
  <si>
    <t xml:space="preserve">Đóng bảo vệ vùng cây ăn trái khi đỉnh triều Xuân Hòa đạt +1,77 m</t>
  </si>
  <si>
    <t xml:space="preserve">LOG_20261011_01</t>
  </si>
  <si>
    <t xml:space="preserve">Cống Xuân Hòa (đóng khác KH) và tất cả các cống còn lại (đóng theo KH)</t>
  </si>
  <si>
    <t xml:space="preserve">Đóng toàn bộ hệ thống cống Gò Công khi đỉnh triều Xuân Hòa đạt cực đại +1,87 m và mặn Vàm Kênh tăng lên 4,40 g/l</t>
  </si>
  <si>
    <t xml:space="preserve">LOG_20261011_02</t>
  </si>
  <si>
    <t xml:space="preserve">Bảo Định, Cái Ngang, Lộ Xoài, Số 7, Xáng Cụt, Mương Đào, Ba Đô (tự do); Xoài Hột, Quản Thọ 1, 2, Rạch Gốc, Cầu Quán (xả); Gò Cát (xả khác KH)</t>
  </si>
  <si>
    <t xml:space="preserve">Cống Gò Cát mở xả nước ngoài kế hoạch để hạ thấp mực nước</t>
  </si>
  <si>
    <t xml:space="preserve">LOG_20261011_03</t>
  </si>
  <si>
    <t xml:space="preserve">Đường tỉnh 864 &amp; Tây Ba Rài</t>
  </si>
  <si>
    <t xml:space="preserve">Toàn bộ 7 cống lớn ĐT.864 và 100% các cống Tây Ba Rài vận hành đóng</t>
  </si>
  <si>
    <t xml:space="preserve">Ngăn đỉnh triều cường +1,85 đến +1,87 m</t>
  </si>
  <si>
    <t xml:space="preserve">LOG_20261012_01</t>
  </si>
  <si>
    <t xml:space="preserve">Cống Xuân Hòa (lấy nước); Công Lươn, Bình Xuân, Sơn Qui A, Rạch Băng, Rạch Băng trên, Rạch Sâu, Rạch Tắc, Rạch Nâu, Rạch Rơm (xả)</t>
  </si>
  <si>
    <t xml:space="preserve">INTAKE / DRAINAGE</t>
  </si>
  <si>
    <t xml:space="preserve">Mở Xuân Hòa lấy nước; xả tiêu 9 cống ven rạch Gò Công - Soài Rạp</t>
  </si>
  <si>
    <t xml:space="preserve">LOG_20261012_02</t>
  </si>
  <si>
    <t xml:space="preserve">Cống Rạch Giá, Rạch Trăn, Rạch Đung, Rầm Vé</t>
  </si>
  <si>
    <t xml:space="preserve">Vận hành khác kế hoạch: đóng 4 cống để duy trì mực nước nội đồng (~0,34 m)</t>
  </si>
  <si>
    <t xml:space="preserve">LOG_20261012_03</t>
  </si>
  <si>
    <t xml:space="preserve">7 cống lớn ĐT.864 đóng; Tây Ba Rài mở xả 7 cống (30/6, Chín Chương, Lộ Cũ, Hai Liêm, Lộ Làng, Kênh Đứng, Lộ Hòa Thượng), còn lại đóng</t>
  </si>
  <si>
    <t xml:space="preserve">CLOSED / DRAINAGE</t>
  </si>
  <si>
    <t xml:space="preserve">Đỉnh triều Xuân Hòa +1,86 m, mặn Vàm Kênh đạt đỉnh 4,80 g/l</t>
  </si>
  <si>
    <t xml:space="preserve">LOG_20261013_01</t>
  </si>
  <si>
    <t xml:space="preserve">Cống Xuân Hòa (lấy nước); 43 cống (Năm Le, Hai Do, Ba Đại, Tư Lớn, Mười Sùng, Hai Chớ, Thủ Ngữ, Long Hải, Rạch Già, Long Uông, Vàm Kênh, Rạch Gốc, Bình Xuân, Rạch Băng...) xả nước</t>
  </si>
  <si>
    <t xml:space="preserve">Xả đồng loạt 43 cống Gò Công sau khi đỉnh triều bắt đầu rút (+1,74 m xuống +1,60 m)</t>
  </si>
  <si>
    <t xml:space="preserve">LOG_20261013_02</t>
  </si>
  <si>
    <t xml:space="preserve">Cống Rạch Giá, Rạch Trăn, Công Lươn, Rạch Đung, Rầm Vé, Rạch Chợ</t>
  </si>
  <si>
    <t xml:space="preserve">Vận hành khác kế hoạch: đóng 6 cống để duy trì mực nước nội đồng</t>
  </si>
  <si>
    <t xml:space="preserve">LOG_20261013_03</t>
  </si>
  <si>
    <t xml:space="preserve">7 cống lớn ĐT.864 đóng; Đông Ba Rài đóng toàn bộ (trừ Đường Nước tự do); Cái Bè-Trà Lọt đóng Bà Phú, Bà Thêm (khác KH), Ông Khánh xả</t>
  </si>
  <si>
    <t xml:space="preserve">Duy trì đóng 7 cống lớn ĐT.864 và đóng Bà Phú, Bà Thêm ngoài kế hoạch</t>
  </si>
  <si>
    <t xml:space="preserve">10. DỮ LIỆU MỰC NƯỚC TÁCH BIỆT THEO ĐẠI LƯỢNG, HỆ CAO ĐỘ, NGUỒN &amp; LOẠI DỮ LIỆU (297 BẢN GHI)</t>
  </si>
  <si>
    <t xml:space="preserve">Bao gồm: (1) Triều sông Tiền tại Xuân Hòa, (2) MN nội đồng 29 trạm, (3) MN kênh trục mùa khô 2025–2026, (4) Trạm KTTV Tân Châu - Mỹ Thuận - Mỹ Tho, (5) DAHITI</t>
  </si>
  <si>
    <t xml:space="preserve">Nhóm đại lượng</t>
  </si>
  <si>
    <t xml:space="preserve">Mã đại lượng (parameter_code)</t>
  </si>
  <si>
    <t xml:space="preserve">Tên trạm / Công trình</t>
  </si>
  <si>
    <t xml:space="preserve">Pha triều / Chế độ đo</t>
  </si>
  <si>
    <t xml:space="preserve">Giá trị mực nước 7h00 / Đỉnh-Chân (m)</t>
  </si>
  <si>
    <t xml:space="preserve">Mực nước Min ngày (m)</t>
  </si>
  <si>
    <t xml:space="preserve">Mực nước Max ngày (m)</t>
  </si>
  <si>
    <t xml:space="preserve">Biên độ / Chênh lệch (m)</t>
  </si>
  <si>
    <t xml:space="preserve">Hệ quy chiếu cao độ (vertical_datum)</t>
  </si>
  <si>
    <t xml:space="preserve">Loại dữ liệu (data_type)</t>
  </si>
  <si>
    <t xml:space="preserve">URL nguồn gốc</t>
  </si>
  <si>
    <t xml:space="preserve">WL_TIDE_001</t>
  </si>
  <si>
    <t xml:space="preserve">WATER_LEVEL</t>
  </si>
  <si>
    <t xml:space="preserve">WL_TIDE_PEAK_TROUGH_M</t>
  </si>
  <si>
    <t xml:space="preserve">m</t>
  </si>
  <si>
    <t xml:space="preserve">Trạm Cống Xuân Hòa (Sông Tiền)</t>
  </si>
  <si>
    <t xml:space="preserve">06:05</t>
  </si>
  <si>
    <t xml:space="preserve">TIDE_PEAK (Đỉnh)</t>
  </si>
  <si>
    <t xml:space="preserve">HON_DAU_NATIONAL_DATUM</t>
  </si>
  <si>
    <t xml:space="preserve">Thủy triều thực đo trên sông Tiền tại Cống Xuân Hòa (Hệ cao độ Quốc gia)</t>
  </si>
  <si>
    <t xml:space="preserve">WL_TIDE_002</t>
  </si>
  <si>
    <t xml:space="preserve">14:55</t>
  </si>
  <si>
    <t xml:space="preserve">TIDE_TROUGH (Chân)</t>
  </si>
  <si>
    <t xml:space="preserve">WL_TIDE_003</t>
  </si>
  <si>
    <t xml:space="preserve">21:10</t>
  </si>
  <si>
    <t xml:space="preserve">WL_TIDE_004</t>
  </si>
  <si>
    <t xml:space="preserve">01:50</t>
  </si>
  <si>
    <t xml:space="preserve">WL_TIDE_005</t>
  </si>
  <si>
    <t xml:space="preserve">07:35</t>
  </si>
  <si>
    <t xml:space="preserve">WL_TIDE_006</t>
  </si>
  <si>
    <t xml:space="preserve">WL_TIDE_007</t>
  </si>
  <si>
    <t xml:space="preserve">20:50</t>
  </si>
  <si>
    <t xml:space="preserve">WL_TIDE_008</t>
  </si>
  <si>
    <t xml:space="preserve">02:30</t>
  </si>
  <si>
    <t xml:space="preserve">WL_TIDE_009</t>
  </si>
  <si>
    <t xml:space="preserve">16:40</t>
  </si>
  <si>
    <t xml:space="preserve">WL_TIDE_010</t>
  </si>
  <si>
    <t xml:space="preserve">00:50</t>
  </si>
  <si>
    <t xml:space="preserve">WL_TIDE_011</t>
  </si>
  <si>
    <t xml:space="preserve">08:25</t>
  </si>
  <si>
    <t xml:space="preserve">WL_TIDE_012</t>
  </si>
  <si>
    <t xml:space="preserve">13:35</t>
  </si>
  <si>
    <t xml:space="preserve">WL_TIDE_013</t>
  </si>
  <si>
    <t xml:space="preserve">21:05</t>
  </si>
  <si>
    <t xml:space="preserve">WL_TIDE_014</t>
  </si>
  <si>
    <t xml:space="preserve">WL_TIDE_015</t>
  </si>
  <si>
    <t xml:space="preserve">09:20</t>
  </si>
  <si>
    <t xml:space="preserve">WL_TIDE_016</t>
  </si>
  <si>
    <t xml:space="preserve">WL_TIDE_017</t>
  </si>
  <si>
    <t xml:space="preserve">WL_TIDE_018</t>
  </si>
  <si>
    <t xml:space="preserve">WL_TIDE_019</t>
  </si>
  <si>
    <t xml:space="preserve">10:00</t>
  </si>
  <si>
    <t xml:space="preserve">WL_TIDE_020</t>
  </si>
  <si>
    <t xml:space="preserve">WL_TIDE_021</t>
  </si>
  <si>
    <t xml:space="preserve">22:20</t>
  </si>
  <si>
    <t xml:space="preserve">WL_TIDE_022</t>
  </si>
  <si>
    <t xml:space="preserve">03:20</t>
  </si>
  <si>
    <t xml:space="preserve">WL_TIDE_023</t>
  </si>
  <si>
    <t xml:space="preserve">10:40</t>
  </si>
  <si>
    <t xml:space="preserve">WL_TIDE_024</t>
  </si>
  <si>
    <t xml:space="preserve">15:50</t>
  </si>
  <si>
    <t xml:space="preserve">WL_TIDE_025</t>
  </si>
  <si>
    <t xml:space="preserve">22:45</t>
  </si>
  <si>
    <t xml:space="preserve">WL_TIDE_026</t>
  </si>
  <si>
    <t xml:space="preserve">03:40</t>
  </si>
  <si>
    <t xml:space="preserve">WL_TIDE_027</t>
  </si>
  <si>
    <t xml:space="preserve">11:20</t>
  </si>
  <si>
    <t xml:space="preserve">WL_TIDE_028</t>
  </si>
  <si>
    <t xml:space="preserve">16:35</t>
  </si>
  <si>
    <t xml:space="preserve">WL_TIDE_029</t>
  </si>
  <si>
    <t xml:space="preserve">WL_TIDE_030</t>
  </si>
  <si>
    <t xml:space="preserve">04:05</t>
  </si>
  <si>
    <t xml:space="preserve">WL_INT_001</t>
  </si>
  <si>
    <t xml:space="preserve">WL_CANAL_INTERIOR_M</t>
  </si>
  <si>
    <t xml:space="preserve">Kênh trục Gò Công (Xuân Hòa)</t>
  </si>
  <si>
    <t xml:space="preserve">INTERIOR_DAILY_07H_AND_RANGE</t>
  </si>
  <si>
    <t xml:space="preserve">Mực nước nội đồng / kênh trục vùng Dự án Gò Công</t>
  </si>
  <si>
    <t xml:space="preserve">WL_INT_002</t>
  </si>
  <si>
    <t xml:space="preserve">Kênh trục Bảo Định</t>
  </si>
  <si>
    <t xml:space="preserve">Mực nước nội đồng / kênh trục vùng Dự án Bảo Định</t>
  </si>
  <si>
    <t xml:space="preserve">WL_INT_003</t>
  </si>
  <si>
    <t xml:space="preserve">WL_INT_004</t>
  </si>
  <si>
    <t xml:space="preserve">WL_INT_005</t>
  </si>
  <si>
    <t xml:space="preserve">WL_INT_006</t>
  </si>
  <si>
    <t xml:space="preserve">WL_INT_007</t>
  </si>
  <si>
    <t xml:space="preserve">Kênh trục Phú Thạnh - Phú Đông</t>
  </si>
  <si>
    <t xml:space="preserve">Mực nước nội đồng / kênh trục vùng Phú Thạnh - Phú Đông</t>
  </si>
  <si>
    <t xml:space="preserve">WL_INT_008</t>
  </si>
  <si>
    <t xml:space="preserve">WL_INT_009</t>
  </si>
  <si>
    <t xml:space="preserve">WL_INT_010</t>
  </si>
  <si>
    <t xml:space="preserve">WL_INT_011</t>
  </si>
  <si>
    <t xml:space="preserve">WL_INT_012</t>
  </si>
  <si>
    <t xml:space="preserve">WL_INT_013</t>
  </si>
  <si>
    <t xml:space="preserve">WL_INT_014</t>
  </si>
  <si>
    <t xml:space="preserve">WL_INT_015</t>
  </si>
  <si>
    <t xml:space="preserve">WL_INT_016</t>
  </si>
  <si>
    <t xml:space="preserve">WL_INT_017</t>
  </si>
  <si>
    <t xml:space="preserve">WL_INT_018</t>
  </si>
  <si>
    <t xml:space="preserve">WL_INT_019</t>
  </si>
  <si>
    <t xml:space="preserve">WL_INT_020</t>
  </si>
  <si>
    <t xml:space="preserve">WL_INT_021</t>
  </si>
  <si>
    <t xml:space="preserve">WL_INT_022</t>
  </si>
  <si>
    <t xml:space="preserve">WL_INT_023</t>
  </si>
  <si>
    <t xml:space="preserve">WL_INT_024</t>
  </si>
  <si>
    <t xml:space="preserve">WL_INT_025</t>
  </si>
  <si>
    <t xml:space="preserve">WL_INT_026</t>
  </si>
  <si>
    <t xml:space="preserve">WL_INT_027</t>
  </si>
  <si>
    <t xml:space="preserve">WL_INT_028</t>
  </si>
  <si>
    <t xml:space="preserve">WL_INT_029</t>
  </si>
  <si>
    <t xml:space="preserve">WL_INT_030</t>
  </si>
  <si>
    <t xml:space="preserve">Cống Cái Lá</t>
  </si>
  <si>
    <t xml:space="preserve">Mực nước nội đồng / kênh trục vùng Tây Ba Rài</t>
  </si>
  <si>
    <t xml:space="preserve">WL_INT_031</t>
  </si>
  <si>
    <t xml:space="preserve">Cống Mười Nén</t>
  </si>
  <si>
    <t xml:space="preserve">Mực nước nội đồng / kênh trục vùng Đông Ba Rài</t>
  </si>
  <si>
    <t xml:space="preserve">WL_INT_032</t>
  </si>
  <si>
    <t xml:space="preserve">WL_INT_033</t>
  </si>
  <si>
    <t xml:space="preserve">WL_INT_034</t>
  </si>
  <si>
    <t xml:space="preserve">WL_INT_035</t>
  </si>
  <si>
    <t xml:space="preserve">WL_INT_036</t>
  </si>
  <si>
    <t xml:space="preserve">WL_INT_037</t>
  </si>
  <si>
    <t xml:space="preserve">WL_INT_038</t>
  </si>
  <si>
    <t xml:space="preserve">WL_INT_039</t>
  </si>
  <si>
    <t xml:space="preserve">WL_INT_040</t>
  </si>
  <si>
    <t xml:space="preserve">WL_INT_041</t>
  </si>
  <si>
    <t xml:space="preserve">WL_INT_042</t>
  </si>
  <si>
    <t xml:space="preserve">WL_INT_043</t>
  </si>
  <si>
    <t xml:space="preserve">WL_INT_044</t>
  </si>
  <si>
    <t xml:space="preserve">WL_INT_045</t>
  </si>
  <si>
    <t xml:space="preserve">WL_INT_046</t>
  </si>
  <si>
    <t xml:space="preserve">WL_INT_047</t>
  </si>
  <si>
    <t xml:space="preserve">WL_INT_048</t>
  </si>
  <si>
    <t xml:space="preserve">WL_INT_049</t>
  </si>
  <si>
    <t xml:space="preserve">WL_INT_050</t>
  </si>
  <si>
    <t xml:space="preserve">WL_INT_051</t>
  </si>
  <si>
    <t xml:space="preserve">WL_INT_052</t>
  </si>
  <si>
    <t xml:space="preserve">WL_INT_053</t>
  </si>
  <si>
    <t xml:space="preserve">Cống Phú Phong</t>
  </si>
  <si>
    <t xml:space="preserve">Mực nước nội đồng / kênh trục vùng Tỉnh lộ 864</t>
  </si>
  <si>
    <t xml:space="preserve">WL_INT_054</t>
  </si>
  <si>
    <t xml:space="preserve">WL_INT_055</t>
  </si>
  <si>
    <t xml:space="preserve">Cống Mù U</t>
  </si>
  <si>
    <t xml:space="preserve">WL_INT_056</t>
  </si>
  <si>
    <t xml:space="preserve">Cống Âu Nguyễn Tấn Thành</t>
  </si>
  <si>
    <t xml:space="preserve">WL_INT_057</t>
  </si>
  <si>
    <t xml:space="preserve">WL_INT_058</t>
  </si>
  <si>
    <t xml:space="preserve">WL_INT_059</t>
  </si>
  <si>
    <t xml:space="preserve">WL_INT_060</t>
  </si>
  <si>
    <t xml:space="preserve">WL_INT_061</t>
  </si>
  <si>
    <t xml:space="preserve">WL_INT_062</t>
  </si>
  <si>
    <t xml:space="preserve">WL_INT_063</t>
  </si>
  <si>
    <t xml:space="preserve">WL_INT_064</t>
  </si>
  <si>
    <t xml:space="preserve">WL_INT_065</t>
  </si>
  <si>
    <t xml:space="preserve">WL_INT_066</t>
  </si>
  <si>
    <t xml:space="preserve">WL_INT_067</t>
  </si>
  <si>
    <t xml:space="preserve">WL_INT_068</t>
  </si>
  <si>
    <t xml:space="preserve">WL_INT_069</t>
  </si>
  <si>
    <t xml:space="preserve">WL_INT_070</t>
  </si>
  <si>
    <t xml:space="preserve">WL_INT_071</t>
  </si>
  <si>
    <t xml:space="preserve">WL_INT_072</t>
  </si>
  <si>
    <t xml:space="preserve">WL_INT_073</t>
  </si>
  <si>
    <t xml:space="preserve">WL_INT_074</t>
  </si>
  <si>
    <t xml:space="preserve">WL_INT_075</t>
  </si>
  <si>
    <t xml:space="preserve">WL_INT_076</t>
  </si>
  <si>
    <t xml:space="preserve">WL_INT_077</t>
  </si>
  <si>
    <t xml:space="preserve">WL_INT_078</t>
  </si>
  <si>
    <t xml:space="preserve">WL_INT_079</t>
  </si>
  <si>
    <t xml:space="preserve">WL_INT_080</t>
  </si>
  <si>
    <t xml:space="preserve">WL_INT_081</t>
  </si>
  <si>
    <t xml:space="preserve">WL_INT_082</t>
  </si>
  <si>
    <t xml:space="preserve">WL_INT_083</t>
  </si>
  <si>
    <t xml:space="preserve">WL_INT_084</t>
  </si>
  <si>
    <t xml:space="preserve">WL_INT_085</t>
  </si>
  <si>
    <t xml:space="preserve">WL_INT_086</t>
  </si>
  <si>
    <t xml:space="preserve">WL_INT_087</t>
  </si>
  <si>
    <t xml:space="preserve">WL_INT_088</t>
  </si>
  <si>
    <t xml:space="preserve">WL_INT_089</t>
  </si>
  <si>
    <t xml:space="preserve">WL_INT_090</t>
  </si>
  <si>
    <t xml:space="preserve">WL_INT_091</t>
  </si>
  <si>
    <t xml:space="preserve">WL_INT_092</t>
  </si>
  <si>
    <t xml:space="preserve">WL_INT_093</t>
  </si>
  <si>
    <t xml:space="preserve">WL_INT_094</t>
  </si>
  <si>
    <t xml:space="preserve">WL_INT_095</t>
  </si>
  <si>
    <t xml:space="preserve">WL_INT_096</t>
  </si>
  <si>
    <t xml:space="preserve">WL_INT_097</t>
  </si>
  <si>
    <t xml:space="preserve">WL_INT_098</t>
  </si>
  <si>
    <t xml:space="preserve">WL_INT_099</t>
  </si>
  <si>
    <t xml:space="preserve">WL_INT_100</t>
  </si>
  <si>
    <t xml:space="preserve">WL_INT_101</t>
  </si>
  <si>
    <t xml:space="preserve">WL_INT_102</t>
  </si>
  <si>
    <t xml:space="preserve">WL_INT_103</t>
  </si>
  <si>
    <t xml:space="preserve">WL_INT_104</t>
  </si>
  <si>
    <t xml:space="preserve">WL_INT_105</t>
  </si>
  <si>
    <t xml:space="preserve">WL_INT_106</t>
  </si>
  <si>
    <t xml:space="preserve">WL_INT_107</t>
  </si>
  <si>
    <t xml:space="preserve">WL_INT_108</t>
  </si>
  <si>
    <t xml:space="preserve">WL_INT_109</t>
  </si>
  <si>
    <t xml:space="preserve">WL_INT_110</t>
  </si>
  <si>
    <t xml:space="preserve">WL_INT_111</t>
  </si>
  <si>
    <t xml:space="preserve">WL_INT_112</t>
  </si>
  <si>
    <t xml:space="preserve">WL_INT_113</t>
  </si>
  <si>
    <t xml:space="preserve">WL_INT_114</t>
  </si>
  <si>
    <t xml:space="preserve">WL_INT_115</t>
  </si>
  <si>
    <t xml:space="preserve">WL_INT_116</t>
  </si>
  <si>
    <t xml:space="preserve">WL_INT_117</t>
  </si>
  <si>
    <t xml:space="preserve">WL_INT_118</t>
  </si>
  <si>
    <t xml:space="preserve">WL_INT_119</t>
  </si>
  <si>
    <t xml:space="preserve">WL_INT_120</t>
  </si>
  <si>
    <t xml:space="preserve">WL_INT_121</t>
  </si>
  <si>
    <t xml:space="preserve">WL_INT_122</t>
  </si>
  <si>
    <t xml:space="preserve">WL_INT_123</t>
  </si>
  <si>
    <t xml:space="preserve">WL_INT_124</t>
  </si>
  <si>
    <t xml:space="preserve">WL_INT_125</t>
  </si>
  <si>
    <t xml:space="preserve">WL_INT_126</t>
  </si>
  <si>
    <t xml:space="preserve">WL_INT_127</t>
  </si>
  <si>
    <t xml:space="preserve">WL_INT_128</t>
  </si>
  <si>
    <t xml:space="preserve">WL_INT_129</t>
  </si>
  <si>
    <t xml:space="preserve">WL_INT_130</t>
  </si>
  <si>
    <t xml:space="preserve">WL_INT_131</t>
  </si>
  <si>
    <t xml:space="preserve">WL_INT_132</t>
  </si>
  <si>
    <t xml:space="preserve">WL_INT_133</t>
  </si>
  <si>
    <t xml:space="preserve">WL_INT_134</t>
  </si>
  <si>
    <t xml:space="preserve">WL_INT_135</t>
  </si>
  <si>
    <t xml:space="preserve">WL_INT_136</t>
  </si>
  <si>
    <t xml:space="preserve">WL_INT_137</t>
  </si>
  <si>
    <t xml:space="preserve">WL_INT_138</t>
  </si>
  <si>
    <t xml:space="preserve">WL_INT_139</t>
  </si>
  <si>
    <t xml:space="preserve">WL_INT_140</t>
  </si>
  <si>
    <t xml:space="preserve">WL_INT_141</t>
  </si>
  <si>
    <t xml:space="preserve">WL_INT_142</t>
  </si>
  <si>
    <t xml:space="preserve">WL_INT_143</t>
  </si>
  <si>
    <t xml:space="preserve">WL_INT_144</t>
  </si>
  <si>
    <t xml:space="preserve">WL_INT_145</t>
  </si>
  <si>
    <t xml:space="preserve">WL_INT_146</t>
  </si>
  <si>
    <t xml:space="preserve">WL_INT_147</t>
  </si>
  <si>
    <t xml:space="preserve">WL_INT_148</t>
  </si>
  <si>
    <t xml:space="preserve">WL_INT_149</t>
  </si>
  <si>
    <t xml:space="preserve">WL_INT_150</t>
  </si>
  <si>
    <t xml:space="preserve">WL_INT_151</t>
  </si>
  <si>
    <t xml:space="preserve">WL_INT_152</t>
  </si>
  <si>
    <t xml:space="preserve">WL_INT_153</t>
  </si>
  <si>
    <t xml:space="preserve">WL_INT_154</t>
  </si>
  <si>
    <t xml:space="preserve">WL_INT_155</t>
  </si>
  <si>
    <t xml:space="preserve">WL_INT_156</t>
  </si>
  <si>
    <t xml:space="preserve">WL_INT_157</t>
  </si>
  <si>
    <t xml:space="preserve">WL_INT_158</t>
  </si>
  <si>
    <t xml:space="preserve">WL_INT_159</t>
  </si>
  <si>
    <t xml:space="preserve">WL_INT_160</t>
  </si>
  <si>
    <t xml:space="preserve">WL_INT_161</t>
  </si>
  <si>
    <t xml:space="preserve">WL_INT_162</t>
  </si>
  <si>
    <t xml:space="preserve">WL_INT_163</t>
  </si>
  <si>
    <t xml:space="preserve">WL_INT_164</t>
  </si>
  <si>
    <t xml:space="preserve">WL_INT_165</t>
  </si>
  <si>
    <t xml:space="preserve">WL_INT_166</t>
  </si>
  <si>
    <t xml:space="preserve">WL_INT_167</t>
  </si>
  <si>
    <t xml:space="preserve">WL_INT_168</t>
  </si>
  <si>
    <t xml:space="preserve">WL_INT_169</t>
  </si>
  <si>
    <t xml:space="preserve">WL_INT_170</t>
  </si>
  <si>
    <t xml:space="preserve">WL_INT_171</t>
  </si>
  <si>
    <t xml:space="preserve">WL_INT_172</t>
  </si>
  <si>
    <t xml:space="preserve">WL_INT_173</t>
  </si>
  <si>
    <t xml:space="preserve">WL_INT_174</t>
  </si>
  <si>
    <t xml:space="preserve">WL_INT_175</t>
  </si>
  <si>
    <t xml:space="preserve">WL_INT_176</t>
  </si>
  <si>
    <t xml:space="preserve">WL_INT_177</t>
  </si>
  <si>
    <t xml:space="preserve">WL_INT_178</t>
  </si>
  <si>
    <t xml:space="preserve">WL_INT_179</t>
  </si>
  <si>
    <t xml:space="preserve">WL_INT_180</t>
  </si>
  <si>
    <t xml:space="preserve">WL_INT_181</t>
  </si>
  <si>
    <t xml:space="preserve">WL_INT_182</t>
  </si>
  <si>
    <t xml:space="preserve">WL_INT_183</t>
  </si>
  <si>
    <t xml:space="preserve">WL_INT_184</t>
  </si>
  <si>
    <t xml:space="preserve">WL_INT_185</t>
  </si>
  <si>
    <t xml:space="preserve">WL_INT_186</t>
  </si>
  <si>
    <t xml:space="preserve">WL_INT_187</t>
  </si>
  <si>
    <t xml:space="preserve">WL_INT_188</t>
  </si>
  <si>
    <t xml:space="preserve">WL_INT_189</t>
  </si>
  <si>
    <t xml:space="preserve">WL_INT_190</t>
  </si>
  <si>
    <t xml:space="preserve">WL_INT_191</t>
  </si>
  <si>
    <t xml:space="preserve">WL_INT_192</t>
  </si>
  <si>
    <t xml:space="preserve">WL_INT_193</t>
  </si>
  <si>
    <t xml:space="preserve">WL_INT_194</t>
  </si>
  <si>
    <t xml:space="preserve">WL_INT_195</t>
  </si>
  <si>
    <t xml:space="preserve">WL_INT_196</t>
  </si>
  <si>
    <t xml:space="preserve">WL_INT_197</t>
  </si>
  <si>
    <t xml:space="preserve">WL_INT_198</t>
  </si>
  <si>
    <t xml:space="preserve">WL_INT_199</t>
  </si>
  <si>
    <t xml:space="preserve">WL_INT_200</t>
  </si>
  <si>
    <t xml:space="preserve">WL_INT_201</t>
  </si>
  <si>
    <t xml:space="preserve">WL_INT_202</t>
  </si>
  <si>
    <t xml:space="preserve">WL_INT_203</t>
  </si>
  <si>
    <t xml:space="preserve">WL_INT_204</t>
  </si>
  <si>
    <t xml:space="preserve">WL_INT_205</t>
  </si>
  <si>
    <t xml:space="preserve">WL_INT_206</t>
  </si>
  <si>
    <t xml:space="preserve">WL_INT_207</t>
  </si>
  <si>
    <t xml:space="preserve">WL_INT_208</t>
  </si>
  <si>
    <t xml:space="preserve">WL_INT_209</t>
  </si>
  <si>
    <t xml:space="preserve">WL_INT_210</t>
  </si>
  <si>
    <t xml:space="preserve">WL_INT_211</t>
  </si>
  <si>
    <t xml:space="preserve">WL_INT_212</t>
  </si>
  <si>
    <t xml:space="preserve">WL_INT_213</t>
  </si>
  <si>
    <t xml:space="preserve">WL_INT_214</t>
  </si>
  <si>
    <t xml:space="preserve">WL_INT_215</t>
  </si>
  <si>
    <t xml:space="preserve">WL_INT_216</t>
  </si>
  <si>
    <t xml:space="preserve">WL_INT_217</t>
  </si>
  <si>
    <t xml:space="preserve">WL_INT_218</t>
  </si>
  <si>
    <t xml:space="preserve">WL_INT_219</t>
  </si>
  <si>
    <t xml:space="preserve">WL_INT_220</t>
  </si>
  <si>
    <t xml:space="preserve">WL_INT_221</t>
  </si>
  <si>
    <t xml:space="preserve">WL_INT_222</t>
  </si>
  <si>
    <t xml:space="preserve">WL_INT_223</t>
  </si>
  <si>
    <t xml:space="preserve">WL_INT_224</t>
  </si>
  <si>
    <t xml:space="preserve">WL_INT_225</t>
  </si>
  <si>
    <t xml:space="preserve">WL_INT_226</t>
  </si>
  <si>
    <t xml:space="preserve">WL_INT_227</t>
  </si>
  <si>
    <t xml:space="preserve">WL_INT_228</t>
  </si>
  <si>
    <t xml:space="preserve">WL_INT_229</t>
  </si>
  <si>
    <t xml:space="preserve">WL_INT_230</t>
  </si>
  <si>
    <t xml:space="preserve">WL_INT_231</t>
  </si>
  <si>
    <t xml:space="preserve">WL_INT_232</t>
  </si>
  <si>
    <t xml:space="preserve">WL_INT_233</t>
  </si>
  <si>
    <t xml:space="preserve">WL_INT_234</t>
  </si>
  <si>
    <t xml:space="preserve">WL_INT_235</t>
  </si>
  <si>
    <t xml:space="preserve">WL_INT_236</t>
  </si>
  <si>
    <t xml:space="preserve">WL_INT_237</t>
  </si>
  <si>
    <t xml:space="preserve">WL_INT_238</t>
  </si>
  <si>
    <t xml:space="preserve">WL_INT_239</t>
  </si>
  <si>
    <t xml:space="preserve">WL_INT_240</t>
  </si>
  <si>
    <t xml:space="preserve">WL_INT_241</t>
  </si>
  <si>
    <t xml:space="preserve">WL_INT_242</t>
  </si>
  <si>
    <t xml:space="preserve">WL_INT_243</t>
  </si>
  <si>
    <t xml:space="preserve">WL_INT_244</t>
  </si>
  <si>
    <t xml:space="preserve">WL_INT_245</t>
  </si>
  <si>
    <t xml:space="preserve">WL_INT_246</t>
  </si>
  <si>
    <t xml:space="preserve">WL_INT_247</t>
  </si>
  <si>
    <t xml:space="preserve">WL_INT_248</t>
  </si>
  <si>
    <t xml:space="preserve">WL_INT_249</t>
  </si>
  <si>
    <t xml:space="preserve">WL_INT_250</t>
  </si>
  <si>
    <t xml:space="preserve">WL_INT_251</t>
  </si>
  <si>
    <t xml:space="preserve">WL_INT_252</t>
  </si>
  <si>
    <t xml:space="preserve">WL_INT_253</t>
  </si>
  <si>
    <t xml:space="preserve">WL_INT_254</t>
  </si>
  <si>
    <t xml:space="preserve">WL_INT_255</t>
  </si>
  <si>
    <t xml:space="preserve">WL_INT_256</t>
  </si>
  <si>
    <t xml:space="preserve">WL_INT_257</t>
  </si>
  <si>
    <t xml:space="preserve">WL_INT_258</t>
  </si>
  <si>
    <t xml:space="preserve">HM_REG_001</t>
  </si>
  <si>
    <t xml:space="preserve">WL_RIVER_DAILY_MAX_M</t>
  </si>
  <si>
    <t xml:space="preserve">Trạm Thủy văn Tân Châu (Sông Tiền)</t>
  </si>
  <si>
    <t xml:space="preserve">2024-02-28</t>
  </si>
  <si>
    <t xml:space="preserve">Mực nước cao nhất ngày 28/02/2024 tại Tân Châu đạt +1,36 m</t>
  </si>
  <si>
    <t xml:space="preserve">HM_REG_002</t>
  </si>
  <si>
    <t xml:space="preserve">Mực nước cao nhất ngày 28/02/2024 tại Mỹ Thuận đạt +1,48 m</t>
  </si>
  <si>
    <t xml:space="preserve">HM_REG_003</t>
  </si>
  <si>
    <t xml:space="preserve">Trạm Thủy văn Mỹ Tho (Sông Tiền)</t>
  </si>
  <si>
    <t xml:space="preserve">Mực nước cao nhất ngày 28/02/2024 tại Mỹ Tho đạt +1,55 m (xấp xỉ BĐ III)</t>
  </si>
  <si>
    <t xml:space="preserve">HM_REG_004</t>
  </si>
  <si>
    <t xml:space="preserve">Kênh trục Gò Công (Xuân Hòa - Cầu Ngang)</t>
  </si>
  <si>
    <t xml:space="preserve">2024-03-06</t>
  </si>
  <si>
    <t xml:space="preserve">DAILY_RANGE</t>
  </si>
  <si>
    <t xml:space="preserve">Mực nước trên kênh trục vùng ngọt hóa Gò Công dao động -0,10 đến -0,06 m trong cao điểm hạn mặn tháng 3/2024</t>
  </si>
  <si>
    <t xml:space="preserve">HM_REG_005</t>
  </si>
  <si>
    <t xml:space="preserve">2024-05-07</t>
  </si>
  <si>
    <t xml:space="preserve">Đỉnh triều cao nhất ngày 07/05/2024 tại Mỹ Tho đạt +1,44 m (buộc đóng lại cống Nguyễn Tấn Thành)</t>
  </si>
  <si>
    <t xml:space="preserve">HM_REG_006</t>
  </si>
  <si>
    <t xml:space="preserve">WL_RIVER_FORECAST_PEAK_M</t>
  </si>
  <si>
    <t xml:space="preserve">2026-03-19</t>
  </si>
  <si>
    <t xml:space="preserve">FORECAST_WINDOW (19–21/03/2026)</t>
  </si>
  <si>
    <t xml:space="preserve">FORECAST_WARNING</t>
  </si>
  <si>
    <t xml:space="preserve">Dự báo Đài KTTV Đồng Tháp: đỉnh triều tại Mỹ Tho vượt BĐ III (+1,60 m) từ 5–13 cm trong các ngày 19–21/03/2026</t>
  </si>
  <si>
    <t xml:space="preserve">HM_REG_007</t>
  </si>
  <si>
    <t xml:space="preserve">WL_SATELLITE_ALTIMETRY_M</t>
  </si>
  <si>
    <t xml:space="preserve">Điểm đo cao vệ tinh DAHITI Tân Châu</t>
  </si>
  <si>
    <t xml:space="preserve">2023-12-15</t>
  </si>
  <si>
    <t xml:space="preserve">ORBIT_PASS</t>
  </si>
  <si>
    <t xml:space="preserve">SATELLITE_ALTIMETRY</t>
  </si>
  <si>
    <t xml:space="preserve">EGM2008_GEOID_DAHITI</t>
  </si>
  <si>
    <t xml:space="preserve">232 bản ghi trong bảng water_level_observation của nhóm; bắt buộc giữ riêng source=DAHITI_ALTIMETRY và hệ cao độ EGM2008, không gộp trực tiếp với Hòn Dấu</t>
  </si>
  <si>
    <t xml:space="preserve">HM_REG_010</t>
  </si>
  <si>
    <t xml:space="preserve">WL_RIVER_DECADAL_MAX_M</t>
  </si>
  <si>
    <t xml:space="preserve">2024-04-10</t>
  </si>
  <si>
    <t xml:space="preserve">DECADAL_MAX (01–10/04/2024)</t>
  </si>
  <si>
    <t xml:space="preserve">https://baodongthap.vn/du-bao-xam-nhap-man-tren-dia-ban-tien-giang-tu-ngay-11-den-ngay-20-4-a67825.html</t>
  </si>
  <si>
    <t xml:space="preserve">Mực nước cao nhất tuần đầu tháng 4/2024 tại Tân Châu đạt +1,21 m</t>
  </si>
  <si>
    <t xml:space="preserve">HM_REG_011</t>
  </si>
  <si>
    <t xml:space="preserve">Mực nước cao nhất tuần đầu tháng 4/2024 tại Mỹ Thuận đạt +1,63 m</t>
  </si>
  <si>
    <t xml:space="preserve">HM_REG_012</t>
  </si>
  <si>
    <t xml:space="preserve">Mực nước cao nhất tuần đầu tháng 4/2024 tại Mỹ Tho đạt +1,75 m (vượt BĐ III 0,15 m)</t>
  </si>
  <si>
    <t xml:space="preserve">HM_REG_013</t>
  </si>
  <si>
    <t xml:space="preserve">2024-12-31</t>
  </si>
  <si>
    <t xml:space="preserve">DAILY_MAX_TIDE</t>
  </si>
  <si>
    <t xml:space="preserve">Đỉnh triều cao nhất đợt 31/12/2024 – 04/01/2025 tại Mỹ Tho ở mức +1,60 đến +1,70 m (trên BĐ III)</t>
  </si>
  <si>
    <t xml:space="preserve">HM_REG_014</t>
  </si>
  <si>
    <t xml:space="preserve">Mực nước đỉnh triều cao nhất vùng hạ lưu sông Tiền tại Mỹ Tho ngày 11–13/02/2025 đạt +1,50 đến +1,60 m (BĐ II–III)</t>
  </si>
  <si>
    <t xml:space="preserve">HM_REG_015</t>
  </si>
  <si>
    <t xml:space="preserve">Mực nước đỉnh triều sông Tiền ngày 14–15/02/2026 ở mức xấp xỉ BĐ II – BĐ III (+1,50 đến +1,60 m)</t>
  </si>
  <si>
    <t xml:space="preserve">HM_REG_016</t>
  </si>
  <si>
    <t xml:space="preserve">2026-03-15</t>
  </si>
  <si>
    <t xml:space="preserve">DECADAL_MAX (11–20/03/2026)</t>
  </si>
  <si>
    <t xml:space="preserve">https://baodongthap.vn/xam-nhap-man-o-dong-bang-song-cuu-long-thap-hon-trung-binh-nhieu-nam-a237975.html</t>
  </si>
  <si>
    <t xml:space="preserve">Mực nước cao nhất tại Tân Châu giữa tháng 3/2026 đạt +1,35 m</t>
  </si>
  <si>
    <t xml:space="preserve">11. DỮ LIỆU KHÍ TƯỢNG &amp; DÒNG CHẢY TÁCH BIỆT THEO ĐẠI LƯỢNG, NGUỒN &amp; LOẠI DỮ LIỆU (231 BẢN GHI)</t>
  </si>
  <si>
    <t xml:space="preserve">Khép kín lượng mưa thực đo 24h tại 29 trạm đợt 19–21/09/2026 và 09–13/10/2026 (IN_SITU), tách biệt với ERA5 &amp; GloFAS</t>
  </si>
  <si>
    <t xml:space="preserve">Khung thời gian tích lũy</t>
  </si>
  <si>
    <t xml:space="preserve">Giá trị lượng mưa (mm)</t>
  </si>
  <si>
    <t xml:space="preserve">Hệ quy chiếu cao độ</t>
  </si>
  <si>
    <t xml:space="preserve">MET_RAIN_001</t>
  </si>
  <si>
    <t xml:space="preserve">METEOROLOGY</t>
  </si>
  <si>
    <t xml:space="preserve">RAINFALL_DAILY_MM</t>
  </si>
  <si>
    <t xml:space="preserve">mm</t>
  </si>
  <si>
    <t xml:space="preserve">Tây Ba Rài</t>
  </si>
  <si>
    <t xml:space="preserve">24H_ACCUMULATED (07h-07h)</t>
  </si>
  <si>
    <t xml:space="preserve">NOT_APPLICABLE</t>
  </si>
  <si>
    <t xml:space="preserve">Lượng mưa thực đo 24h tại trạm/cống thủy lợi</t>
  </si>
  <si>
    <t xml:space="preserve">MET_RAIN_002</t>
  </si>
  <si>
    <t xml:space="preserve">Đông Ba Rài</t>
  </si>
  <si>
    <t xml:space="preserve">MET_RAIN_003</t>
  </si>
  <si>
    <t xml:space="preserve">MET_RAIN_004</t>
  </si>
  <si>
    <t xml:space="preserve">MET_RAIN_005</t>
  </si>
  <si>
    <t xml:space="preserve">MET_RAIN_006</t>
  </si>
  <si>
    <t xml:space="preserve">MET_RAIN_007</t>
  </si>
  <si>
    <t xml:space="preserve">MET_RAIN_008</t>
  </si>
  <si>
    <t xml:space="preserve">MET_RAIN_009</t>
  </si>
  <si>
    <t xml:space="preserve">MET_RAIN_010</t>
  </si>
  <si>
    <t xml:space="preserve">MET_RAIN_011</t>
  </si>
  <si>
    <t xml:space="preserve">MET_RAIN_012</t>
  </si>
  <si>
    <t xml:space="preserve">MET_RAIN_013</t>
  </si>
  <si>
    <t xml:space="preserve">MET_RAIN_014</t>
  </si>
  <si>
    <t xml:space="preserve">MET_RAIN_015</t>
  </si>
  <si>
    <t xml:space="preserve">MET_RAIN_016</t>
  </si>
  <si>
    <t xml:space="preserve">MET_RAIN_017</t>
  </si>
  <si>
    <t xml:space="preserve">MET_RAIN_018</t>
  </si>
  <si>
    <t xml:space="preserve">MET_RAIN_019</t>
  </si>
  <si>
    <t xml:space="preserve">MET_RAIN_020</t>
  </si>
  <si>
    <t xml:space="preserve">MET_RAIN_021</t>
  </si>
  <si>
    <t xml:space="preserve">MET_RAIN_022</t>
  </si>
  <si>
    <t xml:space="preserve">MET_RAIN_023</t>
  </si>
  <si>
    <t xml:space="preserve">MET_RAIN_024</t>
  </si>
  <si>
    <t xml:space="preserve">MET_RAIN_025</t>
  </si>
  <si>
    <t xml:space="preserve">MET_RAIN_026</t>
  </si>
  <si>
    <t xml:space="preserve">MET_RAIN_027</t>
  </si>
  <si>
    <t xml:space="preserve">MET_RAIN_028</t>
  </si>
  <si>
    <t xml:space="preserve">MET_RAIN_029</t>
  </si>
  <si>
    <t xml:space="preserve">MET_RAIN_030</t>
  </si>
  <si>
    <t xml:space="preserve">MET_RAIN_031</t>
  </si>
  <si>
    <t xml:space="preserve">MET_RAIN_032</t>
  </si>
  <si>
    <t xml:space="preserve">MET_RAIN_033</t>
  </si>
  <si>
    <t xml:space="preserve">MET_RAIN_034</t>
  </si>
  <si>
    <t xml:space="preserve">MET_RAIN_035</t>
  </si>
  <si>
    <t xml:space="preserve">MET_RAIN_036</t>
  </si>
  <si>
    <t xml:space="preserve">MET_RAIN_037</t>
  </si>
  <si>
    <t xml:space="preserve">MET_RAIN_038</t>
  </si>
  <si>
    <t xml:space="preserve">MET_RAIN_039</t>
  </si>
  <si>
    <t xml:space="preserve">MET_RAIN_040</t>
  </si>
  <si>
    <t xml:space="preserve">MET_RAIN_041</t>
  </si>
  <si>
    <t xml:space="preserve">MET_RAIN_042</t>
  </si>
  <si>
    <t xml:space="preserve">MET_RAIN_043</t>
  </si>
  <si>
    <t xml:space="preserve">MET_RAIN_044</t>
  </si>
  <si>
    <t xml:space="preserve">MET_RAIN_045</t>
  </si>
  <si>
    <t xml:space="preserve">MET_RAIN_046</t>
  </si>
  <si>
    <t xml:space="preserve">MET_RAIN_047</t>
  </si>
  <si>
    <t xml:space="preserve">MET_RAIN_048</t>
  </si>
  <si>
    <t xml:space="preserve">MET_RAIN_049</t>
  </si>
  <si>
    <t xml:space="preserve">MET_RAIN_050</t>
  </si>
  <si>
    <t xml:space="preserve">MET_RAIN_051</t>
  </si>
  <si>
    <t xml:space="preserve">MET_RAIN_052</t>
  </si>
  <si>
    <t xml:space="preserve">MET_RAIN_053</t>
  </si>
  <si>
    <t xml:space="preserve">MET_RAIN_054</t>
  </si>
  <si>
    <t xml:space="preserve">MET_RAIN_055</t>
  </si>
  <si>
    <t xml:space="preserve">MET_RAIN_056</t>
  </si>
  <si>
    <t xml:space="preserve">MET_RAIN_057</t>
  </si>
  <si>
    <t xml:space="preserve">MET_RAIN_058</t>
  </si>
  <si>
    <t xml:space="preserve">MET_RAIN_059</t>
  </si>
  <si>
    <t xml:space="preserve">MET_RAIN_060</t>
  </si>
  <si>
    <t xml:space="preserve">MET_RAIN_061</t>
  </si>
  <si>
    <t xml:space="preserve">MET_RAIN_062</t>
  </si>
  <si>
    <t xml:space="preserve">MET_RAIN_063</t>
  </si>
  <si>
    <t xml:space="preserve">MET_RAIN_064</t>
  </si>
  <si>
    <t xml:space="preserve">MET_RAIN_065</t>
  </si>
  <si>
    <t xml:space="preserve">MET_RAIN_066</t>
  </si>
  <si>
    <t xml:space="preserve">MET_RAIN_067</t>
  </si>
  <si>
    <t xml:space="preserve">MET_RAIN_068</t>
  </si>
  <si>
    <t xml:space="preserve">MET_RAIN_069</t>
  </si>
  <si>
    <t xml:space="preserve">MET_RAIN_070</t>
  </si>
  <si>
    <t xml:space="preserve">MET_RAIN_071</t>
  </si>
  <si>
    <t xml:space="preserve">MET_RAIN_072</t>
  </si>
  <si>
    <t xml:space="preserve">MET_RAIN_073</t>
  </si>
  <si>
    <t xml:space="preserve">MET_RAIN_074</t>
  </si>
  <si>
    <t xml:space="preserve">MET_RAIN_075</t>
  </si>
  <si>
    <t xml:space="preserve">MET_RAIN_076</t>
  </si>
  <si>
    <t xml:space="preserve">MET_RAIN_077</t>
  </si>
  <si>
    <t xml:space="preserve">MET_RAIN_078</t>
  </si>
  <si>
    <t xml:space="preserve">MET_RAIN_079</t>
  </si>
  <si>
    <t xml:space="preserve">MET_RAIN_080</t>
  </si>
  <si>
    <t xml:space="preserve">MET_RAIN_081</t>
  </si>
  <si>
    <t xml:space="preserve">MET_RAIN_082</t>
  </si>
  <si>
    <t xml:space="preserve">MET_RAIN_083</t>
  </si>
  <si>
    <t xml:space="preserve">MET_RAIN_084</t>
  </si>
  <si>
    <t xml:space="preserve">MET_RAIN_085</t>
  </si>
  <si>
    <t xml:space="preserve">MET_RAIN_086</t>
  </si>
  <si>
    <t xml:space="preserve">MET_RAIN_087</t>
  </si>
  <si>
    <t xml:space="preserve">MET_RAIN_088</t>
  </si>
  <si>
    <t xml:space="preserve">MET_RAIN_089</t>
  </si>
  <si>
    <t xml:space="preserve">MET_RAIN_090</t>
  </si>
  <si>
    <t xml:space="preserve">MET_RAIN_091</t>
  </si>
  <si>
    <t xml:space="preserve">MET_RAIN_092</t>
  </si>
  <si>
    <t xml:space="preserve">MET_RAIN_093</t>
  </si>
  <si>
    <t xml:space="preserve">MET_RAIN_094</t>
  </si>
  <si>
    <t xml:space="preserve">MET_RAIN_095</t>
  </si>
  <si>
    <t xml:space="preserve">MET_RAIN_096</t>
  </si>
  <si>
    <t xml:space="preserve">MET_RAIN_097</t>
  </si>
  <si>
    <t xml:space="preserve">MET_RAIN_098</t>
  </si>
  <si>
    <t xml:space="preserve">MET_RAIN_099</t>
  </si>
  <si>
    <t xml:space="preserve">MET_RAIN_100</t>
  </si>
  <si>
    <t xml:space="preserve">MET_RAIN_101</t>
  </si>
  <si>
    <t xml:space="preserve">MET_RAIN_102</t>
  </si>
  <si>
    <t xml:space="preserve">MET_RAIN_103</t>
  </si>
  <si>
    <t xml:space="preserve">MET_RAIN_104</t>
  </si>
  <si>
    <t xml:space="preserve">MET_RAIN_105</t>
  </si>
  <si>
    <t xml:space="preserve">MET_RAIN_106</t>
  </si>
  <si>
    <t xml:space="preserve">MET_RAIN_107</t>
  </si>
  <si>
    <t xml:space="preserve">MET_RAIN_108</t>
  </si>
  <si>
    <t xml:space="preserve">MET_RAIN_109</t>
  </si>
  <si>
    <t xml:space="preserve">MET_RAIN_110</t>
  </si>
  <si>
    <t xml:space="preserve">MET_RAIN_111</t>
  </si>
  <si>
    <t xml:space="preserve">MET_RAIN_112</t>
  </si>
  <si>
    <t xml:space="preserve">MET_RAIN_113</t>
  </si>
  <si>
    <t xml:space="preserve">MET_RAIN_114</t>
  </si>
  <si>
    <t xml:space="preserve">MET_RAIN_115</t>
  </si>
  <si>
    <t xml:space="preserve">MET_RAIN_116</t>
  </si>
  <si>
    <t xml:space="preserve">MET_RAIN_117</t>
  </si>
  <si>
    <t xml:space="preserve">MET_RAIN_118</t>
  </si>
  <si>
    <t xml:space="preserve">MET_RAIN_119</t>
  </si>
  <si>
    <t xml:space="preserve">MET_RAIN_120</t>
  </si>
  <si>
    <t xml:space="preserve">MET_RAIN_121</t>
  </si>
  <si>
    <t xml:space="preserve">MET_RAIN_122</t>
  </si>
  <si>
    <t xml:space="preserve">MET_RAIN_123</t>
  </si>
  <si>
    <t xml:space="preserve">MET_RAIN_124</t>
  </si>
  <si>
    <t xml:space="preserve">MET_RAIN_125</t>
  </si>
  <si>
    <t xml:space="preserve">MET_RAIN_126</t>
  </si>
  <si>
    <t xml:space="preserve">MET_RAIN_127</t>
  </si>
  <si>
    <t xml:space="preserve">MET_RAIN_128</t>
  </si>
  <si>
    <t xml:space="preserve">MET_RAIN_129</t>
  </si>
  <si>
    <t xml:space="preserve">MET_RAIN_130</t>
  </si>
  <si>
    <t xml:space="preserve">MET_RAIN_131</t>
  </si>
  <si>
    <t xml:space="preserve">MET_RAIN_132</t>
  </si>
  <si>
    <t xml:space="preserve">MET_RAIN_133</t>
  </si>
  <si>
    <t xml:space="preserve">MET_RAIN_134</t>
  </si>
  <si>
    <t xml:space="preserve">MET_RAIN_135</t>
  </si>
  <si>
    <t xml:space="preserve">MET_RAIN_136</t>
  </si>
  <si>
    <t xml:space="preserve">MET_RAIN_137</t>
  </si>
  <si>
    <t xml:space="preserve">MET_RAIN_138</t>
  </si>
  <si>
    <t xml:space="preserve">MET_RAIN_139</t>
  </si>
  <si>
    <t xml:space="preserve">MET_RAIN_140</t>
  </si>
  <si>
    <t xml:space="preserve">MET_RAIN_141</t>
  </si>
  <si>
    <t xml:space="preserve">MET_RAIN_142</t>
  </si>
  <si>
    <t xml:space="preserve">MET_RAIN_143</t>
  </si>
  <si>
    <t xml:space="preserve">MET_RAIN_144</t>
  </si>
  <si>
    <t xml:space="preserve">MET_RAIN_145</t>
  </si>
  <si>
    <t xml:space="preserve">MET_RAIN_146</t>
  </si>
  <si>
    <t xml:space="preserve">MET_RAIN_147</t>
  </si>
  <si>
    <t xml:space="preserve">MET_RAIN_148</t>
  </si>
  <si>
    <t xml:space="preserve">MET_RAIN_149</t>
  </si>
  <si>
    <t xml:space="preserve">MET_RAIN_150</t>
  </si>
  <si>
    <t xml:space="preserve">MET_RAIN_151</t>
  </si>
  <si>
    <t xml:space="preserve">MET_RAIN_152</t>
  </si>
  <si>
    <t xml:space="preserve">MET_RAIN_153</t>
  </si>
  <si>
    <t xml:space="preserve">MET_RAIN_154</t>
  </si>
  <si>
    <t xml:space="preserve">MET_RAIN_155</t>
  </si>
  <si>
    <t xml:space="preserve">MET_RAIN_156</t>
  </si>
  <si>
    <t xml:space="preserve">MET_RAIN_157</t>
  </si>
  <si>
    <t xml:space="preserve">MET_RAIN_158</t>
  </si>
  <si>
    <t xml:space="preserve">MET_RAIN_159</t>
  </si>
  <si>
    <t xml:space="preserve">MET_RAIN_160</t>
  </si>
  <si>
    <t xml:space="preserve">MET_RAIN_161</t>
  </si>
  <si>
    <t xml:space="preserve">MET_RAIN_162</t>
  </si>
  <si>
    <t xml:space="preserve">MET_RAIN_163</t>
  </si>
  <si>
    <t xml:space="preserve">MET_RAIN_164</t>
  </si>
  <si>
    <t xml:space="preserve">MET_RAIN_165</t>
  </si>
  <si>
    <t xml:space="preserve">MET_RAIN_166</t>
  </si>
  <si>
    <t xml:space="preserve">MET_RAIN_167</t>
  </si>
  <si>
    <t xml:space="preserve">MET_RAIN_168</t>
  </si>
  <si>
    <t xml:space="preserve">MET_RAIN_169</t>
  </si>
  <si>
    <t xml:space="preserve">MET_RAIN_170</t>
  </si>
  <si>
    <t xml:space="preserve">MET_RAIN_171</t>
  </si>
  <si>
    <t xml:space="preserve">MET_RAIN_172</t>
  </si>
  <si>
    <t xml:space="preserve">MET_RAIN_173</t>
  </si>
  <si>
    <t xml:space="preserve">MET_RAIN_174</t>
  </si>
  <si>
    <t xml:space="preserve">MET_RAIN_175</t>
  </si>
  <si>
    <t xml:space="preserve">MET_RAIN_176</t>
  </si>
  <si>
    <t xml:space="preserve">MET_RAIN_177</t>
  </si>
  <si>
    <t xml:space="preserve">MET_RAIN_178</t>
  </si>
  <si>
    <t xml:space="preserve">MET_RAIN_179</t>
  </si>
  <si>
    <t xml:space="preserve">MET_RAIN_180</t>
  </si>
  <si>
    <t xml:space="preserve">MET_RAIN_181</t>
  </si>
  <si>
    <t xml:space="preserve">MET_RAIN_182</t>
  </si>
  <si>
    <t xml:space="preserve">MET_RAIN_183</t>
  </si>
  <si>
    <t xml:space="preserve">MET_RAIN_184</t>
  </si>
  <si>
    <t xml:space="preserve">MET_RAIN_185</t>
  </si>
  <si>
    <t xml:space="preserve">MET_RAIN_186</t>
  </si>
  <si>
    <t xml:space="preserve">MET_RAIN_187</t>
  </si>
  <si>
    <t xml:space="preserve">MET_RAIN_188</t>
  </si>
  <si>
    <t xml:space="preserve">MET_RAIN_189</t>
  </si>
  <si>
    <t xml:space="preserve">MET_RAIN_190</t>
  </si>
  <si>
    <t xml:space="preserve">MET_RAIN_191</t>
  </si>
  <si>
    <t xml:space="preserve">MET_RAIN_192</t>
  </si>
  <si>
    <t xml:space="preserve">MET_RAIN_193</t>
  </si>
  <si>
    <t xml:space="preserve">MET_RAIN_194</t>
  </si>
  <si>
    <t xml:space="preserve">MET_RAIN_195</t>
  </si>
  <si>
    <t xml:space="preserve">MET_RAIN_196</t>
  </si>
  <si>
    <t xml:space="preserve">MET_RAIN_197</t>
  </si>
  <si>
    <t xml:space="preserve">MET_RAIN_198</t>
  </si>
  <si>
    <t xml:space="preserve">MET_RAIN_199</t>
  </si>
  <si>
    <t xml:space="preserve">MET_RAIN_200</t>
  </si>
  <si>
    <t xml:space="preserve">MET_RAIN_201</t>
  </si>
  <si>
    <t xml:space="preserve">MET_RAIN_202</t>
  </si>
  <si>
    <t xml:space="preserve">MET_RAIN_203</t>
  </si>
  <si>
    <t xml:space="preserve">MET_RAIN_204</t>
  </si>
  <si>
    <t xml:space="preserve">MET_RAIN_205</t>
  </si>
  <si>
    <t xml:space="preserve">MET_RAIN_206</t>
  </si>
  <si>
    <t xml:space="preserve">MET_RAIN_207</t>
  </si>
  <si>
    <t xml:space="preserve">MET_RAIN_208</t>
  </si>
  <si>
    <t xml:space="preserve">MET_RAIN_209</t>
  </si>
  <si>
    <t xml:space="preserve">MET_RAIN_210</t>
  </si>
  <si>
    <t xml:space="preserve">MET_RAIN_211</t>
  </si>
  <si>
    <t xml:space="preserve">MET_RAIN_212</t>
  </si>
  <si>
    <t xml:space="preserve">MET_RAIN_213</t>
  </si>
  <si>
    <t xml:space="preserve">MET_RAIN_214</t>
  </si>
  <si>
    <t xml:space="preserve">MET_RAIN_215</t>
  </si>
  <si>
    <t xml:space="preserve">MET_RAIN_216</t>
  </si>
  <si>
    <t xml:space="preserve">MET_RAIN_217</t>
  </si>
  <si>
    <t xml:space="preserve">MET_RAIN_218</t>
  </si>
  <si>
    <t xml:space="preserve">MET_RAIN_219</t>
  </si>
  <si>
    <t xml:space="preserve">MET_RAIN_220</t>
  </si>
  <si>
    <t xml:space="preserve">MET_RAIN_221</t>
  </si>
  <si>
    <t xml:space="preserve">MET_RAIN_222</t>
  </si>
  <si>
    <t xml:space="preserve">MET_RAIN_223</t>
  </si>
  <si>
    <t xml:space="preserve">MET_RAIN_224</t>
  </si>
  <si>
    <t xml:space="preserve">MET_RAIN_225</t>
  </si>
  <si>
    <t xml:space="preserve">MET_RAIN_226</t>
  </si>
  <si>
    <t xml:space="preserve">MET_RAIN_227</t>
  </si>
  <si>
    <t xml:space="preserve">MET_RAIN_228</t>
  </si>
  <si>
    <t xml:space="preserve">MET_RAIN_229</t>
  </si>
  <si>
    <t xml:space="preserve">HM_REG_008</t>
  </si>
  <si>
    <t xml:space="preserve">HYDROLOGY_DISCHARGE</t>
  </si>
  <si>
    <t xml:space="preserve">DISCHARGE_GLOFAS_M3S</t>
  </si>
  <si>
    <t xml:space="preserve">m3/s</t>
  </si>
  <si>
    <t xml:space="preserve">Lưới dòng chảy GloFAS Tân Châu</t>
  </si>
  <si>
    <t xml:space="preserve">Toàn vùng ĐBSCL / Đồng Tháp</t>
  </si>
  <si>
    <t xml:space="preserve">DAILY_MEAN</t>
  </si>
  <si>
    <t xml:space="preserve">https://drive.google.com/file/d/1c0Atuxq2PA3DFAdzF08leVgVOPoynN-I/view?usp=drivesdk</t>
  </si>
  <si>
    <t xml:space="preserve">Lưu lượng dòng chảy mô hình thủy văn GloFAS (m3/s); giữ riêng bảng/nhóm đại lượng HYDROLOGY_DISCHARGE, không trộn vào cột mực nước (m)</t>
  </si>
  <si>
    <t xml:space="preserve">HM_REG_009</t>
  </si>
  <si>
    <t xml:space="preserve">TEMP_ET0_WIND_ERA5</t>
  </si>
  <si>
    <t xml:space="preserve">°C / mm / m/s</t>
  </si>
  <si>
    <t xml:space="preserve">Lưới tái phân tích khí tượng Open-Meteo (Mỹ Tho &amp; Tân Châu)</t>
  </si>
  <si>
    <t xml:space="preserve">DAILY_AGGREGATE</t>
  </si>
  <si>
    <t xml:space="preserve">REANALYSIS</t>
  </si>
  <si>
    <t xml:space="preserve">Chuỗi khí tượng tái phân tích (Nhiệt độ 2m, Mưa ERA5, ET0, Gió 10m); giữ riêng data_type=REANALYSIS để phân biệt với mưa thực đo tại cống (IN_SITU_OBSERVATION)</t>
  </si>
  <si>
    <t xml:space="preserve">12. BÁO CÁO ĐỘ BAO PHỦ DỮ LIỆU TRƯỚC (V2) VÀ SAU KHI BỔ SUNG (V3) THEO TRẠM TRỌNG ĐIỂM (SẢN PHẨM B)</t>
  </si>
  <si>
    <t xml:space="preserve">Đánh giá định lượng số ngày thực đo, giai đoạn bao phủ, chuỗi ngày liên tục dài nhất, khoảng trống lớn nhất và số mẫu dùng được cho ML</t>
  </si>
  <si>
    <t xml:space="preserve">Tên trạm trọng điểm &amp; Vị trí</t>
  </si>
  <si>
    <t xml:space="preserve">Số ngày đo V2 (Trước)</t>
  </si>
  <si>
    <t xml:space="preserve">Số ngày đo V3 (Sau)</t>
  </si>
  <si>
    <t xml:space="preserve">Tăng thêm (ngày)</t>
  </si>
  <si>
    <t xml:space="preserve">Giai đoạn bao phủ (Min -&gt; Max)</t>
  </si>
  <si>
    <t xml:space="preserve">Các năm có dữ liệu</t>
  </si>
  <si>
    <t xml:space="preserve">Chuỗi liên tục dài nhất V2 (ngày)</t>
  </si>
  <si>
    <t xml:space="preserve">Chuỗi liên tục dài nhất V3 (ngày)</t>
  </si>
  <si>
    <t xml:space="preserve">Khoảng thiếu lớn nhất (ngày)</t>
  </si>
  <si>
    <t xml:space="preserve">Tỷ lệ phủ lịch toàn kỳ (%)</t>
  </si>
  <si>
    <t xml:space="preserve">Số mẫu ghép đa biến cho ML</t>
  </si>
  <si>
    <t xml:space="preserve">Vai trò trong mô hình Dự báo &amp; Vận hành cống</t>
  </si>
  <si>
    <t xml:space="preserve">Vàm Kênh (Cửa Tiểu - Sông Tiền, 2.2km)</t>
  </si>
  <si>
    <t xml:space="preserve">2026-09-17 -&gt; 2026-10-13</t>
  </si>
  <si>
    <t xml:space="preserve">2026</t>
  </si>
  <si>
    <t xml:space="preserve">Trạm trọng điểm huấn luyện &amp; kiểm chứng dự báo ngày (S_max &amp; ΔS)</t>
  </si>
  <si>
    <t xml:space="preserve">Long Hải (Sông Tiền &amp; Nội đồng)</t>
  </si>
  <si>
    <t xml:space="preserve">Rạch Mương (Sông Cửa Trung &amp; Nội đồng)</t>
  </si>
  <si>
    <t xml:space="preserve">Cống Vàm Giồng (Sông Tiền 25km &amp; Nội đồng)</t>
  </si>
  <si>
    <t xml:space="preserve">2016-02-15 -&gt; 2026-10-13</t>
  </si>
  <si>
    <t xml:space="preserve">2016, 2020, 2025, 2026</t>
  </si>
  <si>
    <t xml:space="preserve">2016-02-15 -&gt; 2026-05-15</t>
  </si>
  <si>
    <t xml:space="preserve">Cống Xuân Hòa (Sông Tiền 42km &amp; Nội đồng)</t>
  </si>
  <si>
    <t xml:space="preserve">2016, 2020, 2024, 2025, 2026</t>
  </si>
  <si>
    <t xml:space="preserve">Công viên Lạc Hồng / Thủ Khoa Huân (Mỹ Tho, 46-50km)</t>
  </si>
  <si>
    <t xml:space="preserve">Cầu Trường Chính Trị (Bình Đức, 49-56km)</t>
  </si>
  <si>
    <t xml:space="preserve">2016-05-11 -&gt; 2026-05-15</t>
  </si>
  <si>
    <t xml:space="preserve">Cầu Xoài Hột (Châu Thành, 60km)</t>
  </si>
  <si>
    <t xml:space="preserve">2024-02-12 -&gt; 2026-04-20</t>
  </si>
  <si>
    <t xml:space="preserve">2024, 2025, 2026</t>
  </si>
  <si>
    <t xml:space="preserve">Cống Âu Nguyễn Tấn Thành (Vàm Kênh, 63km)</t>
  </si>
  <si>
    <t xml:space="preserve">2025-03-16 -&gt; 2025-04-04</t>
  </si>
  <si>
    <t xml:space="preserve">2025</t>
  </si>
  <si>
    <t xml:space="preserve">Trạm kiểm soát ngưỡng đóng/mở cống &amp; ranh mặn cực đại</t>
  </si>
  <si>
    <t xml:space="preserve">Cầu Kinh Xáng (Đầu kênh Nguyễn Tấn Thành)</t>
  </si>
  <si>
    <t xml:space="preserve">2024-02-12 -&gt; 2024-05-13</t>
  </si>
  <si>
    <t xml:space="preserve">2024</t>
  </si>
  <si>
    <t xml:space="preserve">Cầu Kim Sơn (Vàm Rạch Gầm, 67km)</t>
  </si>
  <si>
    <t xml:space="preserve">2024-03-01 -&gt; 2025-03-16</t>
  </si>
  <si>
    <t xml:space="preserve">2024, 2025</t>
  </si>
  <si>
    <t xml:space="preserve">Cầu / Cống Phú Phong (Châu Thành, 73km)</t>
  </si>
  <si>
    <t xml:space="preserve">2024-03-01 -&gt; 2024-05-13</t>
  </si>
  <si>
    <t xml:space="preserve">Cống Bảo Định (Đầu mối Bảo Định - Mỹ Tho)</t>
  </si>
  <si>
    <t xml:space="preserve">2026-09-19 -&gt; 2026-10-13</t>
  </si>
  <si>
    <t xml:space="preserve">Cống Số 3 (Sông Soài Rạp / Sông Tra 45km)</t>
  </si>
  <si>
    <t xml:space="preserve">Cống Số 1 (Sông Soài Rạp / Sông Tra 55km)</t>
  </si>
  <si>
    <t xml:space="preserve">2016, 2025, 2026</t>
  </si>
  <si>
    <t xml:space="preserve">Mỹ Điền (Sông Soài Rạp / Vàm Cỏ)</t>
  </si>
  <si>
    <t xml:space="preserve">Vàm Mơn (Sông Hàm Luông - Chợ Lách/Cai Lậy)</t>
  </si>
  <si>
    <t xml:space="preserve">2024-05-09 -&gt; 2025-03-22</t>
  </si>
  <si>
    <t xml:space="preserve">Mỹ Hóa (Sông Hàm Luông 45km - Bến Tre)</t>
  </si>
  <si>
    <t xml:space="preserve">An Hiệp (Sông Hàm Luông 55km - Bến Tre)</t>
  </si>
  <si>
    <t xml:space="preserve">Cống Sông Cui (Sông Tra 36km - Giáp Gò Công)</t>
  </si>
  <si>
    <t xml:space="preserve">2024-03-02 -&gt; 2026-04-08</t>
  </si>
  <si>
    <t xml:space="preserve">Cống Tầm Vu (Sông Tra 43km - Giáp Gò Công)</t>
  </si>
  <si>
    <t xml:space="preserve">TỔNG / CỰC ĐẠI</t>
  </si>
  <si>
    <t xml:space="preserve">Tổng cộng nhóm 27 trạm trọng điểm sông &amp; cống đầu mối</t>
  </si>
  <si>
    <t xml:space="preserve">Đủ dữ liệu huấn luyện/kiểm chứng dự báo ngày (S_max) &amp; cảnh báo vượt ngưỡng 1-3 ngày</t>
  </si>
  <si>
    <t xml:space="preserve">13. BẢNG DỮ LIỆU ĐỒNG BỘ THỜI GIAN PHỤC VỤ MACHINE LEARNING &amp; BACKTEST (SẢN PHẨM C)</t>
  </si>
  <si>
    <t xml:space="preserve">Mỗi dòng là 1 mẫu (Trạm - Ngày) đã ghép đồng bộ biến mục tiêu (S_max, vượt ngưỡng 0.5/0.7/1.0/2.0 g/l) và biến ngoại sinh (Lag-1, Lag-2, ΔS, Triều, MN kênh, Mưa, Cống)</t>
  </si>
  <si>
    <t xml:space="preserve">ml_sample_id</t>
  </si>
  <si>
    <t xml:space="preserve">station_code</t>
  </si>
  <si>
    <t xml:space="preserve">station_name</t>
  </si>
  <si>
    <t xml:space="preserve">river_or_canal</t>
  </si>
  <si>
    <t xml:space="preserve">project_zone</t>
  </si>
  <si>
    <t xml:space="preserve">obs_date</t>
  </si>
  <si>
    <t xml:space="preserve">year</t>
  </si>
  <si>
    <t xml:space="preserve">month</t>
  </si>
  <si>
    <t xml:space="preserve">season_regime</t>
  </si>
  <si>
    <t xml:space="preserve">subdaily_obs_count</t>
  </si>
  <si>
    <t xml:space="preserve">target_salinity_max_g_l</t>
  </si>
  <si>
    <t xml:space="preserve">salinity_07h_g_l</t>
  </si>
  <si>
    <t xml:space="preserve">feat_salinity_lag1_g_l</t>
  </si>
  <si>
    <t xml:space="preserve">feat_salinity_lag2_g_l</t>
  </si>
  <si>
    <t xml:space="preserve">feat_delta_salinity_1d_g_l</t>
  </si>
  <si>
    <t xml:space="preserve">target_salinity_next1d_g_l</t>
  </si>
  <si>
    <t xml:space="preserve">target_exceed_0p5_gl</t>
  </si>
  <si>
    <t xml:space="preserve">target_exceed_0p7_gl</t>
  </si>
  <si>
    <t xml:space="preserve">target_exceed_1p0_gl</t>
  </si>
  <si>
    <t xml:space="preserve">target_exceed_2p0_gl</t>
  </si>
  <si>
    <t xml:space="preserve">feat_xuanhoa_tide_max_m</t>
  </si>
  <si>
    <t xml:space="preserve">feat_xuanhoa_tide_min_m</t>
  </si>
  <si>
    <t xml:space="preserve">feat_xuanhoa_tidal_range_m</t>
  </si>
  <si>
    <t xml:space="preserve">feat_canal_water_level_m</t>
  </si>
  <si>
    <t xml:space="preserve">feat_rainfall_24h_mm</t>
  </si>
  <si>
    <t xml:space="preserve">feat_gate_operation_mode</t>
  </si>
  <si>
    <t xml:space="preserve">ml_split_role</t>
  </si>
  <si>
    <t xml:space="preserve">source_code</t>
  </si>
  <si>
    <t xml:space="preserve">source_url</t>
  </si>
  <si>
    <t xml:space="preserve">ML_0001</t>
  </si>
  <si>
    <t xml:space="preserve">WET_TIDAL_PEAK</t>
  </si>
  <si>
    <t xml:space="preserve">TRAIN_TIDAL_MULTIVAR_2026_09 (5-Day Contiguous)</t>
  </si>
  <si>
    <t xml:space="preserve">ML_0002</t>
  </si>
  <si>
    <t xml:space="preserve">ML_0003</t>
  </si>
  <si>
    <t xml:space="preserve">ML_0004</t>
  </si>
  <si>
    <t xml:space="preserve">TEST_TIDAL_MULTIVAR_2026_10 (7-Day Contiguous Backtest)</t>
  </si>
  <si>
    <t xml:space="preserve">ML_0005</t>
  </si>
  <si>
    <t xml:space="preserve">ML_0006</t>
  </si>
  <si>
    <t xml:space="preserve">ML_0007</t>
  </si>
  <si>
    <t xml:space="preserve">CLOSED_OR_SEASONAL_RULE</t>
  </si>
  <si>
    <t xml:space="preserve">ML_0008</t>
  </si>
  <si>
    <t xml:space="preserve">ML_0009</t>
  </si>
  <si>
    <t xml:space="preserve">ML_0010</t>
  </si>
  <si>
    <t xml:space="preserve">ML_0011</t>
  </si>
  <si>
    <t xml:space="preserve">ML_0012</t>
  </si>
  <si>
    <t xml:space="preserve">ML_0013</t>
  </si>
  <si>
    <t xml:space="preserve">ML_0014</t>
  </si>
  <si>
    <t xml:space="preserve">ML_0015</t>
  </si>
  <si>
    <t xml:space="preserve">ML_0016</t>
  </si>
  <si>
    <t xml:space="preserve">ML_0017</t>
  </si>
  <si>
    <t xml:space="preserve">ML_0018</t>
  </si>
  <si>
    <t xml:space="preserve">ML_0019</t>
  </si>
  <si>
    <t xml:space="preserve">ML_0020</t>
  </si>
  <si>
    <t xml:space="preserve">ML_0021</t>
  </si>
  <si>
    <t xml:space="preserve">ML_0022</t>
  </si>
  <si>
    <t xml:space="preserve">ML_0023</t>
  </si>
  <si>
    <t xml:space="preserve">ML_0024</t>
  </si>
  <si>
    <t xml:space="preserve">ML_0025</t>
  </si>
  <si>
    <t xml:space="preserve">ML_0026</t>
  </si>
  <si>
    <t xml:space="preserve">ML_0027</t>
  </si>
  <si>
    <t xml:space="preserve">ML_0028</t>
  </si>
  <si>
    <t xml:space="preserve">ML_0029</t>
  </si>
  <si>
    <t xml:space="preserve">ML_0030</t>
  </si>
  <si>
    <t xml:space="preserve">ML_0031</t>
  </si>
  <si>
    <t xml:space="preserve">ML_0032</t>
  </si>
  <si>
    <t xml:space="preserve">ML_0033</t>
  </si>
  <si>
    <t xml:space="preserve">ML_0034</t>
  </si>
  <si>
    <t xml:space="preserve">ML_0035</t>
  </si>
  <si>
    <t xml:space="preserve">ML_0036</t>
  </si>
  <si>
    <t xml:space="preserve">ML_0037</t>
  </si>
  <si>
    <t xml:space="preserve">ML_0038</t>
  </si>
  <si>
    <t xml:space="preserve">ML_0039</t>
  </si>
  <si>
    <t xml:space="preserve">ML_0040</t>
  </si>
  <si>
    <t xml:space="preserve">ML_0041</t>
  </si>
  <si>
    <t xml:space="preserve">ML_0042</t>
  </si>
  <si>
    <t xml:space="preserve">ML_0043</t>
  </si>
  <si>
    <t xml:space="preserve">ML_0044</t>
  </si>
  <si>
    <t xml:space="preserve">ML_0045</t>
  </si>
  <si>
    <t xml:space="preserve">ML_0046</t>
  </si>
  <si>
    <t xml:space="preserve">ML_0047</t>
  </si>
  <si>
    <t xml:space="preserve">ML_0048</t>
  </si>
  <si>
    <t xml:space="preserve">ML_0049</t>
  </si>
  <si>
    <t xml:space="preserve">DRY_SEASON</t>
  </si>
  <si>
    <t xml:space="preserve">HIST_EXTREME_BASELINE (2016/2020)</t>
  </si>
  <si>
    <t xml:space="preserve">ML_0050</t>
  </si>
  <si>
    <t xml:space="preserve">ML_0051</t>
  </si>
  <si>
    <t xml:space="preserve">ML_0052</t>
  </si>
  <si>
    <t xml:space="preserve">ML_0053</t>
  </si>
  <si>
    <t xml:space="preserve">ML_0054</t>
  </si>
  <si>
    <t xml:space="preserve">ML_0055</t>
  </si>
  <si>
    <t xml:space="preserve">TRAIN_DRY_SEASON_2025</t>
  </si>
  <si>
    <t xml:space="preserve">ML_0056</t>
  </si>
  <si>
    <t xml:space="preserve">ML_0057</t>
  </si>
  <si>
    <t xml:space="preserve">ML_0058</t>
  </si>
  <si>
    <t xml:space="preserve">ML_0059</t>
  </si>
  <si>
    <t xml:space="preserve">ML_0060</t>
  </si>
  <si>
    <t xml:space="preserve">ML_0061</t>
  </si>
  <si>
    <t xml:space="preserve">VAL_DRY_SEASON_2026 (Contiguous May Window)</t>
  </si>
  <si>
    <t xml:space="preserve">ML_0062</t>
  </si>
  <si>
    <t xml:space="preserve">ML_0063</t>
  </si>
  <si>
    <t xml:space="preserve">ML_0064</t>
  </si>
  <si>
    <t xml:space="preserve">ML_0065</t>
  </si>
  <si>
    <t xml:space="preserve">ML_0066</t>
  </si>
  <si>
    <t xml:space="preserve">ML_0067</t>
  </si>
  <si>
    <t xml:space="preserve">ML_0068</t>
  </si>
  <si>
    <t xml:space="preserve">ML_0069</t>
  </si>
  <si>
    <t xml:space="preserve">ML_0070</t>
  </si>
  <si>
    <t xml:space="preserve">ML_0071</t>
  </si>
  <si>
    <t xml:space="preserve">ML_0072</t>
  </si>
  <si>
    <t xml:space="preserve">ML_0073</t>
  </si>
  <si>
    <t xml:space="preserve">ML_0074</t>
  </si>
  <si>
    <t xml:space="preserve">ML_0075</t>
  </si>
  <si>
    <t xml:space="preserve">ML_0076</t>
  </si>
  <si>
    <t xml:space="preserve">ML_0077</t>
  </si>
  <si>
    <t xml:space="preserve">ML_0078</t>
  </si>
  <si>
    <t xml:space="preserve">ML_0079</t>
  </si>
  <si>
    <t xml:space="preserve">ML_0080</t>
  </si>
  <si>
    <t xml:space="preserve">ML_0081</t>
  </si>
  <si>
    <t xml:space="preserve">ML_0082</t>
  </si>
  <si>
    <t xml:space="preserve">ML_0083</t>
  </si>
  <si>
    <t xml:space="preserve">ML_0084</t>
  </si>
  <si>
    <t xml:space="preserve">ML_0085</t>
  </si>
  <si>
    <t xml:space="preserve">ML_0086</t>
  </si>
  <si>
    <t xml:space="preserve">ML_0087</t>
  </si>
  <si>
    <t xml:space="preserve">ML_0088</t>
  </si>
  <si>
    <t xml:space="preserve">ML_0089</t>
  </si>
  <si>
    <t xml:space="preserve">ML_0090</t>
  </si>
  <si>
    <t xml:space="preserve">ML_0091</t>
  </si>
  <si>
    <t xml:space="preserve">ML_0092</t>
  </si>
  <si>
    <t xml:space="preserve">ML_0093</t>
  </si>
  <si>
    <t xml:space="preserve">ML_0094</t>
  </si>
  <si>
    <t xml:space="preserve">ML_0095</t>
  </si>
  <si>
    <t xml:space="preserve">ML_0096</t>
  </si>
  <si>
    <t xml:space="preserve">ML_0097</t>
  </si>
  <si>
    <t xml:space="preserve">ML_0098</t>
  </si>
  <si>
    <t xml:space="preserve">ML_0099</t>
  </si>
  <si>
    <t xml:space="preserve">ML_0100</t>
  </si>
  <si>
    <t xml:space="preserve">ML_0101</t>
  </si>
  <si>
    <t xml:space="preserve">ML_0102</t>
  </si>
  <si>
    <t xml:space="preserve">ML_0103</t>
  </si>
  <si>
    <t xml:space="preserve">ML_0104</t>
  </si>
  <si>
    <t xml:space="preserve">ML_0105</t>
  </si>
  <si>
    <t xml:space="preserve">ML_0106</t>
  </si>
  <si>
    <t xml:space="preserve">ML_0107</t>
  </si>
  <si>
    <t xml:space="preserve">ML_0108</t>
  </si>
  <si>
    <t xml:space="preserve">ML_0109</t>
  </si>
  <si>
    <t xml:space="preserve">ML_0110</t>
  </si>
  <si>
    <t xml:space="preserve">ML_0111</t>
  </si>
  <si>
    <t xml:space="preserve">ML_0112</t>
  </si>
  <si>
    <t xml:space="preserve">ML_0113</t>
  </si>
  <si>
    <t xml:space="preserve">ML_0114</t>
  </si>
  <si>
    <t xml:space="preserve">ML_0115</t>
  </si>
  <si>
    <t xml:space="preserve">ML_0116</t>
  </si>
  <si>
    <t xml:space="preserve">ML_0117</t>
  </si>
  <si>
    <t xml:space="preserve">ML_0118</t>
  </si>
  <si>
    <t xml:space="preserve">ML_0119</t>
  </si>
  <si>
    <t xml:space="preserve">ML_0120</t>
  </si>
  <si>
    <t xml:space="preserve">ML_0121</t>
  </si>
  <si>
    <t xml:space="preserve">ML_0122</t>
  </si>
  <si>
    <t xml:space="preserve">ML_0123</t>
  </si>
  <si>
    <t xml:space="preserve">ML_0124</t>
  </si>
  <si>
    <t xml:space="preserve">ML_0125</t>
  </si>
  <si>
    <t xml:space="preserve">ML_0126</t>
  </si>
  <si>
    <t xml:space="preserve">ML_0127</t>
  </si>
  <si>
    <t xml:space="preserve">ML_0128</t>
  </si>
  <si>
    <t xml:space="preserve">ML_0129</t>
  </si>
  <si>
    <t xml:space="preserve">ML_0130</t>
  </si>
  <si>
    <t xml:space="preserve">ML_0131</t>
  </si>
  <si>
    <t xml:space="preserve">ML_0132</t>
  </si>
  <si>
    <t xml:space="preserve">ML_0133</t>
  </si>
  <si>
    <t xml:space="preserve">ML_0134</t>
  </si>
  <si>
    <t xml:space="preserve">ML_0135</t>
  </si>
  <si>
    <t xml:space="preserve">ML_0136</t>
  </si>
  <si>
    <t xml:space="preserve">ML_0137</t>
  </si>
  <si>
    <t xml:space="preserve">ML_0138</t>
  </si>
  <si>
    <t xml:space="preserve">ML_0139</t>
  </si>
  <si>
    <t xml:space="preserve">ML_0140</t>
  </si>
  <si>
    <t xml:space="preserve">ML_0141</t>
  </si>
  <si>
    <t xml:space="preserve">ML_0142</t>
  </si>
  <si>
    <t xml:space="preserve">ML_0143</t>
  </si>
  <si>
    <t xml:space="preserve">ML_0144</t>
  </si>
  <si>
    <t xml:space="preserve">ML_0145</t>
  </si>
  <si>
    <t xml:space="preserve">ML_0146</t>
  </si>
  <si>
    <t xml:space="preserve">ML_0147</t>
  </si>
  <si>
    <t xml:space="preserve">ML_0148</t>
  </si>
  <si>
    <t xml:space="preserve">ML_0149</t>
  </si>
  <si>
    <t xml:space="preserve">ML_0150</t>
  </si>
  <si>
    <t xml:space="preserve">ML_0151</t>
  </si>
  <si>
    <t xml:space="preserve">ML_0152</t>
  </si>
  <si>
    <t xml:space="preserve">ML_0153</t>
  </si>
  <si>
    <t xml:space="preserve">ML_0154</t>
  </si>
  <si>
    <t xml:space="preserve">ML_0155</t>
  </si>
  <si>
    <t xml:space="preserve">ML_0156</t>
  </si>
  <si>
    <t xml:space="preserve">ML_0157</t>
  </si>
  <si>
    <t xml:space="preserve">ML_0158</t>
  </si>
  <si>
    <t xml:space="preserve">ML_0159</t>
  </si>
  <si>
    <t xml:space="preserve">ML_0160</t>
  </si>
  <si>
    <t xml:space="preserve">ML_0161</t>
  </si>
  <si>
    <t xml:space="preserve">ML_0162</t>
  </si>
  <si>
    <t xml:space="preserve">ML_0163</t>
  </si>
  <si>
    <t xml:space="preserve">ML_0164</t>
  </si>
  <si>
    <t xml:space="preserve">ML_0165</t>
  </si>
  <si>
    <t xml:space="preserve">ML_0166</t>
  </si>
  <si>
    <t xml:space="preserve">ML_0167</t>
  </si>
  <si>
    <t xml:space="preserve">ML_0168</t>
  </si>
  <si>
    <t xml:space="preserve">ML_0169</t>
  </si>
  <si>
    <t xml:space="preserve">ML_0170</t>
  </si>
  <si>
    <t xml:space="preserve">ML_0171</t>
  </si>
  <si>
    <t xml:space="preserve">ML_0172</t>
  </si>
  <si>
    <t xml:space="preserve">ML_0173</t>
  </si>
  <si>
    <t xml:space="preserve">ML_0174</t>
  </si>
  <si>
    <t xml:space="preserve">ML_0175</t>
  </si>
  <si>
    <t xml:space="preserve">ML_0176</t>
  </si>
  <si>
    <t xml:space="preserve">ML_0177</t>
  </si>
  <si>
    <t xml:space="preserve">ML_0178</t>
  </si>
  <si>
    <t xml:space="preserve">ML_0179</t>
  </si>
  <si>
    <t xml:space="preserve">ML_0180</t>
  </si>
  <si>
    <t xml:space="preserve">ML_0181</t>
  </si>
  <si>
    <t xml:space="preserve">ML_0182</t>
  </si>
  <si>
    <t xml:space="preserve">ML_0183</t>
  </si>
  <si>
    <t xml:space="preserve">ML_0184</t>
  </si>
  <si>
    <t xml:space="preserve">ML_0185</t>
  </si>
  <si>
    <t xml:space="preserve">ML_0186</t>
  </si>
  <si>
    <t xml:space="preserve">ML_0187</t>
  </si>
  <si>
    <t xml:space="preserve">ML_0188</t>
  </si>
  <si>
    <t xml:space="preserve">ML_0189</t>
  </si>
  <si>
    <t xml:space="preserve">ML_0190</t>
  </si>
  <si>
    <t xml:space="preserve">ML_0191</t>
  </si>
  <si>
    <t xml:space="preserve">ML_0192</t>
  </si>
  <si>
    <t xml:space="preserve">ML_0193</t>
  </si>
  <si>
    <t xml:space="preserve">ML_0194</t>
  </si>
  <si>
    <t xml:space="preserve">ML_0195</t>
  </si>
  <si>
    <t xml:space="preserve">ML_0196</t>
  </si>
  <si>
    <t xml:space="preserve">ML_0197</t>
  </si>
  <si>
    <t xml:space="preserve">ML_0198</t>
  </si>
  <si>
    <t xml:space="preserve">ML_0199</t>
  </si>
  <si>
    <t xml:space="preserve">ML_0200</t>
  </si>
  <si>
    <t xml:space="preserve">ML_0201</t>
  </si>
  <si>
    <t xml:space="preserve">ML_0202</t>
  </si>
  <si>
    <t xml:space="preserve">ML_0203</t>
  </si>
  <si>
    <t xml:space="preserve">ML_0204</t>
  </si>
  <si>
    <t xml:space="preserve">ML_0205</t>
  </si>
  <si>
    <t xml:space="preserve">ML_0206</t>
  </si>
  <si>
    <t xml:space="preserve">ML_0207</t>
  </si>
  <si>
    <t xml:space="preserve">ML_0208</t>
  </si>
  <si>
    <t xml:space="preserve">ML_0209</t>
  </si>
  <si>
    <t xml:space="preserve">ML_0210</t>
  </si>
  <si>
    <t xml:space="preserve">ML_0211</t>
  </si>
  <si>
    <t xml:space="preserve">ML_0212</t>
  </si>
  <si>
    <t xml:space="preserve">ML_0213</t>
  </si>
  <si>
    <t xml:space="preserve">ML_0214</t>
  </si>
  <si>
    <t xml:space="preserve">ML_0215</t>
  </si>
  <si>
    <t xml:space="preserve">ML_0216</t>
  </si>
  <si>
    <t xml:space="preserve">ML_0217</t>
  </si>
  <si>
    <t xml:space="preserve">ML_0218</t>
  </si>
  <si>
    <t xml:space="preserve">ML_0219</t>
  </si>
  <si>
    <t xml:space="preserve">ML_0220</t>
  </si>
  <si>
    <t xml:space="preserve">ML_0221</t>
  </si>
  <si>
    <t xml:space="preserve">ML_0222</t>
  </si>
  <si>
    <t xml:space="preserve">ML_0223</t>
  </si>
  <si>
    <t xml:space="preserve">ML_0224</t>
  </si>
  <si>
    <t xml:space="preserve">ML_0225</t>
  </si>
  <si>
    <t xml:space="preserve">ML_0226</t>
  </si>
  <si>
    <t xml:space="preserve">ML_0227</t>
  </si>
  <si>
    <t xml:space="preserve">ML_0228</t>
  </si>
  <si>
    <t xml:space="preserve">ML_0229</t>
  </si>
  <si>
    <t xml:space="preserve">ML_0230</t>
  </si>
  <si>
    <t xml:space="preserve">ML_0231</t>
  </si>
  <si>
    <t xml:space="preserve">ML_0232</t>
  </si>
  <si>
    <t xml:space="preserve">ML_0233</t>
  </si>
  <si>
    <t xml:space="preserve">ML_0234</t>
  </si>
  <si>
    <t xml:space="preserve">ML_0235</t>
  </si>
  <si>
    <t xml:space="preserve">ML_0236</t>
  </si>
  <si>
    <t xml:space="preserve">ML_0237</t>
  </si>
  <si>
    <t xml:space="preserve">ML_0238</t>
  </si>
  <si>
    <t xml:space="preserve">ML_0239</t>
  </si>
  <si>
    <t xml:space="preserve">ML_0240</t>
  </si>
  <si>
    <t xml:space="preserve">ML_0241</t>
  </si>
  <si>
    <t xml:space="preserve">ML_0242</t>
  </si>
  <si>
    <t xml:space="preserve">ML_0243</t>
  </si>
  <si>
    <t xml:space="preserve">ML_0244</t>
  </si>
  <si>
    <t xml:space="preserve">ML_0245</t>
  </si>
  <si>
    <t xml:space="preserve">ML_0246</t>
  </si>
  <si>
    <t xml:space="preserve">ML_0247</t>
  </si>
  <si>
    <t xml:space="preserve">ML_0248</t>
  </si>
  <si>
    <t xml:space="preserve">ML_0249</t>
  </si>
  <si>
    <t xml:space="preserve">ML_0250</t>
  </si>
  <si>
    <t xml:space="preserve">ML_0251</t>
  </si>
  <si>
    <t xml:space="preserve">ML_0252</t>
  </si>
  <si>
    <t xml:space="preserve">ML_0253</t>
  </si>
  <si>
    <t xml:space="preserve">ML_0254</t>
  </si>
  <si>
    <t xml:space="preserve">ML_0255</t>
  </si>
  <si>
    <t xml:space="preserve">ML_0256</t>
  </si>
  <si>
    <t xml:space="preserve">ML_0257</t>
  </si>
  <si>
    <t xml:space="preserve">ML_0258</t>
  </si>
  <si>
    <t xml:space="preserve">ML_0259</t>
  </si>
  <si>
    <t xml:space="preserve">ML_0260</t>
  </si>
  <si>
    <t xml:space="preserve">ML_0261</t>
  </si>
  <si>
    <t xml:space="preserve">ML_0262</t>
  </si>
  <si>
    <t xml:space="preserve">ML_0263</t>
  </si>
  <si>
    <t xml:space="preserve">ML_0264</t>
  </si>
  <si>
    <t xml:space="preserve">ML_0265</t>
  </si>
  <si>
    <t xml:space="preserve">ML_0266</t>
  </si>
  <si>
    <t xml:space="preserve">ML_0267</t>
  </si>
  <si>
    <t xml:space="preserve">ML_0268</t>
  </si>
  <si>
    <t xml:space="preserve">ML_0269</t>
  </si>
  <si>
    <t xml:space="preserve">ML_0270</t>
  </si>
  <si>
    <t xml:space="preserve">ML_0271</t>
  </si>
  <si>
    <t xml:space="preserve">ML_0272</t>
  </si>
  <si>
    <t xml:space="preserve">ML_0273</t>
  </si>
  <si>
    <t xml:space="preserve">ML_0274</t>
  </si>
  <si>
    <t xml:space="preserve">ML_0275</t>
  </si>
  <si>
    <t xml:space="preserve">ML_0276</t>
  </si>
  <si>
    <t xml:space="preserve">ML_0277</t>
  </si>
  <si>
    <t xml:space="preserve">ML_0278</t>
  </si>
  <si>
    <t xml:space="preserve">ML_0279</t>
  </si>
  <si>
    <t xml:space="preserve">REGIONAL_BOUNDARY</t>
  </si>
  <si>
    <t xml:space="preserve">ML_0280</t>
  </si>
  <si>
    <t xml:space="preserve">ML_0281</t>
  </si>
  <si>
    <t xml:space="preserve">ML_0282</t>
  </si>
  <si>
    <t xml:space="preserve">ML_0283</t>
  </si>
  <si>
    <t xml:space="preserve">ML_0284</t>
  </si>
  <si>
    <t xml:space="preserve">ML_0285</t>
  </si>
  <si>
    <t xml:space="preserve">ML_0286</t>
  </si>
  <si>
    <t xml:space="preserve">ML_0287</t>
  </si>
  <si>
    <t xml:space="preserve">ML_0288</t>
  </si>
  <si>
    <t xml:space="preserve">ML_0289</t>
  </si>
  <si>
    <t xml:space="preserve">ML_0290</t>
  </si>
  <si>
    <t xml:space="preserve">ML_0291</t>
  </si>
  <si>
    <t xml:space="preserve">ML_0292</t>
  </si>
  <si>
    <t xml:space="preserve">ML_0293</t>
  </si>
  <si>
    <t xml:space="preserve">ML_0294</t>
  </si>
  <si>
    <t xml:space="preserve">ML_0295</t>
  </si>
  <si>
    <t xml:space="preserve">ML_0296</t>
  </si>
  <si>
    <t xml:space="preserve">ML_0297</t>
  </si>
  <si>
    <t xml:space="preserve">ML_0298</t>
  </si>
  <si>
    <t xml:space="preserve">ML_0299</t>
  </si>
  <si>
    <t xml:space="preserve">ML_0300</t>
  </si>
  <si>
    <t xml:space="preserve">ML_0301</t>
  </si>
  <si>
    <t xml:space="preserve">ML_0302</t>
  </si>
  <si>
    <t xml:space="preserve">ML_0303</t>
  </si>
  <si>
    <t xml:space="preserve">ML_0304</t>
  </si>
  <si>
    <t xml:space="preserve">ML_0305</t>
  </si>
  <si>
    <t xml:space="preserve">TRAIN_DRY_SEASON_2024</t>
  </si>
  <si>
    <t xml:space="preserve">ML_0306</t>
  </si>
  <si>
    <t xml:space="preserve">ML_0307</t>
  </si>
  <si>
    <t xml:space="preserve">ML_0308</t>
  </si>
  <si>
    <t xml:space="preserve">ML_0309</t>
  </si>
  <si>
    <t xml:space="preserve">ML_0310</t>
  </si>
  <si>
    <t xml:space="preserve">ML_0311</t>
  </si>
  <si>
    <t xml:space="preserve">ML_0312</t>
  </si>
  <si>
    <t xml:space="preserve">ML_0313</t>
  </si>
  <si>
    <t xml:space="preserve">ML_0314</t>
  </si>
  <si>
    <t xml:space="preserve">ML_0315</t>
  </si>
  <si>
    <t xml:space="preserve">ML_0316</t>
  </si>
  <si>
    <t xml:space="preserve">ML_0317</t>
  </si>
  <si>
    <t xml:space="preserve">ML_0318</t>
  </si>
  <si>
    <t xml:space="preserve">ML_0319</t>
  </si>
  <si>
    <t xml:space="preserve">ML_0320</t>
  </si>
  <si>
    <t xml:space="preserve">ML_0321</t>
  </si>
  <si>
    <t xml:space="preserve">ML_0322</t>
  </si>
  <si>
    <t xml:space="preserve">ML_0323</t>
  </si>
  <si>
    <t xml:space="preserve">ML_0324</t>
  </si>
  <si>
    <t xml:space="preserve">ML_0325</t>
  </si>
  <si>
    <t xml:space="preserve">ML_0326</t>
  </si>
  <si>
    <t xml:space="preserve">ML_0327</t>
  </si>
  <si>
    <t xml:space="preserve">ML_0328</t>
  </si>
  <si>
    <t xml:space="preserve">ML_0329</t>
  </si>
  <si>
    <t xml:space="preserve">ML_0330</t>
  </si>
  <si>
    <t xml:space="preserve">ML_0331</t>
  </si>
  <si>
    <t xml:space="preserve">ML_0332</t>
  </si>
  <si>
    <t xml:space="preserve">ML_0333</t>
  </si>
  <si>
    <t xml:space="preserve">ML_0334</t>
  </si>
  <si>
    <t xml:space="preserve">ML_0335</t>
  </si>
  <si>
    <t xml:space="preserve">ML_0336</t>
  </si>
  <si>
    <t xml:space="preserve">ML_0337</t>
  </si>
  <si>
    <t xml:space="preserve">ML_0338</t>
  </si>
  <si>
    <t xml:space="preserve">ML_0339</t>
  </si>
  <si>
    <t xml:space="preserve">ML_0340</t>
  </si>
  <si>
    <t xml:space="preserve">ML_0341</t>
  </si>
  <si>
    <t xml:space="preserve">ML_0342</t>
  </si>
  <si>
    <t xml:space="preserve">ML_0343</t>
  </si>
  <si>
    <t xml:space="preserve">ML_0344</t>
  </si>
  <si>
    <t xml:space="preserve">ML_0345</t>
  </si>
  <si>
    <t xml:space="preserve">ML_0346</t>
  </si>
  <si>
    <t xml:space="preserve">ML_0347</t>
  </si>
  <si>
    <t xml:space="preserve">ML_0348</t>
  </si>
  <si>
    <t xml:space="preserve">ML_0349</t>
  </si>
  <si>
    <t xml:space="preserve">ML_0350</t>
  </si>
  <si>
    <t xml:space="preserve">ML_0351</t>
  </si>
  <si>
    <t xml:space="preserve">ML_0352</t>
  </si>
  <si>
    <t xml:space="preserve">ML_0353</t>
  </si>
  <si>
    <t xml:space="preserve">ML_0354</t>
  </si>
  <si>
    <t xml:space="preserve">ML_0355</t>
  </si>
  <si>
    <t xml:space="preserve">ML_0356</t>
  </si>
  <si>
    <t xml:space="preserve">ML_0357</t>
  </si>
  <si>
    <t xml:space="preserve">ML_0358</t>
  </si>
  <si>
    <t xml:space="preserve">ML_0359</t>
  </si>
  <si>
    <t xml:space="preserve">ML_0360</t>
  </si>
  <si>
    <t xml:space="preserve">ML_0361</t>
  </si>
  <si>
    <t xml:space="preserve">ML_0362</t>
  </si>
  <si>
    <t xml:space="preserve">ML_0363</t>
  </si>
  <si>
    <t xml:space="preserve">ML_0364</t>
  </si>
  <si>
    <t xml:space="preserve">ML_0365</t>
  </si>
  <si>
    <t xml:space="preserve">ML_0366</t>
  </si>
  <si>
    <t xml:space="preserve">ML_0367</t>
  </si>
  <si>
    <t xml:space="preserve">ML_0368</t>
  </si>
  <si>
    <t xml:space="preserve">ML_0369</t>
  </si>
  <si>
    <t xml:space="preserve">ML_0370</t>
  </si>
  <si>
    <t xml:space="preserve">ML_0371</t>
  </si>
  <si>
    <t xml:space="preserve">ML_0372</t>
  </si>
  <si>
    <t xml:space="preserve">ML_0373</t>
  </si>
  <si>
    <t xml:space="preserve">ML_0374</t>
  </si>
  <si>
    <t xml:space="preserve">ML_0375</t>
  </si>
  <si>
    <t xml:space="preserve">ML_0376</t>
  </si>
  <si>
    <t xml:space="preserve">ML_0377</t>
  </si>
  <si>
    <t xml:space="preserve">ML_0378</t>
  </si>
  <si>
    <t xml:space="preserve">ML_0379</t>
  </si>
  <si>
    <t xml:space="preserve">ML_0380</t>
  </si>
  <si>
    <t xml:space="preserve">ML_0381</t>
  </si>
  <si>
    <t xml:space="preserve">ML_0382</t>
  </si>
  <si>
    <t xml:space="preserve">ML_0383</t>
  </si>
  <si>
    <t xml:space="preserve">ML_0384</t>
  </si>
  <si>
    <t xml:space="preserve">ML_0385</t>
  </si>
  <si>
    <t xml:space="preserve">ML_0386</t>
  </si>
  <si>
    <t xml:space="preserve">ML_0387</t>
  </si>
  <si>
    <t xml:space="preserve">ML_0388</t>
  </si>
  <si>
    <t xml:space="preserve">ML_0389</t>
  </si>
  <si>
    <t xml:space="preserve">ML_0390</t>
  </si>
  <si>
    <t xml:space="preserve">ML_0391</t>
  </si>
  <si>
    <t xml:space="preserve">ML_0392</t>
  </si>
  <si>
    <t xml:space="preserve">ML_0393</t>
  </si>
  <si>
    <t xml:space="preserve">ML_0394</t>
  </si>
  <si>
    <t xml:space="preserve">ML_0395</t>
  </si>
  <si>
    <t xml:space="preserve">ML_0396</t>
  </si>
  <si>
    <t xml:space="preserve">ML_0397</t>
  </si>
  <si>
    <t xml:space="preserve">ML_0398</t>
  </si>
  <si>
    <t xml:space="preserve">ML_0399</t>
  </si>
  <si>
    <t xml:space="preserve">ML_0400</t>
  </si>
  <si>
    <t xml:space="preserve">ML_0401</t>
  </si>
  <si>
    <t xml:space="preserve">ML_0402</t>
  </si>
  <si>
    <t xml:space="preserve">ML_0403</t>
  </si>
  <si>
    <t xml:space="preserve">ML_0404</t>
  </si>
  <si>
    <t xml:space="preserve">ML_0405</t>
  </si>
  <si>
    <t xml:space="preserve">ML_0406</t>
  </si>
  <si>
    <t xml:space="preserve">ML_0407</t>
  </si>
  <si>
    <t xml:space="preserve">ML_0408</t>
  </si>
  <si>
    <t xml:space="preserve">ML_0409</t>
  </si>
  <si>
    <t xml:space="preserve">ML_0410</t>
  </si>
  <si>
    <t xml:space="preserve">ML_0411</t>
  </si>
  <si>
    <t xml:space="preserve">ML_0412</t>
  </si>
  <si>
    <t xml:space="preserve">ML_0413</t>
  </si>
  <si>
    <t xml:space="preserve">ML_0414</t>
  </si>
  <si>
    <t xml:space="preserve">ML_0415</t>
  </si>
  <si>
    <t xml:space="preserve">ML_0416</t>
  </si>
  <si>
    <t xml:space="preserve">ML_0417</t>
  </si>
  <si>
    <t xml:space="preserve">ML_0418</t>
  </si>
  <si>
    <t xml:space="preserve">ML_0419</t>
  </si>
  <si>
    <t xml:space="preserve">ML_0420</t>
  </si>
  <si>
    <t xml:space="preserve">ML_0421</t>
  </si>
  <si>
    <t xml:space="preserve">ML_0422</t>
  </si>
  <si>
    <t xml:space="preserve">ML_0423</t>
  </si>
  <si>
    <t xml:space="preserve">ML_0424</t>
  </si>
  <si>
    <t xml:space="preserve">ML_0425</t>
  </si>
  <si>
    <t xml:space="preserve">ML_0426</t>
  </si>
  <si>
    <t xml:space="preserve">ML_0427</t>
  </si>
  <si>
    <t xml:space="preserve">ML_0428</t>
  </si>
  <si>
    <t xml:space="preserve">ML_0429</t>
  </si>
  <si>
    <t xml:space="preserve">ML_0430</t>
  </si>
  <si>
    <t xml:space="preserve">ML_0431</t>
  </si>
  <si>
    <t xml:space="preserve">ML_0432</t>
  </si>
  <si>
    <t xml:space="preserve">ML_0433</t>
  </si>
  <si>
    <t xml:space="preserve">ML_0434</t>
  </si>
  <si>
    <t xml:space="preserve">ML_0435</t>
  </si>
  <si>
    <t xml:space="preserve">ML_0436</t>
  </si>
  <si>
    <t xml:space="preserve">ML_0437</t>
  </si>
  <si>
    <t xml:space="preserve">ML_0438</t>
  </si>
  <si>
    <t xml:space="preserve">ML_0439</t>
  </si>
  <si>
    <t xml:space="preserve">ML_0440</t>
  </si>
  <si>
    <t xml:space="preserve">ML_0441</t>
  </si>
  <si>
    <t xml:space="preserve">ML_0442</t>
  </si>
  <si>
    <t xml:space="preserve">ML_0443</t>
  </si>
  <si>
    <t xml:space="preserve">ML_0444</t>
  </si>
  <si>
    <t xml:space="preserve">ML_0445</t>
  </si>
  <si>
    <t xml:space="preserve">ML_0446</t>
  </si>
  <si>
    <t xml:space="preserve">ML_0447</t>
  </si>
  <si>
    <t xml:space="preserve">ML_0448</t>
  </si>
  <si>
    <t xml:space="preserve">ML_0449</t>
  </si>
  <si>
    <t xml:space="preserve">ML_0450</t>
  </si>
  <si>
    <t xml:space="preserve">ML_0451</t>
  </si>
  <si>
    <t xml:space="preserve">ML_0452</t>
  </si>
  <si>
    <t xml:space="preserve">ML_0453</t>
  </si>
  <si>
    <t xml:space="preserve">ML_0454</t>
  </si>
  <si>
    <t xml:space="preserve">ML_0455</t>
  </si>
  <si>
    <t xml:space="preserve">ML_0456</t>
  </si>
  <si>
    <t xml:space="preserve">ML_0457</t>
  </si>
  <si>
    <t xml:space="preserve">ML_0458</t>
  </si>
  <si>
    <t xml:space="preserve">ML_0459</t>
  </si>
  <si>
    <t xml:space="preserve">ML_0460</t>
  </si>
  <si>
    <t xml:space="preserve">ML_0461</t>
  </si>
  <si>
    <t xml:space="preserve">ML_0462</t>
  </si>
  <si>
    <t xml:space="preserve">ML_0463</t>
  </si>
  <si>
    <t xml:space="preserve">ML_0464</t>
  </si>
  <si>
    <t xml:space="preserve">ML_0465</t>
  </si>
  <si>
    <t xml:space="preserve">ML_0466</t>
  </si>
  <si>
    <t xml:space="preserve">ML_0467</t>
  </si>
  <si>
    <t xml:space="preserve">ML_0468</t>
  </si>
  <si>
    <t xml:space="preserve">ML_0469</t>
  </si>
  <si>
    <t xml:space="preserve">ML_0470</t>
  </si>
  <si>
    <t xml:space="preserve">ML_0471</t>
  </si>
  <si>
    <t xml:space="preserve">ML_0472</t>
  </si>
  <si>
    <t xml:space="preserve">ML_0473</t>
  </si>
  <si>
    <t xml:space="preserve">ML_0474</t>
  </si>
  <si>
    <t xml:space="preserve">ML_0475</t>
  </si>
  <si>
    <t xml:space="preserve">ML_0476</t>
  </si>
  <si>
    <t xml:space="preserve">ML_0477</t>
  </si>
  <si>
    <t xml:space="preserve">ML_0478</t>
  </si>
  <si>
    <t xml:space="preserve">ML_0479</t>
  </si>
  <si>
    <t xml:space="preserve">ML_0480</t>
  </si>
  <si>
    <t xml:space="preserve">ML_0481</t>
  </si>
  <si>
    <t xml:space="preserve">ML_0482</t>
  </si>
  <si>
    <t xml:space="preserve">ML_0483</t>
  </si>
  <si>
    <t xml:space="preserve">ML_0484</t>
  </si>
  <si>
    <t xml:space="preserve">ML_0485</t>
  </si>
  <si>
    <t xml:space="preserve">ML_0486</t>
  </si>
  <si>
    <t xml:space="preserve">ML_0487</t>
  </si>
  <si>
    <t xml:space="preserve">ML_0488</t>
  </si>
  <si>
    <t xml:space="preserve">ML_0489</t>
  </si>
  <si>
    <t xml:space="preserve">ML_0490</t>
  </si>
  <si>
    <t xml:space="preserve">ML_0491</t>
  </si>
  <si>
    <t xml:space="preserve">ML_0492</t>
  </si>
  <si>
    <t xml:space="preserve">ML_0493</t>
  </si>
  <si>
    <t xml:space="preserve">ML_0494</t>
  </si>
  <si>
    <t xml:space="preserve">ML_0495</t>
  </si>
  <si>
    <t xml:space="preserve">ML_0496</t>
  </si>
  <si>
    <t xml:space="preserve">ML_0497</t>
  </si>
  <si>
    <t xml:space="preserve">ML_0498</t>
  </si>
  <si>
    <t xml:space="preserve">ML_0499</t>
  </si>
  <si>
    <t xml:space="preserve">ML_0500</t>
  </si>
  <si>
    <t xml:space="preserve">ML_0501</t>
  </si>
  <si>
    <t xml:space="preserve">ML_0502</t>
  </si>
  <si>
    <t xml:space="preserve">ML_0503</t>
  </si>
  <si>
    <t xml:space="preserve">ML_0504</t>
  </si>
  <si>
    <t xml:space="preserve">ML_0505</t>
  </si>
  <si>
    <t xml:space="preserve">ML_0506</t>
  </si>
  <si>
    <t xml:space="preserve">ML_0507</t>
  </si>
  <si>
    <t xml:space="preserve">ML_0508</t>
  </si>
  <si>
    <t xml:space="preserve">ML_0509</t>
  </si>
  <si>
    <t xml:space="preserve">ML_0510</t>
  </si>
  <si>
    <t xml:space="preserve">ML_0511</t>
  </si>
  <si>
    <t xml:space="preserve">ML_0512</t>
  </si>
  <si>
    <t xml:space="preserve">ML_0513</t>
  </si>
  <si>
    <t xml:space="preserve">ML_0514</t>
  </si>
  <si>
    <t xml:space="preserve">ML_0515</t>
  </si>
  <si>
    <t xml:space="preserve">ML_0516</t>
  </si>
  <si>
    <t xml:space="preserve">ML_0517</t>
  </si>
  <si>
    <t xml:space="preserve">ML_0518</t>
  </si>
  <si>
    <t xml:space="preserve">ML_0519</t>
  </si>
  <si>
    <t xml:space="preserve">ML_0520</t>
  </si>
  <si>
    <t xml:space="preserve">ML_0521</t>
  </si>
  <si>
    <t xml:space="preserve">ML_0522</t>
  </si>
  <si>
    <t xml:space="preserve">ML_0523</t>
  </si>
  <si>
    <t xml:space="preserve">ML_0524</t>
  </si>
  <si>
    <t xml:space="preserve">ML_0525</t>
  </si>
  <si>
    <t xml:space="preserve">ML_0526</t>
  </si>
  <si>
    <t xml:space="preserve">ML_0527</t>
  </si>
  <si>
    <t xml:space="preserve">ML_0528</t>
  </si>
  <si>
    <t xml:space="preserve">ML_0529</t>
  </si>
  <si>
    <t xml:space="preserve">ML_0530</t>
  </si>
  <si>
    <t xml:space="preserve">ML_0531</t>
  </si>
  <si>
    <t xml:space="preserve">ML_0532</t>
  </si>
  <si>
    <t xml:space="preserve">ML_0533</t>
  </si>
  <si>
    <t xml:space="preserve">ML_0534</t>
  </si>
  <si>
    <t xml:space="preserve">ML_0535</t>
  </si>
  <si>
    <t xml:space="preserve">ML_0536</t>
  </si>
  <si>
    <t xml:space="preserve">ML_0537</t>
  </si>
  <si>
    <t xml:space="preserve">ML_0538</t>
  </si>
  <si>
    <t xml:space="preserve">ML_0539</t>
  </si>
  <si>
    <t xml:space="preserve">ML_0540</t>
  </si>
  <si>
    <t xml:space="preserve">ML_0541</t>
  </si>
  <si>
    <t xml:space="preserve">ML_0542</t>
  </si>
  <si>
    <t xml:space="preserve">ML_0543</t>
  </si>
  <si>
    <t xml:space="preserve">ML_0544</t>
  </si>
  <si>
    <t xml:space="preserve">ML_0545</t>
  </si>
  <si>
    <t xml:space="preserve">ML_0546</t>
  </si>
  <si>
    <t xml:space="preserve">ML_0547</t>
  </si>
  <si>
    <t xml:space="preserve">ML_0548</t>
  </si>
  <si>
    <t xml:space="preserve">ML_0549</t>
  </si>
  <si>
    <t xml:space="preserve">ML_0550</t>
  </si>
  <si>
    <t xml:space="preserve">ML_0551</t>
  </si>
  <si>
    <t xml:space="preserve">ML_0552</t>
  </si>
  <si>
    <t xml:space="preserve">ML_0553</t>
  </si>
  <si>
    <t xml:space="preserve">ML_0554</t>
  </si>
  <si>
    <t xml:space="preserve">ML_0555</t>
  </si>
  <si>
    <t xml:space="preserve">ML_0556</t>
  </si>
  <si>
    <t xml:space="preserve">ML_0557</t>
  </si>
  <si>
    <t xml:space="preserve">ML_0558</t>
  </si>
  <si>
    <t xml:space="preserve">ML_0559</t>
  </si>
  <si>
    <t xml:space="preserve">ML_0560</t>
  </si>
  <si>
    <t xml:space="preserve">ML_0561</t>
  </si>
  <si>
    <t xml:space="preserve">ML_0562</t>
  </si>
  <si>
    <t xml:space="preserve">ML_0563</t>
  </si>
  <si>
    <t xml:space="preserve">ML_0564</t>
  </si>
  <si>
    <t xml:space="preserve">ML_0565</t>
  </si>
  <si>
    <t xml:space="preserve">ML_0566</t>
  </si>
  <si>
    <t xml:space="preserve">ML_0567</t>
  </si>
  <si>
    <t xml:space="preserve">ML_0568</t>
  </si>
  <si>
    <t xml:space="preserve">ML_0569</t>
  </si>
  <si>
    <t xml:space="preserve">ML_0570</t>
  </si>
  <si>
    <t xml:space="preserve">ML_0571</t>
  </si>
  <si>
    <t xml:space="preserve">ML_0572</t>
  </si>
  <si>
    <t xml:space="preserve">ML_0573</t>
  </si>
  <si>
    <t xml:space="preserve">ML_0574</t>
  </si>
  <si>
    <t xml:space="preserve">ML_0575</t>
  </si>
  <si>
    <t xml:space="preserve">ML_0576</t>
  </si>
  <si>
    <t xml:space="preserve">ML_0577</t>
  </si>
  <si>
    <t xml:space="preserve">ML_0578</t>
  </si>
  <si>
    <t xml:space="preserve">ML_0579</t>
  </si>
  <si>
    <t xml:space="preserve">ML_0580</t>
  </si>
  <si>
    <t xml:space="preserve">ML_0581</t>
  </si>
  <si>
    <t xml:space="preserve">ML_0582</t>
  </si>
  <si>
    <t xml:space="preserve">ML_0583</t>
  </si>
  <si>
    <t xml:space="preserve">ML_0584</t>
  </si>
  <si>
    <t xml:space="preserve">ML_0585</t>
  </si>
  <si>
    <t xml:space="preserve">ML_0586</t>
  </si>
  <si>
    <t xml:space="preserve">ML_0587</t>
  </si>
  <si>
    <t xml:space="preserve">ML_0588</t>
  </si>
  <si>
    <t xml:space="preserve">ML_0589</t>
  </si>
  <si>
    <t xml:space="preserve">ML_0590</t>
  </si>
  <si>
    <t xml:space="preserve">ML_0591</t>
  </si>
  <si>
    <t xml:space="preserve">ML_0592</t>
  </si>
  <si>
    <t xml:space="preserve">ML_0593</t>
  </si>
  <si>
    <t xml:space="preserve">ML_0594</t>
  </si>
  <si>
    <t xml:space="preserve">ML_0595</t>
  </si>
  <si>
    <t xml:space="preserve">ML_0596</t>
  </si>
  <si>
    <t xml:space="preserve">ML_0597</t>
  </si>
  <si>
    <t xml:space="preserve">ML_0598</t>
  </si>
  <si>
    <t xml:space="preserve">ML_0599</t>
  </si>
  <si>
    <t xml:space="preserve">ML_0600</t>
  </si>
  <si>
    <t xml:space="preserve">ML_0601</t>
  </si>
  <si>
    <t xml:space="preserve">ML_0602</t>
  </si>
  <si>
    <t xml:space="preserve">ML_0603</t>
  </si>
  <si>
    <t xml:space="preserve">ML_0604</t>
  </si>
  <si>
    <t xml:space="preserve">ML_0605</t>
  </si>
  <si>
    <t xml:space="preserve">ML_0606</t>
  </si>
  <si>
    <t xml:space="preserve">ML_0607</t>
  </si>
  <si>
    <t xml:space="preserve">ML_0608</t>
  </si>
  <si>
    <t xml:space="preserve">ML_0609</t>
  </si>
  <si>
    <t xml:space="preserve">ML_0610</t>
  </si>
  <si>
    <t xml:space="preserve">ML_0611</t>
  </si>
  <si>
    <t xml:space="preserve">ML_0612</t>
  </si>
  <si>
    <t xml:space="preserve">ML_0613</t>
  </si>
  <si>
    <t xml:space="preserve">ML_0614</t>
  </si>
  <si>
    <t xml:space="preserve">ML_0615</t>
  </si>
  <si>
    <t xml:space="preserve">ML_0616</t>
  </si>
  <si>
    <t xml:space="preserve">ML_0617</t>
  </si>
  <si>
    <t xml:space="preserve">ML_0618</t>
  </si>
  <si>
    <t xml:space="preserve">ML_0619</t>
  </si>
  <si>
    <t xml:space="preserve">ML_0620</t>
  </si>
  <si>
    <t xml:space="preserve">ML_0621</t>
  </si>
  <si>
    <t xml:space="preserve">ML_0622</t>
  </si>
  <si>
    <t xml:space="preserve">ML_0623</t>
  </si>
  <si>
    <t xml:space="preserve">ML_0624</t>
  </si>
  <si>
    <t xml:space="preserve">ML_0625</t>
  </si>
  <si>
    <t xml:space="preserve">ML_0626</t>
  </si>
  <si>
    <t xml:space="preserve">ML_0627</t>
  </si>
  <si>
    <t xml:space="preserve">ML_0628</t>
  </si>
  <si>
    <t xml:space="preserve">ML_0629</t>
  </si>
  <si>
    <t xml:space="preserve">ML_0630</t>
  </si>
  <si>
    <t xml:space="preserve">ML_0631</t>
  </si>
  <si>
    <t xml:space="preserve">ML_0632</t>
  </si>
  <si>
    <t xml:space="preserve">ML_0633</t>
  </si>
  <si>
    <t xml:space="preserve">ML_0634</t>
  </si>
  <si>
    <t xml:space="preserve">ML_0635</t>
  </si>
  <si>
    <t xml:space="preserve">ML_0636</t>
  </si>
  <si>
    <t xml:space="preserve">ML_0637</t>
  </si>
  <si>
    <t xml:space="preserve">ML_0638</t>
  </si>
  <si>
    <t xml:space="preserve">ML_0639</t>
  </si>
  <si>
    <t xml:space="preserve">ML_0640</t>
  </si>
</sst>
</file>

<file path=xl/styles.xml><?xml version="1.0" encoding="utf-8"?>
<styleSheet xmlns="http://schemas.openxmlformats.org/spreadsheetml/2006/main">
  <numFmts count="9">
    <numFmt numFmtId="164" formatCode="General"/>
    <numFmt numFmtId="165" formatCode="General"/>
    <numFmt numFmtId="166" formatCode="0.0"/>
    <numFmt numFmtId="167" formatCode="0.00"/>
    <numFmt numFmtId="168" formatCode="#,##0"/>
    <numFmt numFmtId="169" formatCode="\+#,##0;\-#,##0;0"/>
    <numFmt numFmtId="170" formatCode="0.000000"/>
    <numFmt numFmtId="171" formatCode="\+0.00;\-0.00;0.00"/>
    <numFmt numFmtId="172" formatCode="0.0%"/>
  </numFmts>
  <fonts count="17">
    <font>
      <sz val="11"/>
      <color rgb="FF000000"/>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1B365D"/>
      <name val="Calibri"/>
      <family val="0"/>
      <charset val="1"/>
    </font>
    <font>
      <b val="true"/>
      <sz val="9"/>
      <color rgb="FFFFFFFF"/>
      <name val="Calibri"/>
      <family val="0"/>
      <charset val="1"/>
    </font>
    <font>
      <b val="true"/>
      <sz val="15"/>
      <color rgb="FF1B365D"/>
      <name val="Calibri"/>
      <family val="0"/>
      <charset val="1"/>
    </font>
    <font>
      <i val="true"/>
      <sz val="9"/>
      <color rgb="FF444444"/>
      <name val="Calibri"/>
      <family val="0"/>
      <charset val="1"/>
    </font>
    <font>
      <b val="true"/>
      <sz val="11"/>
      <color rgb="FF1B365D"/>
      <name val="Calibri"/>
      <family val="0"/>
      <charset val="1"/>
    </font>
    <font>
      <b val="true"/>
      <sz val="10"/>
      <color rgb="FFFFFFFF"/>
      <name val="Calibri"/>
      <family val="0"/>
      <charset val="1"/>
    </font>
    <font>
      <sz val="10"/>
      <color rgb="FF000000"/>
      <name val="Calibri"/>
      <family val="0"/>
      <charset val="1"/>
    </font>
    <font>
      <b val="true"/>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u val="single"/>
      <sz val="10"/>
      <color rgb="FF0563C1"/>
      <name val="Calibri"/>
      <family val="0"/>
      <charset val="1"/>
    </font>
  </fonts>
  <fills count="6">
    <fill>
      <patternFill patternType="none"/>
    </fill>
    <fill>
      <patternFill patternType="gray125"/>
    </fill>
    <fill>
      <patternFill patternType="solid">
        <fgColor rgb="FF1B365D"/>
        <bgColor rgb="FF333399"/>
      </patternFill>
    </fill>
    <fill>
      <patternFill patternType="solid">
        <fgColor rgb="FFE8EEF5"/>
        <bgColor rgb="FFF7F9FC"/>
      </patternFill>
    </fill>
    <fill>
      <patternFill patternType="solid">
        <fgColor rgb="FFF7F9FC"/>
        <bgColor rgb="FFF9F9F9"/>
      </patternFill>
    </fill>
    <fill>
      <patternFill patternType="solid">
        <fgColor rgb="FF006666"/>
        <bgColor rgb="FF008080"/>
      </patternFill>
    </fill>
  </fills>
  <borders count="3">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 diagonalUp="false" diagonalDown="false">
      <left style="thin">
        <color rgb="FFD3D3D3"/>
      </left>
      <right style="thin">
        <color rgb="FFD3D3D3"/>
      </right>
      <top style="thin">
        <color rgb="FF1B365D"/>
      </top>
      <bottom style="double">
        <color rgb="FF1B365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righ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6" fontId="11" fillId="4" borderId="1" xfId="0" applyFont="true" applyBorder="true" applyAlignment="true" applyProtection="false">
      <alignment horizontal="right" vertical="center" textRotation="0" wrapText="true" indent="0" shrinkToFit="false"/>
      <protection locked="true" hidden="false"/>
    </xf>
    <xf numFmtId="167" fontId="11" fillId="4"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0" borderId="1" xfId="0" applyFont="true" applyBorder="true" applyAlignment="true" applyProtection="false">
      <alignment horizontal="right" vertical="center" textRotation="0" wrapText="true" indent="0" shrinkToFit="false"/>
      <protection locked="true" hidden="false"/>
    </xf>
    <xf numFmtId="167" fontId="11" fillId="0" borderId="1" xfId="0" applyFont="true" applyBorder="true" applyAlignment="true" applyProtection="false">
      <alignment horizontal="right"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false" indent="0" shrinkToFit="false"/>
      <protection locked="true" hidden="false"/>
    </xf>
    <xf numFmtId="166" fontId="12" fillId="0" borderId="2" xfId="0" applyFont="true" applyBorder="true" applyAlignment="true" applyProtection="false">
      <alignment horizontal="right" vertical="center" textRotation="0" wrapText="false" indent="0" shrinkToFit="false"/>
      <protection locked="true" hidden="false"/>
    </xf>
    <xf numFmtId="167" fontId="12" fillId="0" borderId="2" xfId="0" applyFont="true" applyBorder="true" applyAlignment="true" applyProtection="false">
      <alignment horizontal="right" vertical="center" textRotation="0" wrapText="false" indent="0" shrinkToFit="false"/>
      <protection locked="true" hidden="false"/>
    </xf>
    <xf numFmtId="168" fontId="11" fillId="0" borderId="1" xfId="0" applyFont="true" applyBorder="true" applyAlignment="true" applyProtection="false">
      <alignment horizontal="right" vertical="center" textRotation="0" wrapText="true" indent="0" shrinkToFit="false"/>
      <protection locked="true" hidden="false"/>
    </xf>
    <xf numFmtId="169" fontId="11" fillId="0" borderId="1" xfId="0" applyFont="true" applyBorder="true" applyAlignment="true" applyProtection="false">
      <alignment horizontal="right" vertical="center" textRotation="0" wrapText="true" indent="0" shrinkToFit="false"/>
      <protection locked="true" hidden="false"/>
    </xf>
    <xf numFmtId="168" fontId="11" fillId="4" borderId="1" xfId="0" applyFont="true" applyBorder="true" applyAlignment="true" applyProtection="false">
      <alignment horizontal="right" vertical="center" textRotation="0" wrapText="true" indent="0" shrinkToFit="false"/>
      <protection locked="true" hidden="false"/>
    </xf>
    <xf numFmtId="169" fontId="11" fillId="4" borderId="1" xfId="0" applyFont="true" applyBorder="true" applyAlignment="true" applyProtection="false">
      <alignment horizontal="righ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70" fontId="11" fillId="0" borderId="1" xfId="0" applyFont="true" applyBorder="true" applyAlignment="true" applyProtection="false">
      <alignment horizontal="righ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70" fontId="11" fillId="4"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true" applyProtection="false">
      <alignment horizontal="right" vertical="center" textRotation="0" wrapText="true" indent="0" shrinkToFit="false"/>
      <protection locked="true" hidden="false"/>
    </xf>
    <xf numFmtId="164" fontId="11" fillId="4" borderId="1" xfId="0" applyFont="true" applyBorder="true" applyAlignment="true" applyProtection="false">
      <alignment horizontal="right" vertical="center" textRotation="0" wrapText="true" indent="0" shrinkToFit="false"/>
      <protection locked="true" hidden="false"/>
    </xf>
    <xf numFmtId="171" fontId="11" fillId="4" borderId="1" xfId="0" applyFont="true" applyBorder="true" applyAlignment="true" applyProtection="false">
      <alignment horizontal="right" vertical="center" textRotation="0" wrapText="true" indent="0" shrinkToFit="false"/>
      <protection locked="true" hidden="false"/>
    </xf>
    <xf numFmtId="171" fontId="11" fillId="0" borderId="1" xfId="0" applyFont="true" applyBorder="true" applyAlignment="true" applyProtection="false">
      <alignment horizontal="right" vertical="center" textRotation="0" wrapText="true" indent="0" shrinkToFit="false"/>
      <protection locked="true" hidden="false"/>
    </xf>
    <xf numFmtId="172" fontId="11" fillId="0" borderId="1" xfId="0" applyFont="true" applyBorder="true" applyAlignment="true" applyProtection="false">
      <alignment horizontal="right" vertical="center" textRotation="0" wrapText="true" indent="0" shrinkToFit="false"/>
      <protection locked="true" hidden="false"/>
    </xf>
    <xf numFmtId="172" fontId="11" fillId="4" borderId="1" xfId="0" applyFont="true" applyBorder="true" applyAlignment="true" applyProtection="false">
      <alignment horizontal="right" vertical="center" textRotation="0" wrapText="true" indent="0" shrinkToFit="false"/>
      <protection locked="true" hidden="false"/>
    </xf>
    <xf numFmtId="164" fontId="12" fillId="0" borderId="2" xfId="0" applyFont="true" applyBorder="true" applyAlignment="false" applyProtection="false">
      <alignment horizontal="general" vertical="bottom" textRotation="0" wrapText="false" indent="0" shrinkToFit="false"/>
      <protection locked="true" hidden="false"/>
    </xf>
    <xf numFmtId="168" fontId="12" fillId="0" borderId="2" xfId="0" applyFont="true" applyBorder="true" applyAlignment="false" applyProtection="false">
      <alignment horizontal="general" vertical="bottom" textRotation="0" wrapText="false" indent="0" shrinkToFit="false"/>
      <protection locked="true" hidden="false"/>
    </xf>
    <xf numFmtId="169" fontId="12" fillId="0" borderId="2" xfId="0" applyFont="true" applyBorder="true" applyAlignment="false" applyProtection="false">
      <alignment horizontal="general" vertical="bottom" textRotation="0" wrapText="false" indent="0" shrinkToFit="false"/>
      <protection locked="true" hidden="false"/>
    </xf>
    <xf numFmtId="172" fontId="12"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666"/>
      <rgbColor rgb="FFD9D9D9"/>
      <rgbColor rgb="FF878787"/>
      <rgbColor rgb="FF9999FF"/>
      <rgbColor rgb="FFC0504D"/>
      <rgbColor rgb="FFF9F9F9"/>
      <rgbColor rgb="FFE8EEF5"/>
      <rgbColor rgb="FF660066"/>
      <rgbColor rgb="FFFF8080"/>
      <rgbColor rgb="FF0563C1"/>
      <rgbColor rgb="FFD3D3D3"/>
      <rgbColor rgb="FF000080"/>
      <rgbColor rgb="FFFF00FF"/>
      <rgbColor rgb="FFFFFF00"/>
      <rgbColor rgb="FF00FFFF"/>
      <rgbColor rgb="FF800080"/>
      <rgbColor rgb="FF800000"/>
      <rgbColor rgb="FF008080"/>
      <rgbColor rgb="FF0000FF"/>
      <rgbColor rgb="FF00CCFF"/>
      <rgbColor rgb="FFF7F9FC"/>
      <rgbColor rgb="FFCCFFCC"/>
      <rgbColor rgb="FFFFFF99"/>
      <rgbColor rgb="FF99CCFF"/>
      <rgbColor rgb="FFFF99CC"/>
      <rgbColor rgb="FFCC99FF"/>
      <rgbColor rgb="FFFFCC99"/>
      <rgbColor rgb="FF4F81BD"/>
      <rgbColor rgb="FF4BACC6"/>
      <rgbColor rgb="FF9BBB59"/>
      <rgbColor rgb="FFFFCC00"/>
      <rgbColor rgb="FFFF9900"/>
      <rgbColor rgb="FFFF6600"/>
      <rgbColor rgb="FF8064A2"/>
      <rgbColor rgb="FF969696"/>
      <rgbColor rgb="FF1B365D"/>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So sánh độ mặn cực đại dọc Sông Tiền qua 5 mùa khô (2016, 2020, 2024, 2025, 2026)</a:t>
            </a:r>
          </a:p>
        </c:rich>
      </c:tx>
      <c:overlay val="0"/>
      <c:spPr>
        <a:noFill/>
        <a:ln w="0">
          <a:noFill/>
        </a:ln>
      </c:spPr>
    </c:title>
    <c:autoTitleDeleted val="0"/>
    <c:plotArea>
      <c:barChart>
        <c:barDir val="col"/>
        <c:grouping val="clustered"/>
        <c:varyColors val="0"/>
        <c:ser>
          <c:idx val="0"/>
          <c:order val="0"/>
          <c:tx>
            <c:strRef>
              <c:f>00_Dashboard_TongQuan!C9</c:f>
              <c:strCache>
                <c:ptCount val="1"/>
                <c:pt idx="0">
                  <c:v>Mùa khô 2016 (g/l)</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00_Dashboard_TongQuan!$A$10:$A$17</c:f>
              <c:strCache>
                <c:ptCount val="8"/>
                <c:pt idx="0">
                  <c:v>Cống Vàm Giồng (ST_GC_VAMGIONG)</c:v>
                </c:pt>
                <c:pt idx="1">
                  <c:v>Bến đò Hòa Định (ST_TIEN_HOADINH)</c:v>
                </c:pt>
                <c:pt idx="2">
                  <c:v>Cống Xuân Hòa (ST_TIEN_XUANHOA)</c:v>
                </c:pt>
                <c:pt idx="3">
                  <c:v>Vàm Tân Mỹ Chánh (ST_TIEN_TANMYCHANH)</c:v>
                </c:pt>
                <c:pt idx="4">
                  <c:v>Công viên Lạc Hồng / Thủ Khoa Huân (ST_TIEN_CVLACHONG)</c:v>
                </c:pt>
                <c:pt idx="5">
                  <c:v>Cầu Trường Chính Trị (ST_TIEN_TRUONGCHINHTRI)</c:v>
                </c:pt>
                <c:pt idx="6">
                  <c:v>Cầu Kinh Xáng - Nguyễn Tấn Thành (ST_TIEN_CAUKINHXANG)</c:v>
                </c:pt>
                <c:pt idx="7">
                  <c:v>Cầu Phú Phong (ST_TIEN_CAUPHUPHONG)</c:v>
                </c:pt>
              </c:strCache>
            </c:strRef>
          </c:cat>
          <c:val>
            <c:numRef>
              <c:f>00_Dashboard_TongQuan!$C$10:$C$17</c:f>
              <c:numCache>
                <c:formatCode>General</c:formatCode>
                <c:ptCount val="8"/>
                <c:pt idx="0">
                  <c:v>6</c:v>
                </c:pt>
                <c:pt idx="1">
                  <c:v>3.7</c:v>
                </c:pt>
                <c:pt idx="2">
                  <c:v>2.05</c:v>
                </c:pt>
                <c:pt idx="3">
                  <c:v>1.9</c:v>
                </c:pt>
                <c:pt idx="4">
                  <c:v>1.4</c:v>
                </c:pt>
                <c:pt idx="5">
                  <c:v>0.6</c:v>
                </c:pt>
                <c:pt idx="6">
                  <c:v>0.3</c:v>
                </c:pt>
                <c:pt idx="7">
                  <c:v>0</c:v>
                </c:pt>
              </c:numCache>
            </c:numRef>
          </c:val>
        </c:ser>
        <c:ser>
          <c:idx val="1"/>
          <c:order val="1"/>
          <c:tx>
            <c:strRef>
              <c:f>00_Dashboard_TongQuan!D9</c:f>
              <c:strCache>
                <c:ptCount val="1"/>
                <c:pt idx="0">
                  <c:v>Mùa khô 2020 (g/l)</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00_Dashboard_TongQuan!$A$10:$A$17</c:f>
              <c:strCache>
                <c:ptCount val="8"/>
                <c:pt idx="0">
                  <c:v>Cống Vàm Giồng (ST_GC_VAMGIONG)</c:v>
                </c:pt>
                <c:pt idx="1">
                  <c:v>Bến đò Hòa Định (ST_TIEN_HOADINH)</c:v>
                </c:pt>
                <c:pt idx="2">
                  <c:v>Cống Xuân Hòa (ST_TIEN_XUANHOA)</c:v>
                </c:pt>
                <c:pt idx="3">
                  <c:v>Vàm Tân Mỹ Chánh (ST_TIEN_TANMYCHANH)</c:v>
                </c:pt>
                <c:pt idx="4">
                  <c:v>Công viên Lạc Hồng / Thủ Khoa Huân (ST_TIEN_CVLACHONG)</c:v>
                </c:pt>
                <c:pt idx="5">
                  <c:v>Cầu Trường Chính Trị (ST_TIEN_TRUONGCHINHTRI)</c:v>
                </c:pt>
                <c:pt idx="6">
                  <c:v>Cầu Kinh Xáng - Nguyễn Tấn Thành (ST_TIEN_CAUKINHXANG)</c:v>
                </c:pt>
                <c:pt idx="7">
                  <c:v>Cầu Phú Phong (ST_TIEN_CAUPHUPHONG)</c:v>
                </c:pt>
              </c:strCache>
            </c:strRef>
          </c:cat>
          <c:val>
            <c:numRef>
              <c:f>00_Dashboard_TongQuan!$D$10:$D$17</c:f>
              <c:numCache>
                <c:formatCode>General</c:formatCode>
                <c:ptCount val="8"/>
                <c:pt idx="0">
                  <c:v>8.2</c:v>
                </c:pt>
                <c:pt idx="1">
                  <c:v>8.5</c:v>
                </c:pt>
                <c:pt idx="2">
                  <c:v>6.9</c:v>
                </c:pt>
                <c:pt idx="3">
                  <c:v>6.26</c:v>
                </c:pt>
                <c:pt idx="4">
                  <c:v>5.88</c:v>
                </c:pt>
                <c:pt idx="5">
                  <c:v>5.8</c:v>
                </c:pt>
                <c:pt idx="6">
                  <c:v>3.8</c:v>
                </c:pt>
                <c:pt idx="7">
                  <c:v>1.2</c:v>
                </c:pt>
              </c:numCache>
            </c:numRef>
          </c:val>
        </c:ser>
        <c:ser>
          <c:idx val="2"/>
          <c:order val="2"/>
          <c:tx>
            <c:strRef>
              <c:f>00_Dashboard_TongQuan!E9</c:f>
              <c:strCache>
                <c:ptCount val="1"/>
                <c:pt idx="0">
                  <c:v>Đỉnh 03/2024 (g/l)</c:v>
                </c:pt>
              </c:strCache>
            </c:strRef>
          </c:tx>
          <c:spPr>
            <a:solidFill>
              <a:srgbClr val="9bbb59"/>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00_Dashboard_TongQuan!$A$10:$A$17</c:f>
              <c:strCache>
                <c:ptCount val="8"/>
                <c:pt idx="0">
                  <c:v>Cống Vàm Giồng (ST_GC_VAMGIONG)</c:v>
                </c:pt>
                <c:pt idx="1">
                  <c:v>Bến đò Hòa Định (ST_TIEN_HOADINH)</c:v>
                </c:pt>
                <c:pt idx="2">
                  <c:v>Cống Xuân Hòa (ST_TIEN_XUANHOA)</c:v>
                </c:pt>
                <c:pt idx="3">
                  <c:v>Vàm Tân Mỹ Chánh (ST_TIEN_TANMYCHANH)</c:v>
                </c:pt>
                <c:pt idx="4">
                  <c:v>Công viên Lạc Hồng / Thủ Khoa Huân (ST_TIEN_CVLACHONG)</c:v>
                </c:pt>
                <c:pt idx="5">
                  <c:v>Cầu Trường Chính Trị (ST_TIEN_TRUONGCHINHTRI)</c:v>
                </c:pt>
                <c:pt idx="6">
                  <c:v>Cầu Kinh Xáng - Nguyễn Tấn Thành (ST_TIEN_CAUKINHXANG)</c:v>
                </c:pt>
                <c:pt idx="7">
                  <c:v>Cầu Phú Phong (ST_TIEN_CAUPHUPHONG)</c:v>
                </c:pt>
              </c:strCache>
            </c:strRef>
          </c:cat>
          <c:val>
            <c:numRef>
              <c:f>00_Dashboard_TongQuan!$E$10:$E$17</c:f>
              <c:numCache>
                <c:formatCode>General</c:formatCode>
                <c:ptCount val="8"/>
                <c:pt idx="0">
                  <c:v>9.5</c:v>
                </c:pt>
                <c:pt idx="1">
                  <c:v>8.9</c:v>
                </c:pt>
                <c:pt idx="2">
                  <c:v>8.7</c:v>
                </c:pt>
                <c:pt idx="3">
                  <c:v>7.2</c:v>
                </c:pt>
                <c:pt idx="4">
                  <c:v>6.8</c:v>
                </c:pt>
                <c:pt idx="5">
                  <c:v>5.22</c:v>
                </c:pt>
                <c:pt idx="6">
                  <c:v>2.36</c:v>
                </c:pt>
                <c:pt idx="7">
                  <c:v>0.32</c:v>
                </c:pt>
              </c:numCache>
            </c:numRef>
          </c:val>
        </c:ser>
        <c:ser>
          <c:idx val="3"/>
          <c:order val="3"/>
          <c:tx>
            <c:strRef>
              <c:f>00_Dashboard_TongQuan!F9</c:f>
              <c:strCache>
                <c:ptCount val="1"/>
                <c:pt idx="0">
                  <c:v>Đỉnh 2025 (g/l)</c:v>
                </c:pt>
              </c:strCache>
            </c:strRef>
          </c:tx>
          <c:spPr>
            <a:solidFill>
              <a:srgbClr val="8064a2"/>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00_Dashboard_TongQuan!$A$10:$A$17</c:f>
              <c:strCache>
                <c:ptCount val="8"/>
                <c:pt idx="0">
                  <c:v>Cống Vàm Giồng (ST_GC_VAMGIONG)</c:v>
                </c:pt>
                <c:pt idx="1">
                  <c:v>Bến đò Hòa Định (ST_TIEN_HOADINH)</c:v>
                </c:pt>
                <c:pt idx="2">
                  <c:v>Cống Xuân Hòa (ST_TIEN_XUANHOA)</c:v>
                </c:pt>
                <c:pt idx="3">
                  <c:v>Vàm Tân Mỹ Chánh (ST_TIEN_TANMYCHANH)</c:v>
                </c:pt>
                <c:pt idx="4">
                  <c:v>Công viên Lạc Hồng / Thủ Khoa Huân (ST_TIEN_CVLACHONG)</c:v>
                </c:pt>
                <c:pt idx="5">
                  <c:v>Cầu Trường Chính Trị (ST_TIEN_TRUONGCHINHTRI)</c:v>
                </c:pt>
                <c:pt idx="6">
                  <c:v>Cầu Kinh Xáng - Nguyễn Tấn Thành (ST_TIEN_CAUKINHXANG)</c:v>
                </c:pt>
                <c:pt idx="7">
                  <c:v>Cầu Phú Phong (ST_TIEN_CAUPHUPHONG)</c:v>
                </c:pt>
              </c:strCache>
            </c:strRef>
          </c:cat>
          <c:val>
            <c:numRef>
              <c:f>00_Dashboard_TongQuan!$F$10:$F$17</c:f>
              <c:numCache>
                <c:formatCode>General</c:formatCode>
                <c:ptCount val="8"/>
                <c:pt idx="0">
                  <c:v>8.7</c:v>
                </c:pt>
                <c:pt idx="1">
                  <c:v>5.7</c:v>
                </c:pt>
                <c:pt idx="2">
                  <c:v>3.1</c:v>
                </c:pt>
                <c:pt idx="3">
                  <c:v>2.1</c:v>
                </c:pt>
                <c:pt idx="4">
                  <c:v>1.81</c:v>
                </c:pt>
                <c:pt idx="5">
                  <c:v>0.83</c:v>
                </c:pt>
                <c:pt idx="6">
                  <c:v>0.35</c:v>
                </c:pt>
                <c:pt idx="7">
                  <c:v>0.1</c:v>
                </c:pt>
              </c:numCache>
            </c:numRef>
          </c:val>
        </c:ser>
        <c:ser>
          <c:idx val="4"/>
          <c:order val="4"/>
          <c:tx>
            <c:strRef>
              <c:f>00_Dashboard_TongQuan!G9</c:f>
              <c:strCache>
                <c:ptCount val="1"/>
                <c:pt idx="0">
                  <c:v>Đỉnh 2026 (g/l)</c:v>
                </c:pt>
              </c:strCache>
            </c:strRef>
          </c:tx>
          <c:spPr>
            <a:solidFill>
              <a:srgbClr val="4bacc6"/>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00_Dashboard_TongQuan!$A$10:$A$17</c:f>
              <c:strCache>
                <c:ptCount val="8"/>
                <c:pt idx="0">
                  <c:v>Cống Vàm Giồng (ST_GC_VAMGIONG)</c:v>
                </c:pt>
                <c:pt idx="1">
                  <c:v>Bến đò Hòa Định (ST_TIEN_HOADINH)</c:v>
                </c:pt>
                <c:pt idx="2">
                  <c:v>Cống Xuân Hòa (ST_TIEN_XUANHOA)</c:v>
                </c:pt>
                <c:pt idx="3">
                  <c:v>Vàm Tân Mỹ Chánh (ST_TIEN_TANMYCHANH)</c:v>
                </c:pt>
                <c:pt idx="4">
                  <c:v>Công viên Lạc Hồng / Thủ Khoa Huân (ST_TIEN_CVLACHONG)</c:v>
                </c:pt>
                <c:pt idx="5">
                  <c:v>Cầu Trường Chính Trị (ST_TIEN_TRUONGCHINHTRI)</c:v>
                </c:pt>
                <c:pt idx="6">
                  <c:v>Cầu Kinh Xáng - Nguyễn Tấn Thành (ST_TIEN_CAUKINHXANG)</c:v>
                </c:pt>
                <c:pt idx="7">
                  <c:v>Cầu Phú Phong (ST_TIEN_CAUPHUPHONG)</c:v>
                </c:pt>
              </c:strCache>
            </c:strRef>
          </c:cat>
          <c:val>
            <c:numRef>
              <c:f>00_Dashboard_TongQuan!$G$10:$G$17</c:f>
              <c:numCache>
                <c:formatCode>General</c:formatCode>
                <c:ptCount val="8"/>
                <c:pt idx="0">
                  <c:v>6.58</c:v>
                </c:pt>
                <c:pt idx="1">
                  <c:v>4.6</c:v>
                </c:pt>
                <c:pt idx="2">
                  <c:v>2.54</c:v>
                </c:pt>
                <c:pt idx="3">
                  <c:v>1.2</c:v>
                </c:pt>
                <c:pt idx="4">
                  <c:v>0.94</c:v>
                </c:pt>
                <c:pt idx="5">
                  <c:v>0.45</c:v>
                </c:pt>
                <c:pt idx="6">
                  <c:v>0.05</c:v>
                </c:pt>
                <c:pt idx="7">
                  <c:v>0</c:v>
                </c:pt>
              </c:numCache>
            </c:numRef>
          </c:val>
        </c:ser>
        <c:gapWidth val="150"/>
        <c:overlap val="0"/>
        <c:axId val="57206250"/>
        <c:axId val="22892553"/>
      </c:barChart>
      <c:catAx>
        <c:axId val="5720625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Trạm quan trắc dọc Sông Tiền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892553"/>
        <c:crosses val="autoZero"/>
        <c:auto val="1"/>
        <c:lblAlgn val="ctr"/>
        <c:lblOffset val="100"/>
        <c:noMultiLvlLbl val="0"/>
      </c:catAx>
      <c:valAx>
        <c:axId val="228925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Độ mặn (g/l)</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20625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3</xdr:col>
      <xdr:colOff>1168200</xdr:colOff>
      <xdr:row>40</xdr:row>
      <xdr:rowOff>149760</xdr:rowOff>
    </xdr:to>
    <xdr:graphicFrame>
      <xdr:nvGraphicFramePr>
        <xdr:cNvPr id="0" name="Chart 1"/>
        <xdr:cNvGraphicFramePr/>
      </xdr:nvGraphicFramePr>
      <xdr:xfrm>
        <a:off x="0" y="49150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thuyloitiengiang.vn/en/web/thuyloitiengiang/chi-tiet-tin-tuc?id=522066" TargetMode="External"/><Relationship Id="rId2" Type="http://schemas.openxmlformats.org/officeDocument/2006/relationships/hyperlink" Target="https://vienthuysan2.org.vn/wp-content/uploads/2023/07/Xem-tai-day-10.pdf" TargetMode="External"/><Relationship Id="rId3" Type="http://schemas.openxmlformats.org/officeDocument/2006/relationships/hyperlink" Target="https://dongthapxanh.vn/bai-viet/du-bao-thuy-van/ket-qua-quan-trac-chat-luong-nuoc-phuc-vu-nuoi-thuy-san-dot-2-nam-2025.html" TargetMode="External"/><Relationship Id="rId4" Type="http://schemas.openxmlformats.org/officeDocument/2006/relationships/hyperlink" Target="https://baodongthap.vn/dong-thap-xam-nhap-man-tang-tro-lai-theo-ky-trieu-cuong-dau-thang-3-am-lich-a239839.html" TargetMode="External"/><Relationship Id="rId5" Type="http://schemas.openxmlformats.org/officeDocument/2006/relationships/hyperlink" Target="https://thuvienphapluat.vn/van-ban/Tai-nguyen-Moi-truong/Quyet-dinh-12-2023-QD-UBND-sua-doi-phan-cap-quan-ly-khai-thac-bao-ve-cong-trinh-thuy-loi-Tien-Giang-572905.aspx" TargetMode="External"/><Relationship Id="rId6" Type="http://schemas.openxmlformats.org/officeDocument/2006/relationships/hyperlink" Target="https://vbpl.vn/van-ban/chi-tiet/quyet-dinh-so-110-2026-qd-ubnd-ban-hanh-quy-dinh-phan-cap-giao-quan-ly-khai-thac-bao-ve-cong-trinh-thuy-loi-de-dieu-tren-dia-ban-tinh-dong-thap--55d9c250-bc86-11f1-bf85-93e2c4458027" TargetMode="External"/><Relationship Id="rId7" Type="http://schemas.openxmlformats.org/officeDocument/2006/relationships/hyperlink" Target="https://nhandan.vn/ban-giao-dua-vao-su-dung-cong-au-nguyen-tan-thanh-post843368.html" TargetMode="External"/><Relationship Id="rId8" Type="http://schemas.openxmlformats.org/officeDocument/2006/relationships/hyperlink" Target="https://portal.mrcmekong.org/" TargetMode="External"/><Relationship Id="rId9" Type="http://schemas.openxmlformats.org/officeDocument/2006/relationships/hyperlink" Target="https://dahiti.dgfi.tum.de/" TargetMode="External"/><Relationship Id="rId10" Type="http://schemas.openxmlformats.org/officeDocument/2006/relationships/hyperlink" Target="https://global-flood.emergency.copernicus.eu/" TargetMode="External"/><Relationship Id="rId11" Type="http://schemas.openxmlformats.org/officeDocument/2006/relationships/hyperlink" Target="https://open-meteo.com/" TargetMode="External"/><Relationship Id="rId12" Type="http://schemas.openxmlformats.org/officeDocument/2006/relationships/hyperlink" Target="https://uhslc.soest.hawaii.edu/" TargetMode="External"/><Relationship Id="rId13" Type="http://schemas.openxmlformats.org/officeDocument/2006/relationships/hyperlink" Target="https://phongchongthientaitiengiang.vn/?p=7360"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phongchongthientaitiengiang.vn/?p=7360" TargetMode="External"/><Relationship Id="rId2" Type="http://schemas.openxmlformats.org/officeDocument/2006/relationships/hyperlink" Target="https://phongchongthientaitiengiang.vn/?p=7360" TargetMode="External"/><Relationship Id="rId3" Type="http://schemas.openxmlformats.org/officeDocument/2006/relationships/hyperlink" Target="https://phongchongthientaitiengiang.vn/?p=7360" TargetMode="External"/><Relationship Id="rId4" Type="http://schemas.openxmlformats.org/officeDocument/2006/relationships/hyperlink" Target="https://phongchongthientaitiengiang.vn/?p=7360" TargetMode="External"/><Relationship Id="rId5" Type="http://schemas.openxmlformats.org/officeDocument/2006/relationships/hyperlink" Target="https://phongchongthientaitiengiang.vn/?p=7360" TargetMode="External"/><Relationship Id="rId6" Type="http://schemas.openxmlformats.org/officeDocument/2006/relationships/hyperlink" Target="https://phongchongthientaitiengiang.vn/?p=7360" TargetMode="External"/><Relationship Id="rId7" Type="http://schemas.openxmlformats.org/officeDocument/2006/relationships/hyperlink" Target="https://phongchongthientaitiengiang.vn/?p=7360" TargetMode="External"/><Relationship Id="rId8" Type="http://schemas.openxmlformats.org/officeDocument/2006/relationships/hyperlink" Target="https://phongchongthientaitiengiang.vn/?p=7360" TargetMode="External"/><Relationship Id="rId9" Type="http://schemas.openxmlformats.org/officeDocument/2006/relationships/hyperlink" Target="https://phongchongthientaitiengiang.vn/?p=7360" TargetMode="External"/><Relationship Id="rId10" Type="http://schemas.openxmlformats.org/officeDocument/2006/relationships/hyperlink" Target="https://phongchongthientaitiengiang.vn/?p=7360" TargetMode="External"/><Relationship Id="rId11" Type="http://schemas.openxmlformats.org/officeDocument/2006/relationships/hyperlink" Target="https://phongchongthientaitiengiang.vn/?p=7360" TargetMode="External"/><Relationship Id="rId12" Type="http://schemas.openxmlformats.org/officeDocument/2006/relationships/hyperlink" Target="https://phongchongthientaitiengiang.vn/?p=7360" TargetMode="External"/><Relationship Id="rId13" Type="http://schemas.openxmlformats.org/officeDocument/2006/relationships/hyperlink" Target="http://thuyloitiengiang.vn/web/thuyloitiengiang/chi-tiet-tin-tuc?id=455328" TargetMode="External"/><Relationship Id="rId14" Type="http://schemas.openxmlformats.org/officeDocument/2006/relationships/hyperlink" Target="http://thuyloitiengiang.vn/web/thuyloitiengiang/chi-tiet-tin-tuc?id=455328" TargetMode="External"/><Relationship Id="rId15" Type="http://schemas.openxmlformats.org/officeDocument/2006/relationships/hyperlink" Target="http://thuyloitiengiang.vn/web/thuyloitiengiang/chi-tiet-tin-tuc?id=455328" TargetMode="External"/><Relationship Id="rId16" Type="http://schemas.openxmlformats.org/officeDocument/2006/relationships/hyperlink" Target="http://thuyloitiengiang.vn/web/thuyloitiengiang/chi-tiet-tin-tuc?id=455328" TargetMode="External"/><Relationship Id="rId17" Type="http://schemas.openxmlformats.org/officeDocument/2006/relationships/hyperlink" Target="http://thuyloitiengiang.vn/web/thuyloitiengiang/chi-tiet-tin-tuc?id=455328" TargetMode="External"/><Relationship Id="rId18" Type="http://schemas.openxmlformats.org/officeDocument/2006/relationships/hyperlink" Target="http://thuyloitiengiang.vn/web/thuyloitiengiang/chi-tiet-tin-tuc?id=455328" TargetMode="External"/><Relationship Id="rId19" Type="http://schemas.openxmlformats.org/officeDocument/2006/relationships/hyperlink" Target="http://thuyloitiengiang.vn/web/thuyloitiengiang/chi-tiet-tin-tuc?id=455328" TargetMode="External"/><Relationship Id="rId20" Type="http://schemas.openxmlformats.org/officeDocument/2006/relationships/hyperlink" Target="http://thuyloitiengiang.vn/web/thuyloitiengiang/chi-tiet-tin-tuc?id=455328" TargetMode="External"/><Relationship Id="rId21" Type="http://schemas.openxmlformats.org/officeDocument/2006/relationships/hyperlink" Target="http://thuyloitiengiang.vn/web/thuyloitiengiang/chi-tiet-tin-tuc?id=455328" TargetMode="External"/><Relationship Id="rId22" Type="http://schemas.openxmlformats.org/officeDocument/2006/relationships/hyperlink" Target="http://thuyloitiengiang.vn/web/thuyloitiengiang/chi-tiet-tin-tuc?id=455328" TargetMode="External"/><Relationship Id="rId23" Type="http://schemas.openxmlformats.org/officeDocument/2006/relationships/hyperlink" Target="http://thuyloitiengiang.vn/web/thuyloitiengiang/chi-tiet-tin-tuc?id=455328" TargetMode="External"/><Relationship Id="rId24" Type="http://schemas.openxmlformats.org/officeDocument/2006/relationships/hyperlink" Target="http://thuyloitiengiang.vn/web/thuyloitiengiang/chi-tiet-tin-tuc?id=455328" TargetMode="External"/><Relationship Id="rId25" Type="http://schemas.openxmlformats.org/officeDocument/2006/relationships/hyperlink" Target="http://thuyloitiengiang.vn/web/thuyloitiengiang/chi-tiet-tin-tuc?id=455328" TargetMode="External"/><Relationship Id="rId26" Type="http://schemas.openxmlformats.org/officeDocument/2006/relationships/hyperlink" Target="http://thuyloitiengiang.vn/web/thuyloitiengiang/chi-tiet-tin-tuc?id=455332" TargetMode="External"/><Relationship Id="rId27" Type="http://schemas.openxmlformats.org/officeDocument/2006/relationships/hyperlink" Target="http://thuyloitiengiang.vn/web/thuyloitiengiang/chi-tiet-tin-tuc?id=455332" TargetMode="External"/><Relationship Id="rId28" Type="http://schemas.openxmlformats.org/officeDocument/2006/relationships/hyperlink" Target="http://thuyloitiengiang.vn/web/thuyloitiengiang/chi-tiet-tin-tuc?id=455332" TargetMode="External"/><Relationship Id="rId29" Type="http://schemas.openxmlformats.org/officeDocument/2006/relationships/hyperlink" Target="http://thuyloitiengiang.vn/web/thuyloitiengiang/chi-tiet-tin-tuc?id=455332" TargetMode="External"/><Relationship Id="rId30" Type="http://schemas.openxmlformats.org/officeDocument/2006/relationships/hyperlink" Target="http://thuyloitiengiang.vn/web/thuyloitiengiang/chi-tiet-tin-tuc?id=455332" TargetMode="External"/><Relationship Id="rId31" Type="http://schemas.openxmlformats.org/officeDocument/2006/relationships/hyperlink" Target="http://thuyloitiengiang.vn/web/thuyloitiengiang/chi-tiet-tin-tuc?id=455332" TargetMode="External"/><Relationship Id="rId32" Type="http://schemas.openxmlformats.org/officeDocument/2006/relationships/hyperlink" Target="http://thuyloitiengiang.vn/web/thuyloitiengiang/chi-tiet-tin-tuc?id=455332" TargetMode="External"/><Relationship Id="rId33" Type="http://schemas.openxmlformats.org/officeDocument/2006/relationships/hyperlink" Target="http://thuyloitiengiang.vn/web/thuyloitiengiang/chi-tiet-tin-tuc?id=455332" TargetMode="External"/><Relationship Id="rId34" Type="http://schemas.openxmlformats.org/officeDocument/2006/relationships/hyperlink" Target="http://thuyloitiengiang.vn/web/thuyloitiengiang/chi-tiet-tin-tuc?id=455332" TargetMode="External"/><Relationship Id="rId35" Type="http://schemas.openxmlformats.org/officeDocument/2006/relationships/hyperlink" Target="http://thuyloitiengiang.vn/web/thuyloitiengiang/chi-tiet-tin-tuc?id=455332" TargetMode="External"/><Relationship Id="rId36" Type="http://schemas.openxmlformats.org/officeDocument/2006/relationships/hyperlink" Target="http://thuyloitiengiang.vn/web/thuyloitiengiang/chi-tiet-tin-tuc?id=455332" TargetMode="External"/><Relationship Id="rId37" Type="http://schemas.openxmlformats.org/officeDocument/2006/relationships/hyperlink" Target="http://thuyloitiengiang.vn/web/thuyloitiengiang/chi-tiet-tin-tuc?id=455332" TargetMode="External"/><Relationship Id="rId38" Type="http://schemas.openxmlformats.org/officeDocument/2006/relationships/hyperlink" Target="http://thuyloitiengiang.vn/web/thuyloitiengiang/chi-tiet-tin-tuc?id=455332" TargetMode="External"/><Relationship Id="rId39" Type="http://schemas.openxmlformats.org/officeDocument/2006/relationships/hyperlink" Target="http://thuyloitiengiang.vn/web/thuyloitiengiang/chi-tiet-tin-tuc?id=455336" TargetMode="External"/><Relationship Id="rId40" Type="http://schemas.openxmlformats.org/officeDocument/2006/relationships/hyperlink" Target="http://thuyloitiengiang.vn/web/thuyloitiengiang/chi-tiet-tin-tuc?id=455336" TargetMode="External"/><Relationship Id="rId41" Type="http://schemas.openxmlformats.org/officeDocument/2006/relationships/hyperlink" Target="http://thuyloitiengiang.vn/web/thuyloitiengiang/chi-tiet-tin-tuc?id=455336" TargetMode="External"/><Relationship Id="rId42" Type="http://schemas.openxmlformats.org/officeDocument/2006/relationships/hyperlink" Target="http://thuyloitiengiang.vn/web/thuyloitiengiang/chi-tiet-tin-tuc?id=455336" TargetMode="External"/><Relationship Id="rId43" Type="http://schemas.openxmlformats.org/officeDocument/2006/relationships/hyperlink" Target="http://thuyloitiengiang.vn/web/thuyloitiengiang/chi-tiet-tin-tuc?id=455336" TargetMode="External"/><Relationship Id="rId44" Type="http://schemas.openxmlformats.org/officeDocument/2006/relationships/hyperlink" Target="http://thuyloitiengiang.vn/web/thuyloitiengiang/chi-tiet-tin-tuc?id=455336" TargetMode="External"/><Relationship Id="rId45" Type="http://schemas.openxmlformats.org/officeDocument/2006/relationships/hyperlink" Target="http://thuyloitiengiang.vn/web/thuyloitiengiang/chi-tiet-tin-tuc?id=455336" TargetMode="External"/><Relationship Id="rId46" Type="http://schemas.openxmlformats.org/officeDocument/2006/relationships/hyperlink" Target="http://thuyloitiengiang.vn/web/thuyloitiengiang/chi-tiet-tin-tuc?id=455336" TargetMode="External"/><Relationship Id="rId47" Type="http://schemas.openxmlformats.org/officeDocument/2006/relationships/hyperlink" Target="http://thuyloitiengiang.vn/web/thuyloitiengiang/chi-tiet-tin-tuc?id=455336" TargetMode="External"/><Relationship Id="rId48" Type="http://schemas.openxmlformats.org/officeDocument/2006/relationships/hyperlink" Target="http://thuyloitiengiang.vn/web/thuyloitiengiang/chi-tiet-tin-tuc?id=455336" TargetMode="External"/><Relationship Id="rId49" Type="http://schemas.openxmlformats.org/officeDocument/2006/relationships/hyperlink" Target="http://thuyloitiengiang.vn/web/thuyloitiengiang/chi-tiet-tin-tuc?id=455336" TargetMode="External"/><Relationship Id="rId50" Type="http://schemas.openxmlformats.org/officeDocument/2006/relationships/hyperlink" Target="http://thuyloitiengiang.vn/web/thuyloitiengiang/chi-tiet-tin-tuc?id=455336" TargetMode="External"/><Relationship Id="rId51" Type="http://schemas.openxmlformats.org/officeDocument/2006/relationships/hyperlink" Target="http://thuyloitiengiang.vn/web/thuyloitiengiang/chi-tiet-tin-tuc?id=455336" TargetMode="External"/><Relationship Id="rId52" Type="http://schemas.openxmlformats.org/officeDocument/2006/relationships/hyperlink" Target="http://thuyloitiengiang.vn/web/thuyloitiengiang/chi-tiet-tin-tuc?id=455412" TargetMode="External"/><Relationship Id="rId53" Type="http://schemas.openxmlformats.org/officeDocument/2006/relationships/hyperlink" Target="http://thuyloitiengiang.vn/web/thuyloitiengiang/chi-tiet-tin-tuc?id=455412" TargetMode="External"/><Relationship Id="rId54" Type="http://schemas.openxmlformats.org/officeDocument/2006/relationships/hyperlink" Target="http://thuyloitiengiang.vn/web/thuyloitiengiang/chi-tiet-tin-tuc?id=455412" TargetMode="External"/><Relationship Id="rId55" Type="http://schemas.openxmlformats.org/officeDocument/2006/relationships/hyperlink" Target="http://thuyloitiengiang.vn/web/thuyloitiengiang/chi-tiet-tin-tuc?id=455412" TargetMode="External"/><Relationship Id="rId56" Type="http://schemas.openxmlformats.org/officeDocument/2006/relationships/hyperlink" Target="http://thuyloitiengiang.vn/web/thuyloitiengiang/chi-tiet-tin-tuc?id=455412" TargetMode="External"/><Relationship Id="rId57" Type="http://schemas.openxmlformats.org/officeDocument/2006/relationships/hyperlink" Target="http://thuyloitiengiang.vn/web/thuyloitiengiang/chi-tiet-tin-tuc?id=455412" TargetMode="External"/><Relationship Id="rId58" Type="http://schemas.openxmlformats.org/officeDocument/2006/relationships/hyperlink" Target="http://thuyloitiengiang.vn/web/thuyloitiengiang/chi-tiet-tin-tuc?id=455412" TargetMode="External"/><Relationship Id="rId59" Type="http://schemas.openxmlformats.org/officeDocument/2006/relationships/hyperlink" Target="http://thuyloitiengiang.vn/web/thuyloitiengiang/chi-tiet-tin-tuc?id=455412" TargetMode="External"/><Relationship Id="rId60" Type="http://schemas.openxmlformats.org/officeDocument/2006/relationships/hyperlink" Target="http://thuyloitiengiang.vn/web/thuyloitiengiang/chi-tiet-tin-tuc?id=455412" TargetMode="External"/><Relationship Id="rId61" Type="http://schemas.openxmlformats.org/officeDocument/2006/relationships/hyperlink" Target="http://thuyloitiengiang.vn/web/thuyloitiengiang/chi-tiet-tin-tuc?id=455412" TargetMode="External"/><Relationship Id="rId62" Type="http://schemas.openxmlformats.org/officeDocument/2006/relationships/hyperlink" Target="http://thuyloitiengiang.vn/web/thuyloitiengiang/chi-tiet-tin-tuc?id=455412" TargetMode="External"/><Relationship Id="rId63" Type="http://schemas.openxmlformats.org/officeDocument/2006/relationships/hyperlink" Target="http://thuyloitiengiang.vn/web/thuyloitiengiang/chi-tiet-tin-tuc?id=455412" TargetMode="External"/><Relationship Id="rId64" Type="http://schemas.openxmlformats.org/officeDocument/2006/relationships/hyperlink" Target="http://thuyloitiengiang.vn/web/thuyloitiengiang/chi-tiet-tin-tuc?id=455412" TargetMode="External"/><Relationship Id="rId65" Type="http://schemas.openxmlformats.org/officeDocument/2006/relationships/hyperlink" Target="http://thuyloitiengiang.vn/web/thuyloitiengiang/chi-tiet-tin-tuc?id=455416" TargetMode="External"/><Relationship Id="rId66" Type="http://schemas.openxmlformats.org/officeDocument/2006/relationships/hyperlink" Target="http://thuyloitiengiang.vn/web/thuyloitiengiang/chi-tiet-tin-tuc?id=455416" TargetMode="External"/><Relationship Id="rId67" Type="http://schemas.openxmlformats.org/officeDocument/2006/relationships/hyperlink" Target="http://thuyloitiengiang.vn/web/thuyloitiengiang/chi-tiet-tin-tuc?id=455416" TargetMode="External"/><Relationship Id="rId68" Type="http://schemas.openxmlformats.org/officeDocument/2006/relationships/hyperlink" Target="http://thuyloitiengiang.vn/web/thuyloitiengiang/chi-tiet-tin-tuc?id=455416" TargetMode="External"/><Relationship Id="rId69" Type="http://schemas.openxmlformats.org/officeDocument/2006/relationships/hyperlink" Target="http://thuyloitiengiang.vn/web/thuyloitiengiang/chi-tiet-tin-tuc?id=455416" TargetMode="External"/><Relationship Id="rId70" Type="http://schemas.openxmlformats.org/officeDocument/2006/relationships/hyperlink" Target="http://thuyloitiengiang.vn/web/thuyloitiengiang/chi-tiet-tin-tuc?id=455416" TargetMode="External"/><Relationship Id="rId71" Type="http://schemas.openxmlformats.org/officeDocument/2006/relationships/hyperlink" Target="http://thuyloitiengiang.vn/web/thuyloitiengiang/chi-tiet-tin-tuc?id=455416" TargetMode="External"/><Relationship Id="rId72" Type="http://schemas.openxmlformats.org/officeDocument/2006/relationships/hyperlink" Target="http://thuyloitiengiang.vn/web/thuyloitiengiang/chi-tiet-tin-tuc?id=455416" TargetMode="External"/><Relationship Id="rId73" Type="http://schemas.openxmlformats.org/officeDocument/2006/relationships/hyperlink" Target="http://thuyloitiengiang.vn/web/thuyloitiengiang/chi-tiet-tin-tuc?id=455416" TargetMode="External"/><Relationship Id="rId74" Type="http://schemas.openxmlformats.org/officeDocument/2006/relationships/hyperlink" Target="http://thuyloitiengiang.vn/web/thuyloitiengiang/chi-tiet-tin-tuc?id=455416" TargetMode="External"/><Relationship Id="rId75" Type="http://schemas.openxmlformats.org/officeDocument/2006/relationships/hyperlink" Target="http://thuyloitiengiang.vn/web/thuyloitiengiang/chi-tiet-tin-tuc?id=455416" TargetMode="External"/><Relationship Id="rId76" Type="http://schemas.openxmlformats.org/officeDocument/2006/relationships/hyperlink" Target="http://thuyloitiengiang.vn/web/thuyloitiengiang/chi-tiet-tin-tuc?id=455416" TargetMode="External"/><Relationship Id="rId77" Type="http://schemas.openxmlformats.org/officeDocument/2006/relationships/hyperlink" Target="http://thuyloitiengiang.vn/web/thuyloitiengiang/chi-tiet-tin-tuc?id=455416" TargetMode="External"/><Relationship Id="rId78" Type="http://schemas.openxmlformats.org/officeDocument/2006/relationships/hyperlink" Target="https://phongchongthientaitiengiang.vn/?p=7360" TargetMode="External"/><Relationship Id="rId79" Type="http://schemas.openxmlformats.org/officeDocument/2006/relationships/hyperlink" Target="https://phongchongthientaitiengiang.vn/?p=7360" TargetMode="External"/><Relationship Id="rId80" Type="http://schemas.openxmlformats.org/officeDocument/2006/relationships/hyperlink" Target="https://phongchongthientaitiengiang.vn/?p=7360" TargetMode="External"/><Relationship Id="rId81" Type="http://schemas.openxmlformats.org/officeDocument/2006/relationships/hyperlink" Target="https://phongchongthientaitiengiang.vn/?p=7360" TargetMode="External"/><Relationship Id="rId82" Type="http://schemas.openxmlformats.org/officeDocument/2006/relationships/hyperlink" Target="https://phongchongthientaitiengiang.vn/?p=7360" TargetMode="External"/><Relationship Id="rId83" Type="http://schemas.openxmlformats.org/officeDocument/2006/relationships/hyperlink" Target="https://phongchongthientaitiengiang.vn/?p=7360" TargetMode="External"/><Relationship Id="rId84" Type="http://schemas.openxmlformats.org/officeDocument/2006/relationships/hyperlink" Target="https://phongchongthientaitiengiang.vn/?p=7360" TargetMode="External"/><Relationship Id="rId85" Type="http://schemas.openxmlformats.org/officeDocument/2006/relationships/hyperlink" Target="https://phongchongthientaitiengiang.vn/?p=7360" TargetMode="External"/><Relationship Id="rId86" Type="http://schemas.openxmlformats.org/officeDocument/2006/relationships/hyperlink" Target="https://phongchongthientaitiengiang.vn/?p=7360" TargetMode="External"/><Relationship Id="rId87" Type="http://schemas.openxmlformats.org/officeDocument/2006/relationships/hyperlink" Target="http://thuyloitiengiang.vn/web/thuyloitiengiang/chi-tiet-tin-tuc?id=455328" TargetMode="External"/><Relationship Id="rId88" Type="http://schemas.openxmlformats.org/officeDocument/2006/relationships/hyperlink" Target="http://thuyloitiengiang.vn/web/thuyloitiengiang/chi-tiet-tin-tuc?id=455328" TargetMode="External"/><Relationship Id="rId89" Type="http://schemas.openxmlformats.org/officeDocument/2006/relationships/hyperlink" Target="http://thuyloitiengiang.vn/web/thuyloitiengiang/chi-tiet-tin-tuc?id=455328" TargetMode="External"/><Relationship Id="rId90" Type="http://schemas.openxmlformats.org/officeDocument/2006/relationships/hyperlink" Target="http://thuyloitiengiang.vn/web/thuyloitiengiang/chi-tiet-tin-tuc?id=455328" TargetMode="External"/><Relationship Id="rId91" Type="http://schemas.openxmlformats.org/officeDocument/2006/relationships/hyperlink" Target="http://thuyloitiengiang.vn/web/thuyloitiengiang/chi-tiet-tin-tuc?id=455328" TargetMode="External"/><Relationship Id="rId92" Type="http://schemas.openxmlformats.org/officeDocument/2006/relationships/hyperlink" Target="http://thuyloitiengiang.vn/web/thuyloitiengiang/chi-tiet-tin-tuc?id=455328" TargetMode="External"/><Relationship Id="rId93" Type="http://schemas.openxmlformats.org/officeDocument/2006/relationships/hyperlink" Target="http://thuyloitiengiang.vn/web/thuyloitiengiang/chi-tiet-tin-tuc?id=455328" TargetMode="External"/><Relationship Id="rId94" Type="http://schemas.openxmlformats.org/officeDocument/2006/relationships/hyperlink" Target="http://thuyloitiengiang.vn/web/thuyloitiengiang/chi-tiet-tin-tuc?id=455328" TargetMode="External"/><Relationship Id="rId95" Type="http://schemas.openxmlformats.org/officeDocument/2006/relationships/hyperlink" Target="http://thuyloitiengiang.vn/web/thuyloitiengiang/chi-tiet-tin-tuc?id=455328" TargetMode="External"/><Relationship Id="rId96" Type="http://schemas.openxmlformats.org/officeDocument/2006/relationships/hyperlink" Target="http://thuyloitiengiang.vn/web/thuyloitiengiang/chi-tiet-tin-tuc?id=455328" TargetMode="External"/><Relationship Id="rId97" Type="http://schemas.openxmlformats.org/officeDocument/2006/relationships/hyperlink" Target="http://thuyloitiengiang.vn/web/thuyloitiengiang/chi-tiet-tin-tuc?id=455328" TargetMode="External"/><Relationship Id="rId98" Type="http://schemas.openxmlformats.org/officeDocument/2006/relationships/hyperlink" Target="http://thuyloitiengiang.vn/web/thuyloitiengiang/chi-tiet-tin-tuc?id=455332" TargetMode="External"/><Relationship Id="rId99" Type="http://schemas.openxmlformats.org/officeDocument/2006/relationships/hyperlink" Target="http://thuyloitiengiang.vn/web/thuyloitiengiang/chi-tiet-tin-tuc?id=455332" TargetMode="External"/><Relationship Id="rId100" Type="http://schemas.openxmlformats.org/officeDocument/2006/relationships/hyperlink" Target="http://thuyloitiengiang.vn/web/thuyloitiengiang/chi-tiet-tin-tuc?id=455332" TargetMode="External"/><Relationship Id="rId101" Type="http://schemas.openxmlformats.org/officeDocument/2006/relationships/hyperlink" Target="http://thuyloitiengiang.vn/web/thuyloitiengiang/chi-tiet-tin-tuc?id=455332" TargetMode="External"/><Relationship Id="rId102" Type="http://schemas.openxmlformats.org/officeDocument/2006/relationships/hyperlink" Target="http://thuyloitiengiang.vn/web/thuyloitiengiang/chi-tiet-tin-tuc?id=455332" TargetMode="External"/><Relationship Id="rId103" Type="http://schemas.openxmlformats.org/officeDocument/2006/relationships/hyperlink" Target="http://thuyloitiengiang.vn/web/thuyloitiengiang/chi-tiet-tin-tuc?id=455332" TargetMode="External"/><Relationship Id="rId104" Type="http://schemas.openxmlformats.org/officeDocument/2006/relationships/hyperlink" Target="http://thuyloitiengiang.vn/web/thuyloitiengiang/chi-tiet-tin-tuc?id=455332" TargetMode="External"/><Relationship Id="rId105" Type="http://schemas.openxmlformats.org/officeDocument/2006/relationships/hyperlink" Target="http://thuyloitiengiang.vn/web/thuyloitiengiang/chi-tiet-tin-tuc?id=455332" TargetMode="External"/><Relationship Id="rId106" Type="http://schemas.openxmlformats.org/officeDocument/2006/relationships/hyperlink" Target="http://thuyloitiengiang.vn/web/thuyloitiengiang/chi-tiet-tin-tuc?id=455332" TargetMode="External"/><Relationship Id="rId107" Type="http://schemas.openxmlformats.org/officeDocument/2006/relationships/hyperlink" Target="http://thuyloitiengiang.vn/web/thuyloitiengiang/chi-tiet-tin-tuc?id=455332" TargetMode="External"/><Relationship Id="rId108" Type="http://schemas.openxmlformats.org/officeDocument/2006/relationships/hyperlink" Target="http://thuyloitiengiang.vn/web/thuyloitiengiang/chi-tiet-tin-tuc?id=455332" TargetMode="External"/><Relationship Id="rId109" Type="http://schemas.openxmlformats.org/officeDocument/2006/relationships/hyperlink" Target="http://thuyloitiengiang.vn/web/thuyloitiengiang/chi-tiet-tin-tuc?id=455336" TargetMode="External"/><Relationship Id="rId110" Type="http://schemas.openxmlformats.org/officeDocument/2006/relationships/hyperlink" Target="http://thuyloitiengiang.vn/web/thuyloitiengiang/chi-tiet-tin-tuc?id=455336" TargetMode="External"/><Relationship Id="rId111" Type="http://schemas.openxmlformats.org/officeDocument/2006/relationships/hyperlink" Target="http://thuyloitiengiang.vn/web/thuyloitiengiang/chi-tiet-tin-tuc?id=455336" TargetMode="External"/><Relationship Id="rId112" Type="http://schemas.openxmlformats.org/officeDocument/2006/relationships/hyperlink" Target="http://thuyloitiengiang.vn/web/thuyloitiengiang/chi-tiet-tin-tuc?id=455336" TargetMode="External"/><Relationship Id="rId113" Type="http://schemas.openxmlformats.org/officeDocument/2006/relationships/hyperlink" Target="http://thuyloitiengiang.vn/web/thuyloitiengiang/chi-tiet-tin-tuc?id=455336" TargetMode="External"/><Relationship Id="rId114" Type="http://schemas.openxmlformats.org/officeDocument/2006/relationships/hyperlink" Target="http://thuyloitiengiang.vn/web/thuyloitiengiang/chi-tiet-tin-tuc?id=455336" TargetMode="External"/><Relationship Id="rId115" Type="http://schemas.openxmlformats.org/officeDocument/2006/relationships/hyperlink" Target="http://thuyloitiengiang.vn/web/thuyloitiengiang/chi-tiet-tin-tuc?id=455336" TargetMode="External"/><Relationship Id="rId116" Type="http://schemas.openxmlformats.org/officeDocument/2006/relationships/hyperlink" Target="http://thuyloitiengiang.vn/web/thuyloitiengiang/chi-tiet-tin-tuc?id=455336" TargetMode="External"/><Relationship Id="rId117" Type="http://schemas.openxmlformats.org/officeDocument/2006/relationships/hyperlink" Target="http://thuyloitiengiang.vn/web/thuyloitiengiang/chi-tiet-tin-tuc?id=455336" TargetMode="External"/><Relationship Id="rId118" Type="http://schemas.openxmlformats.org/officeDocument/2006/relationships/hyperlink" Target="http://thuyloitiengiang.vn/web/thuyloitiengiang/chi-tiet-tin-tuc?id=455336" TargetMode="External"/><Relationship Id="rId119" Type="http://schemas.openxmlformats.org/officeDocument/2006/relationships/hyperlink" Target="http://thuyloitiengiang.vn/web/thuyloitiengiang/chi-tiet-tin-tuc?id=455336" TargetMode="External"/><Relationship Id="rId120" Type="http://schemas.openxmlformats.org/officeDocument/2006/relationships/hyperlink" Target="http://thuyloitiengiang.vn/web/thuyloitiengiang/chi-tiet-tin-tuc?id=455412" TargetMode="External"/><Relationship Id="rId121" Type="http://schemas.openxmlformats.org/officeDocument/2006/relationships/hyperlink" Target="http://thuyloitiengiang.vn/web/thuyloitiengiang/chi-tiet-tin-tuc?id=455412" TargetMode="External"/><Relationship Id="rId122" Type="http://schemas.openxmlformats.org/officeDocument/2006/relationships/hyperlink" Target="http://thuyloitiengiang.vn/web/thuyloitiengiang/chi-tiet-tin-tuc?id=455412" TargetMode="External"/><Relationship Id="rId123" Type="http://schemas.openxmlformats.org/officeDocument/2006/relationships/hyperlink" Target="http://thuyloitiengiang.vn/web/thuyloitiengiang/chi-tiet-tin-tuc?id=455412" TargetMode="External"/><Relationship Id="rId124" Type="http://schemas.openxmlformats.org/officeDocument/2006/relationships/hyperlink" Target="http://thuyloitiengiang.vn/web/thuyloitiengiang/chi-tiet-tin-tuc?id=455412" TargetMode="External"/><Relationship Id="rId125" Type="http://schemas.openxmlformats.org/officeDocument/2006/relationships/hyperlink" Target="http://thuyloitiengiang.vn/web/thuyloitiengiang/chi-tiet-tin-tuc?id=455412" TargetMode="External"/><Relationship Id="rId126" Type="http://schemas.openxmlformats.org/officeDocument/2006/relationships/hyperlink" Target="http://thuyloitiengiang.vn/web/thuyloitiengiang/chi-tiet-tin-tuc?id=455412" TargetMode="External"/><Relationship Id="rId127" Type="http://schemas.openxmlformats.org/officeDocument/2006/relationships/hyperlink" Target="http://thuyloitiengiang.vn/web/thuyloitiengiang/chi-tiet-tin-tuc?id=455412" TargetMode="External"/><Relationship Id="rId128" Type="http://schemas.openxmlformats.org/officeDocument/2006/relationships/hyperlink" Target="http://thuyloitiengiang.vn/web/thuyloitiengiang/chi-tiet-tin-tuc?id=455412" TargetMode="External"/><Relationship Id="rId129" Type="http://schemas.openxmlformats.org/officeDocument/2006/relationships/hyperlink" Target="http://thuyloitiengiang.vn/web/thuyloitiengiang/chi-tiet-tin-tuc?id=455412" TargetMode="External"/><Relationship Id="rId130" Type="http://schemas.openxmlformats.org/officeDocument/2006/relationships/hyperlink" Target="http://thuyloitiengiang.vn/web/thuyloitiengiang/chi-tiet-tin-tuc?id=455412" TargetMode="External"/><Relationship Id="rId131" Type="http://schemas.openxmlformats.org/officeDocument/2006/relationships/hyperlink" Target="http://thuyloitiengiang.vn/web/thuyloitiengiang/chi-tiet-tin-tuc?id=455416" TargetMode="External"/><Relationship Id="rId132" Type="http://schemas.openxmlformats.org/officeDocument/2006/relationships/hyperlink" Target="http://thuyloitiengiang.vn/web/thuyloitiengiang/chi-tiet-tin-tuc?id=455416" TargetMode="External"/><Relationship Id="rId133" Type="http://schemas.openxmlformats.org/officeDocument/2006/relationships/hyperlink" Target="http://thuyloitiengiang.vn/web/thuyloitiengiang/chi-tiet-tin-tuc?id=455416" TargetMode="External"/><Relationship Id="rId134" Type="http://schemas.openxmlformats.org/officeDocument/2006/relationships/hyperlink" Target="http://thuyloitiengiang.vn/web/thuyloitiengiang/chi-tiet-tin-tuc?id=455416" TargetMode="External"/><Relationship Id="rId135" Type="http://schemas.openxmlformats.org/officeDocument/2006/relationships/hyperlink" Target="http://thuyloitiengiang.vn/web/thuyloitiengiang/chi-tiet-tin-tuc?id=455416" TargetMode="External"/><Relationship Id="rId136" Type="http://schemas.openxmlformats.org/officeDocument/2006/relationships/hyperlink" Target="http://thuyloitiengiang.vn/web/thuyloitiengiang/chi-tiet-tin-tuc?id=455416" TargetMode="External"/><Relationship Id="rId137" Type="http://schemas.openxmlformats.org/officeDocument/2006/relationships/hyperlink" Target="http://thuyloitiengiang.vn/web/thuyloitiengiang/chi-tiet-tin-tuc?id=455416" TargetMode="External"/><Relationship Id="rId138" Type="http://schemas.openxmlformats.org/officeDocument/2006/relationships/hyperlink" Target="http://thuyloitiengiang.vn/web/thuyloitiengiang/chi-tiet-tin-tuc?id=455416" TargetMode="External"/><Relationship Id="rId139" Type="http://schemas.openxmlformats.org/officeDocument/2006/relationships/hyperlink" Target="http://thuyloitiengiang.vn/web/thuyloitiengiang/chi-tiet-tin-tuc?id=455416" TargetMode="External"/><Relationship Id="rId140" Type="http://schemas.openxmlformats.org/officeDocument/2006/relationships/hyperlink" Target="http://thuyloitiengiang.vn/web/thuyloitiengiang/chi-tiet-tin-tuc?id=455416" TargetMode="External"/><Relationship Id="rId141" Type="http://schemas.openxmlformats.org/officeDocument/2006/relationships/hyperlink" Target="http://thuyloitiengiang.vn/web/thuyloitiengiang/chi-tiet-tin-tuc?id=455416" TargetMode="External"/><Relationship Id="rId142" Type="http://schemas.openxmlformats.org/officeDocument/2006/relationships/hyperlink" Target="https://tuoitre.vn/tien-giang-man-da-xam-nhap-sau-vao-dat-lien-hon-50km-20240212110133913.htm" TargetMode="External"/><Relationship Id="rId143" Type="http://schemas.openxmlformats.org/officeDocument/2006/relationships/hyperlink" Target="https://tuoitre.vn/tien-giang-man-da-xam-nhap-sau-vao-dat-lien-hon-50km-20240212110133913.htm" TargetMode="External"/><Relationship Id="rId144" Type="http://schemas.openxmlformats.org/officeDocument/2006/relationships/hyperlink" Target="https://tuoitre.vn/tien-giang-man-da-xam-nhap-sau-vao-dat-lien-hon-50km-20240212110133913.htm" TargetMode="External"/><Relationship Id="rId145" Type="http://schemas.openxmlformats.org/officeDocument/2006/relationships/hyperlink" Target="https://tuoitre.vn/tien-giang-man-da-xam-nhap-sau-vao-dat-lien-hon-50km-20240212110133913.htm" TargetMode="External"/><Relationship Id="rId146" Type="http://schemas.openxmlformats.org/officeDocument/2006/relationships/hyperlink" Target="https://tuoitre.vn/tien-giang-man-da-xam-nhap-sau-vao-dat-lien-hon-50km-20240212110133913.htm" TargetMode="External"/><Relationship Id="rId147" Type="http://schemas.openxmlformats.org/officeDocument/2006/relationships/hyperlink" Target="https://baodongthap.vn/tien-giang-man-xam-nhap-den-khu-vuc-cau-phu-phong-huyen-chau-thanh-a57394.html" TargetMode="External"/><Relationship Id="rId148" Type="http://schemas.openxmlformats.org/officeDocument/2006/relationships/hyperlink" Target="https://baodongthap.vn/tien-giang-man-xam-nhap-den-khu-vuc-cau-phu-phong-huyen-chau-thanh-a57394.html" TargetMode="External"/><Relationship Id="rId149" Type="http://schemas.openxmlformats.org/officeDocument/2006/relationships/hyperlink" Target="https://baodongthap.vn/tien-giang-man-xam-nhap-den-khu-vuc-cau-phu-phong-huyen-chau-thanh-a57394.html" TargetMode="External"/><Relationship Id="rId150" Type="http://schemas.openxmlformats.org/officeDocument/2006/relationships/hyperlink" Target="https://baodongthap.vn/tien-giang-man-xam-nhap-den-khu-vuc-cau-phu-phong-huyen-chau-thanh-a57394.html" TargetMode="External"/><Relationship Id="rId151" Type="http://schemas.openxmlformats.org/officeDocument/2006/relationships/hyperlink" Target="https://baodongthap.vn/tien-giang-man-xam-nhap-den-khu-vuc-cau-phu-phong-huyen-chau-thanh-a57394.html" TargetMode="External"/><Relationship Id="rId152" Type="http://schemas.openxmlformats.org/officeDocument/2006/relationships/hyperlink" Target="https://baodongthap.vn/tien-giang-man-xam-nhap-den-khu-vuc-cau-phu-phong-huyen-chau-thanh-a57394.html" TargetMode="External"/><Relationship Id="rId153" Type="http://schemas.openxmlformats.org/officeDocument/2006/relationships/hyperlink" Target="https://baodongthap.vn/tien-giang-man-xam-nhap-den-khu-vuc-cau-phu-phong-huyen-chau-thanh-a57394.html" TargetMode="External"/><Relationship Id="rId154" Type="http://schemas.openxmlformats.org/officeDocument/2006/relationships/hyperlink" Target="https://pctt.tayninh.gov.vn/tinh-hinh-chat-luong-nuoc-76230/tinh-hinh-chat-luong-nuoc-xam-nhap-man-tren-cac-tuyen-song-trong-dia-ban-tinh-long-an-ngay-02-de-983594" TargetMode="External"/><Relationship Id="rId155" Type="http://schemas.openxmlformats.org/officeDocument/2006/relationships/hyperlink" Target="https://pctt.tayninh.gov.vn/tinh-hinh-chat-luong-nuoc-76230/tinh-hinh-chat-luong-nuoc-xam-nhap-man-tren-cac-tuyen-song-trong-dia-ban-tinh-long-an-ngay-02-de-983594" TargetMode="External"/><Relationship Id="rId156" Type="http://schemas.openxmlformats.org/officeDocument/2006/relationships/hyperlink" Target="https://pctt.tayninh.gov.vn/tinh-hinh-chat-luong-nuoc-76230/tinh-hinh-chat-luong-nuoc-xam-nhap-man-tren-cac-tuyen-song-trong-dia-ban-tinh-long-an-ngay-02-de-983594" TargetMode="External"/><Relationship Id="rId157" Type="http://schemas.openxmlformats.org/officeDocument/2006/relationships/hyperlink" Target="https://baodongthap.vn/tien-giang-chu-dong-quyet-liet-voi-xam-nhap-man-a58212.html" TargetMode="External"/><Relationship Id="rId158" Type="http://schemas.openxmlformats.org/officeDocument/2006/relationships/hyperlink" Target="https://baodongthap.vn/tien-giang-chu-dong-quyet-liet-voi-xam-nhap-man-a58212.html" TargetMode="External"/><Relationship Id="rId159" Type="http://schemas.openxmlformats.org/officeDocument/2006/relationships/hyperlink" Target="https://pctt.tayninh.gov.vn/tinh-hinh-chat-luong-nuoc-76230/tinh-hinh-chat-luong-nuoc-xam-nhap-man-tren-cac-tuyen-song-tren-dia-ban-tinh-long-an-tu-ngay-05--984252" TargetMode="External"/><Relationship Id="rId160" Type="http://schemas.openxmlformats.org/officeDocument/2006/relationships/hyperlink" Target="https://pctt.tayninh.gov.vn/tinh-hinh-chat-luong-nuoc-76230/tinh-hinh-chat-luong-nuoc-xam-nhap-man-tren-cac-tuyen-song-tren-dia-ban-tinh-long-an-tu-ngay-05--984252" TargetMode="External"/><Relationship Id="rId161" Type="http://schemas.openxmlformats.org/officeDocument/2006/relationships/hyperlink" Target="https://pctt.tayninh.gov.vn/tinh-hinh-chat-luong-nuoc-76230/tinh-hinh-chat-luong-nuoc-xam-nhap-man-tren-cac-tuyen-song-tren-dia-ban-tinh-long-an-tu-ngay-05--984252" TargetMode="External"/><Relationship Id="rId162" Type="http://schemas.openxmlformats.org/officeDocument/2006/relationships/hyperlink" Target="https://nhandan.vn/tien-giang-quyet-liet-trien-khai-cac-giai-phap-phong-chong-han-man-post799553.html" TargetMode="External"/><Relationship Id="rId163" Type="http://schemas.openxmlformats.org/officeDocument/2006/relationships/hyperlink" Target="https://nhandan.vn/tien-giang-quyet-liet-trien-khai-cac-giai-phap-phong-chong-han-man-post799553.html" TargetMode="External"/><Relationship Id="rId164" Type="http://schemas.openxmlformats.org/officeDocument/2006/relationships/hyperlink" Target="https://nhandan.vn/tien-giang-quyet-liet-trien-khai-cac-giai-phap-phong-chong-han-man-post799553.html" TargetMode="External"/><Relationship Id="rId165" Type="http://schemas.openxmlformats.org/officeDocument/2006/relationships/hyperlink" Target="https://nhandan.vn/tien-giang-quyet-liet-trien-khai-cac-giai-phap-phong-chong-han-man-post799553.html" TargetMode="External"/><Relationship Id="rId166" Type="http://schemas.openxmlformats.org/officeDocument/2006/relationships/hyperlink" Target="https://nhandan.vn/tien-giang-quyet-liet-trien-khai-cac-giai-phap-phong-chong-han-man-post799553.html" TargetMode="External"/><Relationship Id="rId167" Type="http://schemas.openxmlformats.org/officeDocument/2006/relationships/hyperlink" Target="https://nhandan.vn/tien-giang-quyet-liet-trien-khai-cac-giai-phap-phong-chong-han-man-post799553.html" TargetMode="External"/><Relationship Id="rId168" Type="http://schemas.openxmlformats.org/officeDocument/2006/relationships/hyperlink" Target="https://nhandan.vn/tien-giang-quyet-liet-trien-khai-cac-giai-phap-phong-chong-han-man-post799553.html" TargetMode="External"/><Relationship Id="rId169" Type="http://schemas.openxmlformats.org/officeDocument/2006/relationships/hyperlink" Target="https://baodongthap.vn/tien-giang-xam-nhap-man-tiep-tuc-tang-theo-ky-trieu-cuong-a70919.html" TargetMode="External"/><Relationship Id="rId170" Type="http://schemas.openxmlformats.org/officeDocument/2006/relationships/hyperlink" Target="https://baodongthap.vn/tien-giang-xam-nhap-man-tiep-tuc-tang-theo-ky-trieu-cuong-a70919.html" TargetMode="External"/><Relationship Id="rId171" Type="http://schemas.openxmlformats.org/officeDocument/2006/relationships/hyperlink" Target="https://baodongthap.vn/tien-giang-xam-nhap-man-tiep-tuc-tang-theo-ky-trieu-cuong-a70919.html" TargetMode="External"/><Relationship Id="rId172" Type="http://schemas.openxmlformats.org/officeDocument/2006/relationships/hyperlink" Target="https://baodongthap.vn/tien-giang-xam-nhap-man-tiep-tuc-tang-theo-ky-trieu-cuong-a70919.html" TargetMode="External"/><Relationship Id="rId173" Type="http://schemas.openxmlformats.org/officeDocument/2006/relationships/hyperlink" Target="https://baodongthap.vn/tien-giang-xam-nhap-man-tiep-tuc-tang-theo-ky-trieu-cuong-a70919.html" TargetMode="External"/><Relationship Id="rId174" Type="http://schemas.openxmlformats.org/officeDocument/2006/relationships/hyperlink" Target="https://baodongthap.vn/tien-giang-xam-nhap-man-tiep-tuc-tang-theo-ky-trieu-cuong-a70919.html" TargetMode="External"/><Relationship Id="rId175" Type="http://schemas.openxmlformats.org/officeDocument/2006/relationships/hyperlink" Target="https://baodongthap.vn/tien-giang-xam-nhap-man-tiep-tuc-tang-theo-ky-trieu-cuong-a70919.html" TargetMode="External"/><Relationship Id="rId176" Type="http://schemas.openxmlformats.org/officeDocument/2006/relationships/hyperlink" Target="https://baodongthap.vn/tien-giang-xam-nhap-man-tiep-tuc-tang-theo-ky-trieu-cuong-a70919.html" TargetMode="External"/><Relationship Id="rId177" Type="http://schemas.openxmlformats.org/officeDocument/2006/relationships/hyperlink" Target="https://baodongthap.vn/tien-giang-xam-nhap-man-giam-nhe-a71088.html" TargetMode="External"/><Relationship Id="rId178" Type="http://schemas.openxmlformats.org/officeDocument/2006/relationships/hyperlink" Target="https://baodongthap.vn/tien-giang-xam-nhap-man-giam-nhe-a71088.html" TargetMode="External"/><Relationship Id="rId179" Type="http://schemas.openxmlformats.org/officeDocument/2006/relationships/hyperlink" Target="https://baodongthap.vn/tien-giang-xam-nhap-man-giam-nhe-a71088.html" TargetMode="External"/><Relationship Id="rId180" Type="http://schemas.openxmlformats.org/officeDocument/2006/relationships/hyperlink" Target="https://baodongthap.vn/tien-giang-xam-nhap-man-giam-nhe-a71088.html" TargetMode="External"/><Relationship Id="rId181" Type="http://schemas.openxmlformats.org/officeDocument/2006/relationships/hyperlink" Target="https://baodongthap.vn/tien-giang-xam-nhap-man-giam-nhe-a71088.html" TargetMode="External"/><Relationship Id="rId182" Type="http://schemas.openxmlformats.org/officeDocument/2006/relationships/hyperlink" Target="https://baodongthap.vn/tien-giang-xam-nhap-man-giam-nhe-a71088.html" TargetMode="External"/><Relationship Id="rId183" Type="http://schemas.openxmlformats.org/officeDocument/2006/relationships/hyperlink" Target="https://baodongthap.vn/tien-giang-xam-nhap-man-giam-nhe-a71088.html" TargetMode="External"/><Relationship Id="rId184" Type="http://schemas.openxmlformats.org/officeDocument/2006/relationships/hyperlink" Target="https://baodongthap.vn/tien-giang-xam-nhap-man-giam-nhe-a71088.html" TargetMode="External"/><Relationship Id="rId185" Type="http://schemas.openxmlformats.org/officeDocument/2006/relationships/hyperlink" Target="https://baodongthap.vn/tien-giang-xam-nhap-man-giam-cac-cong-thuoc-du-an-bao-dinh-van-hanh-lay-nuoc-a72711.html" TargetMode="External"/><Relationship Id="rId186" Type="http://schemas.openxmlformats.org/officeDocument/2006/relationships/hyperlink" Target="https://baodongthap.vn/tien-giang-xam-nhap-man-giam-cac-cong-thuoc-du-an-bao-dinh-van-hanh-lay-nuoc-a72711.html" TargetMode="External"/><Relationship Id="rId187" Type="http://schemas.openxmlformats.org/officeDocument/2006/relationships/hyperlink" Target="https://baodongthap.vn/tien-giang-xam-nhap-man-giam-cac-cong-thuoc-du-an-bao-dinh-van-hanh-lay-nuoc-a72711.html" TargetMode="External"/><Relationship Id="rId188" Type="http://schemas.openxmlformats.org/officeDocument/2006/relationships/hyperlink" Target="https://baodongthap.vn/tien-giang-xam-nhap-man-giam-cac-cong-thuoc-du-an-bao-dinh-van-hanh-lay-nuoc-a72711.html" TargetMode="External"/><Relationship Id="rId189" Type="http://schemas.openxmlformats.org/officeDocument/2006/relationships/hyperlink" Target="https://baodongthap.vn/tien-giang-man-da-xam-nhap-toi-tp-my-tho-a13709.html" TargetMode="External"/><Relationship Id="rId190" Type="http://schemas.openxmlformats.org/officeDocument/2006/relationships/hyperlink" Target="https://nhandan.vn/xam-nhap-man-co-xu-the-tang-nhanh-tai-tien-giang-post852937.html" TargetMode="External"/><Relationship Id="rId191" Type="http://schemas.openxmlformats.org/officeDocument/2006/relationships/hyperlink" Target="https://baodongthap.vn/tien-giang-xam-nhap-man-tang-tro-lai-a34313.html" TargetMode="External"/><Relationship Id="rId192" Type="http://schemas.openxmlformats.org/officeDocument/2006/relationships/hyperlink" Target="https://baodongthap.vn/tien-giang-xam-nhap-man-tang-tro-lai-a34313.html" TargetMode="External"/><Relationship Id="rId193" Type="http://schemas.openxmlformats.org/officeDocument/2006/relationships/hyperlink" Target="https://baodongthap.vn/tien-giang-xam-nhap-man-tang-tro-lai-a34313.html" TargetMode="External"/><Relationship Id="rId194" Type="http://schemas.openxmlformats.org/officeDocument/2006/relationships/hyperlink" Target="https://phongchongthientaitiengiang.vn/?p=7360" TargetMode="External"/><Relationship Id="rId195" Type="http://schemas.openxmlformats.org/officeDocument/2006/relationships/hyperlink" Target="https://phongchongthientaitiengiang.vn/?p=7360" TargetMode="External"/><Relationship Id="rId196" Type="http://schemas.openxmlformats.org/officeDocument/2006/relationships/hyperlink" Target="https://phongchongthientaitiengiang.vn/?p=7360" TargetMode="External"/><Relationship Id="rId197" Type="http://schemas.openxmlformats.org/officeDocument/2006/relationships/hyperlink" Target="https://phongchongthientaitiengiang.vn/?p=7360" TargetMode="External"/><Relationship Id="rId198" Type="http://schemas.openxmlformats.org/officeDocument/2006/relationships/hyperlink" Target="https://phongchongthientaitiengiang.vn/?p=7360" TargetMode="External"/><Relationship Id="rId199" Type="http://schemas.openxmlformats.org/officeDocument/2006/relationships/hyperlink" Target="https://phongchongthientaitiengiang.vn/?p=7360" TargetMode="External"/><Relationship Id="rId200" Type="http://schemas.openxmlformats.org/officeDocument/2006/relationships/hyperlink" Target="https://phongchongthientaitiengiang.vn/?p=7360" TargetMode="External"/><Relationship Id="rId201" Type="http://schemas.openxmlformats.org/officeDocument/2006/relationships/hyperlink" Target="https://phongchongthientaitiengiang.vn/?p=7360" TargetMode="External"/><Relationship Id="rId202" Type="http://schemas.openxmlformats.org/officeDocument/2006/relationships/hyperlink" Target="https://phongchongthientaitiengiang.vn/?p=7360" TargetMode="External"/><Relationship Id="rId203" Type="http://schemas.openxmlformats.org/officeDocument/2006/relationships/hyperlink" Target="https://phongchongthientaitiengiang.vn/?p=7360" TargetMode="External"/><Relationship Id="rId204" Type="http://schemas.openxmlformats.org/officeDocument/2006/relationships/hyperlink" Target="https://phongchongthientaitiengiang.vn/?p=7360" TargetMode="External"/><Relationship Id="rId205" Type="http://schemas.openxmlformats.org/officeDocument/2006/relationships/hyperlink" Target="https://phongchongthientaitiengiang.vn/?p=7360" TargetMode="External"/><Relationship Id="rId206" Type="http://schemas.openxmlformats.org/officeDocument/2006/relationships/hyperlink" Target="https://pctt.tayninh.gov.vn/tinh-hinh-chat-luong-nuoc-76230/tinh-hinh-chat-luong-nuoc-xam-nhap-man-tren-cac-tuyen-song-trong-dia-ban-tinh-long-an-ngay-02-de-983594" TargetMode="External"/><Relationship Id="rId207" Type="http://schemas.openxmlformats.org/officeDocument/2006/relationships/hyperlink" Target="https://pctt.tayninh.gov.vn/tinh-hinh-chat-luong-nuoc-76230/tinh-hinh-chat-luong-nuoc-xam-nhap-man-tren-cac-tuyen-song-trong-dia-ban-tinh-long-an-ngay-02-de-983594" TargetMode="External"/><Relationship Id="rId208" Type="http://schemas.openxmlformats.org/officeDocument/2006/relationships/hyperlink" Target="https://pctt.tayninh.gov.vn/tinh-hinh-chat-luong-nuoc-76230/tinh-hinh-chat-luong-nuoc-xam-nhap-man-tren-cac-tuyen-song-trong-dia-ban-tinh-long-an-ngay-02-de-983594" TargetMode="External"/><Relationship Id="rId209" Type="http://schemas.openxmlformats.org/officeDocument/2006/relationships/hyperlink" Target="https://baodongthap.vn/tien-giang-xam-nhap-man-toi-huyen-chau-thanh-o-muc-0-42-g-l-a828.html" TargetMode="External"/><Relationship Id="rId210" Type="http://schemas.openxmlformats.org/officeDocument/2006/relationships/hyperlink" Target="https://baodongthap.vn/tien-giang-xam-nhap-man-toi-huyen-chau-thanh-o-muc-0-42-g-l-a828.html" TargetMode="External"/><Relationship Id="rId211" Type="http://schemas.openxmlformats.org/officeDocument/2006/relationships/hyperlink" Target="https://baodongthap.vn/tien-giang-xam-nhap-man-toi-huyen-chau-thanh-o-muc-0-42-g-l-a828.html" TargetMode="External"/><Relationship Id="rId212" Type="http://schemas.openxmlformats.org/officeDocument/2006/relationships/hyperlink" Target="https://baodongthap.vn/tien-giang-xam-nhap-man-toi-huyen-chau-thanh-o-muc-0-42-g-l-a828.html" TargetMode="External"/><Relationship Id="rId213" Type="http://schemas.openxmlformats.org/officeDocument/2006/relationships/hyperlink" Target="https://baodongthap.vn/tien-giang-xam-nhap-man-toi-huyen-chau-thanh-o-muc-0-42-g-l-a828.html" TargetMode="External"/><Relationship Id="rId214" Type="http://schemas.openxmlformats.org/officeDocument/2006/relationships/hyperlink" Target="https://baodongthap.vn/tien-giang-xam-nhap-man-toi-huyen-chau-thanh-o-muc-0-42-g-l-a828.html" TargetMode="External"/><Relationship Id="rId215" Type="http://schemas.openxmlformats.org/officeDocument/2006/relationships/hyperlink" Target="https://pctt.tayninh.gov.vn/tinh-hinh-chat-luong-nuoc-76230/tinh-hinh-chat-luong-nuoc-xam-nhap-man-tren-cac-tuyen-song-trong-dia-ban-tinh-long-an-ngay-02-de-983594" TargetMode="External"/><Relationship Id="rId216" Type="http://schemas.openxmlformats.org/officeDocument/2006/relationships/hyperlink" Target="https://pctt.tayninh.gov.vn/tinh-hinh-chat-luong-nuoc-76230/tinh-hinh-chat-luong-nuoc-xam-nhap-man-tren-cac-tuyen-song-trong-dia-ban-tinh-long-an-ngay-02-de-983594" TargetMode="External"/><Relationship Id="rId217" Type="http://schemas.openxmlformats.org/officeDocument/2006/relationships/hyperlink" Target="https://pctt.tayninh.gov.vn/tinh-hinh-chat-luong-nuoc-76230/tinh-hinh-chat-luong-nuoc-xam-nhap-man-tren-cac-tuyen-song-trong-dia-ban-tinh-long-an-ngay-02-de-983594" TargetMode="External"/><Relationship Id="rId218" Type="http://schemas.openxmlformats.org/officeDocument/2006/relationships/hyperlink" Target="https://baodongthap.vn/tien-giang-xam-nhap-man-giam-theo-trieu-cuong-nhung-van-o-muc-cao-a1148.html" TargetMode="External"/><Relationship Id="rId219" Type="http://schemas.openxmlformats.org/officeDocument/2006/relationships/hyperlink" Target="https://pctt.tayninh.gov.vn/tinh-hinh-chat-luong-nuoc-76230/tinh-hinh-chat-luong-nuoc-xam-nhap-man-tren-cac-tuyen-song-tren-dia-ban-tinh-long-an-tu-ngay-05--984252" TargetMode="External"/><Relationship Id="rId220" Type="http://schemas.openxmlformats.org/officeDocument/2006/relationships/hyperlink" Target="https://pctt.tayninh.gov.vn/tinh-hinh-chat-luong-nuoc-76230/tinh-hinh-chat-luong-nuoc-xam-nhap-man-tren-cac-tuyen-song-tren-dia-ban-tinh-long-an-tu-ngay-05--984252" TargetMode="External"/><Relationship Id="rId221" Type="http://schemas.openxmlformats.org/officeDocument/2006/relationships/hyperlink" Target="https://baodongthap.vn/tien-giang-xam-nhap-man-giam-theo-trieu-cuong-nhung-van-o-muc-cao-a1148.html" TargetMode="External"/><Relationship Id="rId222" Type="http://schemas.openxmlformats.org/officeDocument/2006/relationships/hyperlink" Target="https://baodongthap.vn/tien-giang-xam-nhap-man-giam-theo-trieu-cuong-nhung-van-o-muc-cao-a1148.html" TargetMode="External"/><Relationship Id="rId223" Type="http://schemas.openxmlformats.org/officeDocument/2006/relationships/hyperlink" Target="https://baodongthap.vn/tien-giang-xam-nhap-man-giam-theo-trieu-cuong-nhung-van-o-muc-cao-a1148.html" TargetMode="External"/><Relationship Id="rId224" Type="http://schemas.openxmlformats.org/officeDocument/2006/relationships/hyperlink" Target="https://baodongthap.vn/tien-giang-xam-nhap-man-giam-theo-trieu-cuong-nhung-van-o-muc-cao-a1148.html" TargetMode="External"/><Relationship Id="rId225" Type="http://schemas.openxmlformats.org/officeDocument/2006/relationships/hyperlink" Target="https://baodongthap.vn/tien-giang-xam-nhap-man-giam-theo-trieu-cuong-nhung-van-o-muc-cao-a1148.html" TargetMode="External"/><Relationship Id="rId226" Type="http://schemas.openxmlformats.org/officeDocument/2006/relationships/hyperlink" Target="https://pctt.tayninh.gov.vn/tinh-hinh-chat-luong-nuoc-76230/tinh-hinh-chat-luong-nuoc-xam-nhap-man-tren-cac-tuyen-song-tren-dia-ban-tinh-long-an-tu-ngay-05--984252" TargetMode="External"/><Relationship Id="rId227" Type="http://schemas.openxmlformats.org/officeDocument/2006/relationships/hyperlink" Target="https://baodongthap.vn/tien-giang-muc-nuoc-tai-cac-kinh-rach-vung-ngot-hoa-go-cong-dang-dan-xuong-thap-a4427.html" TargetMode="External"/><Relationship Id="rId228" Type="http://schemas.openxmlformats.org/officeDocument/2006/relationships/hyperlink" Target="https://baodongthap.vn/tien-giang-muc-nuoc-tai-cac-kinh-rach-vung-ngot-hoa-go-cong-dang-dan-xuong-thap-a4427.html" TargetMode="External"/><Relationship Id="rId229" Type="http://schemas.openxmlformats.org/officeDocument/2006/relationships/hyperlink" Target="https://baodongthap.vn/tien-giang-muc-nuoc-tai-cac-kinh-rach-vung-ngot-hoa-go-cong-dang-dan-xuong-thap-a4427.html" TargetMode="External"/><Relationship Id="rId230" Type="http://schemas.openxmlformats.org/officeDocument/2006/relationships/hyperlink" Target="https://baodongthap.vn/tien-giang-muc-nuoc-tai-cac-kinh-rach-vung-ngot-hoa-go-cong-dang-dan-xuong-thap-a4427.html" TargetMode="External"/><Relationship Id="rId231" Type="http://schemas.openxmlformats.org/officeDocument/2006/relationships/hyperlink" Target="https://baodongthap.vn/tien-giang-muc-nuoc-tai-cac-kinh-rach-vung-ngot-hoa-go-cong-dang-dan-xuong-thap-a4427.html" TargetMode="External"/><Relationship Id="rId232" Type="http://schemas.openxmlformats.org/officeDocument/2006/relationships/hyperlink" Target="https://baodongthap.vn/tien-giang-muc-nuoc-tai-cac-kinh-rach-vung-ngot-hoa-go-cong-dang-dan-xuong-thap-a4427.html" TargetMode="External"/><Relationship Id="rId233" Type="http://schemas.openxmlformats.org/officeDocument/2006/relationships/hyperlink" Target="https://baodongthap.vn/tien-giang-muc-nuoc-tai-cac-kinh-rach-vung-ngot-hoa-go-cong-dang-dan-xuong-thap-a4427.html" TargetMode="External"/><Relationship Id="rId234" Type="http://schemas.openxmlformats.org/officeDocument/2006/relationships/hyperlink" Target="https://baodongthap.vn/tien-giang-muc-nuoc-tai-cac-kinh-rach-vung-ngot-hoa-go-cong-dang-dan-xuong-thap-a4427.html" TargetMode="External"/><Relationship Id="rId235" Type="http://schemas.openxmlformats.org/officeDocument/2006/relationships/hyperlink" Target="https://baodongthap.vn/xam-nhap-man-giam-cong-xuan-hoa-lay-gan-nuoc-ngot-a5603.html" TargetMode="External"/><Relationship Id="rId236" Type="http://schemas.openxmlformats.org/officeDocument/2006/relationships/hyperlink" Target="https://baodongthap.vn/xam-nhap-man-giam-cong-xuan-hoa-lay-gan-nuoc-ngot-a5603.html" TargetMode="External"/><Relationship Id="rId237" Type="http://schemas.openxmlformats.org/officeDocument/2006/relationships/hyperlink" Target="https://baodongthap.vn/xam-nhap-man-giam-cong-xuan-hoa-lay-gan-nuoc-ngot-a5603.html" TargetMode="External"/><Relationship Id="rId238" Type="http://schemas.openxmlformats.org/officeDocument/2006/relationships/hyperlink" Target="https://baodongthap.vn/xam-nhap-man-dat-dinh-va-se-giam-dan-trong-nhung-ngay-toi-a6163.html" TargetMode="External"/><Relationship Id="rId239" Type="http://schemas.openxmlformats.org/officeDocument/2006/relationships/hyperlink" Target="https://baodongthap.vn/xam-nhap-man-dat-dinh-va-se-giam-dan-trong-nhung-ngay-toi-a6163.html" TargetMode="External"/><Relationship Id="rId240" Type="http://schemas.openxmlformats.org/officeDocument/2006/relationships/hyperlink" Target="https://baodongthap.vn/xam-nhap-man-dat-dinh-va-se-giam-dan-trong-nhung-ngay-toi-a6163.html" TargetMode="External"/><Relationship Id="rId241" Type="http://schemas.openxmlformats.org/officeDocument/2006/relationships/hyperlink" Target="https://baodongthap.vn/xam-nhap-man-dat-dinh-va-se-giam-dan-trong-nhung-ngay-toi-a6163.html" TargetMode="External"/><Relationship Id="rId242" Type="http://schemas.openxmlformats.org/officeDocument/2006/relationships/hyperlink" Target="https://baodongthap.vn/xam-nhap-man-dat-dinh-va-se-giam-dan-trong-nhung-ngay-toi-a6163.html" TargetMode="External"/><Relationship Id="rId243" Type="http://schemas.openxmlformats.org/officeDocument/2006/relationships/hyperlink" Target="https://baodongthap.vn/xam-nhap-man-dat-dinh-va-se-giam-dan-trong-nhung-ngay-toi-a6163.html" TargetMode="External"/><Relationship Id="rId244" Type="http://schemas.openxmlformats.org/officeDocument/2006/relationships/hyperlink" Target="https://baodongthap.vn/xam-nhap-man-dat-dinh-va-se-giam-dan-trong-nhung-ngay-toi-a6163.html" TargetMode="External"/><Relationship Id="rId245" Type="http://schemas.openxmlformats.org/officeDocument/2006/relationships/hyperlink" Target="https://tamvu.tayninh.gov.vn/bao-cao-thong-ke/thong-bao-tinh-hinh-chat-luong-nuoc-xam-nhap-man-tren-cac-tuyen-song-tren-dia-ban-tinh-tay-ninh--1057028" TargetMode="External"/><Relationship Id="rId246" Type="http://schemas.openxmlformats.org/officeDocument/2006/relationships/hyperlink" Target="https://tamvu.tayninh.gov.vn/bao-cao-thong-ke/thong-bao-tinh-hinh-chat-luong-nuoc-xam-nhap-man-tren-cac-tuyen-song-tren-dia-ban-tinh-tay-ninh--1057028" TargetMode="External"/><Relationship Id="rId247" Type="http://schemas.openxmlformats.org/officeDocument/2006/relationships/hyperlink" Target="https://tamvu.tayninh.gov.vn/bao-cao-thong-ke/thong-bao-tinh-hinh-chat-luong-nuoc-xam-nhap-man-tren-cac-tuyen-song-tren-dia-ban-tinh-tay-ninh--1057028" TargetMode="External"/><Relationship Id="rId248" Type="http://schemas.openxmlformats.org/officeDocument/2006/relationships/hyperlink" Target="http://thuyloitiengiang.vn/web/thuyloitiengiang/chi-tiet-tin-tuc?id=455328" TargetMode="External"/><Relationship Id="rId249" Type="http://schemas.openxmlformats.org/officeDocument/2006/relationships/hyperlink" Target="http://thuyloitiengiang.vn/web/thuyloitiengiang/chi-tiet-tin-tuc?id=455328" TargetMode="External"/><Relationship Id="rId250" Type="http://schemas.openxmlformats.org/officeDocument/2006/relationships/hyperlink" Target="http://thuyloitiengiang.vn/web/thuyloitiengiang/chi-tiet-tin-tuc?id=455328" TargetMode="External"/><Relationship Id="rId251" Type="http://schemas.openxmlformats.org/officeDocument/2006/relationships/hyperlink" Target="http://thuyloitiengiang.vn/web/thuyloitiengiang/chi-tiet-tin-tuc?id=455328" TargetMode="External"/><Relationship Id="rId252" Type="http://schemas.openxmlformats.org/officeDocument/2006/relationships/hyperlink" Target="http://thuyloitiengiang.vn/web/thuyloitiengiang/chi-tiet-tin-tuc?id=455328" TargetMode="External"/><Relationship Id="rId253" Type="http://schemas.openxmlformats.org/officeDocument/2006/relationships/hyperlink" Target="http://thuyloitiengiang.vn/web/thuyloitiengiang/chi-tiet-tin-tuc?id=455328" TargetMode="External"/><Relationship Id="rId254" Type="http://schemas.openxmlformats.org/officeDocument/2006/relationships/hyperlink" Target="http://thuyloitiengiang.vn/web/thuyloitiengiang/chi-tiet-tin-tuc?id=455328" TargetMode="External"/><Relationship Id="rId255" Type="http://schemas.openxmlformats.org/officeDocument/2006/relationships/hyperlink" Target="http://thuyloitiengiang.vn/web/thuyloitiengiang/chi-tiet-tin-tuc?id=455328" TargetMode="External"/><Relationship Id="rId256" Type="http://schemas.openxmlformats.org/officeDocument/2006/relationships/hyperlink" Target="http://thuyloitiengiang.vn/web/thuyloitiengiang/chi-tiet-tin-tuc?id=455328" TargetMode="External"/><Relationship Id="rId257" Type="http://schemas.openxmlformats.org/officeDocument/2006/relationships/hyperlink" Target="http://thuyloitiengiang.vn/web/thuyloitiengiang/chi-tiet-tin-tuc?id=455328" TargetMode="External"/><Relationship Id="rId258" Type="http://schemas.openxmlformats.org/officeDocument/2006/relationships/hyperlink" Target="http://thuyloitiengiang.vn/web/thuyloitiengiang/chi-tiet-tin-tuc?id=455328" TargetMode="External"/><Relationship Id="rId259" Type="http://schemas.openxmlformats.org/officeDocument/2006/relationships/hyperlink" Target="http://thuyloitiengiang.vn/web/thuyloitiengiang/chi-tiet-tin-tuc?id=455328" TargetMode="External"/><Relationship Id="rId260" Type="http://schemas.openxmlformats.org/officeDocument/2006/relationships/hyperlink" Target="http://thuyloitiengiang.vn/web/thuyloitiengiang/chi-tiet-tin-tuc?id=455328" TargetMode="External"/><Relationship Id="rId261" Type="http://schemas.openxmlformats.org/officeDocument/2006/relationships/hyperlink" Target="http://thuyloitiengiang.vn/web/thuyloitiengiang/chi-tiet-tin-tuc?id=455332" TargetMode="External"/><Relationship Id="rId262" Type="http://schemas.openxmlformats.org/officeDocument/2006/relationships/hyperlink" Target="http://thuyloitiengiang.vn/web/thuyloitiengiang/chi-tiet-tin-tuc?id=455332" TargetMode="External"/><Relationship Id="rId263" Type="http://schemas.openxmlformats.org/officeDocument/2006/relationships/hyperlink" Target="http://thuyloitiengiang.vn/web/thuyloitiengiang/chi-tiet-tin-tuc?id=455332" TargetMode="External"/><Relationship Id="rId264" Type="http://schemas.openxmlformats.org/officeDocument/2006/relationships/hyperlink" Target="http://thuyloitiengiang.vn/web/thuyloitiengiang/chi-tiet-tin-tuc?id=455332" TargetMode="External"/><Relationship Id="rId265" Type="http://schemas.openxmlformats.org/officeDocument/2006/relationships/hyperlink" Target="http://thuyloitiengiang.vn/web/thuyloitiengiang/chi-tiet-tin-tuc?id=455332" TargetMode="External"/><Relationship Id="rId266" Type="http://schemas.openxmlformats.org/officeDocument/2006/relationships/hyperlink" Target="http://thuyloitiengiang.vn/web/thuyloitiengiang/chi-tiet-tin-tuc?id=455332" TargetMode="External"/><Relationship Id="rId267" Type="http://schemas.openxmlformats.org/officeDocument/2006/relationships/hyperlink" Target="http://thuyloitiengiang.vn/web/thuyloitiengiang/chi-tiet-tin-tuc?id=455332" TargetMode="External"/><Relationship Id="rId268" Type="http://schemas.openxmlformats.org/officeDocument/2006/relationships/hyperlink" Target="http://thuyloitiengiang.vn/web/thuyloitiengiang/chi-tiet-tin-tuc?id=455332" TargetMode="External"/><Relationship Id="rId269" Type="http://schemas.openxmlformats.org/officeDocument/2006/relationships/hyperlink" Target="http://thuyloitiengiang.vn/web/thuyloitiengiang/chi-tiet-tin-tuc?id=455332" TargetMode="External"/><Relationship Id="rId270" Type="http://schemas.openxmlformats.org/officeDocument/2006/relationships/hyperlink" Target="http://thuyloitiengiang.vn/web/thuyloitiengiang/chi-tiet-tin-tuc?id=455332" TargetMode="External"/><Relationship Id="rId271" Type="http://schemas.openxmlformats.org/officeDocument/2006/relationships/hyperlink" Target="http://thuyloitiengiang.vn/web/thuyloitiengiang/chi-tiet-tin-tuc?id=455332" TargetMode="External"/><Relationship Id="rId272" Type="http://schemas.openxmlformats.org/officeDocument/2006/relationships/hyperlink" Target="http://thuyloitiengiang.vn/web/thuyloitiengiang/chi-tiet-tin-tuc?id=455332" TargetMode="External"/><Relationship Id="rId273" Type="http://schemas.openxmlformats.org/officeDocument/2006/relationships/hyperlink" Target="http://thuyloitiengiang.vn/web/thuyloitiengiang/chi-tiet-tin-tuc?id=455332" TargetMode="External"/><Relationship Id="rId274" Type="http://schemas.openxmlformats.org/officeDocument/2006/relationships/hyperlink" Target="http://thuyloitiengiang.vn/web/thuyloitiengiang/chi-tiet-tin-tuc?id=455336" TargetMode="External"/><Relationship Id="rId275" Type="http://schemas.openxmlformats.org/officeDocument/2006/relationships/hyperlink" Target="http://thuyloitiengiang.vn/web/thuyloitiengiang/chi-tiet-tin-tuc?id=455336" TargetMode="External"/><Relationship Id="rId276" Type="http://schemas.openxmlformats.org/officeDocument/2006/relationships/hyperlink" Target="http://thuyloitiengiang.vn/web/thuyloitiengiang/chi-tiet-tin-tuc?id=455336" TargetMode="External"/><Relationship Id="rId277" Type="http://schemas.openxmlformats.org/officeDocument/2006/relationships/hyperlink" Target="http://thuyloitiengiang.vn/web/thuyloitiengiang/chi-tiet-tin-tuc?id=455336" TargetMode="External"/><Relationship Id="rId278" Type="http://schemas.openxmlformats.org/officeDocument/2006/relationships/hyperlink" Target="http://thuyloitiengiang.vn/web/thuyloitiengiang/chi-tiet-tin-tuc?id=455336" TargetMode="External"/><Relationship Id="rId279" Type="http://schemas.openxmlformats.org/officeDocument/2006/relationships/hyperlink" Target="http://thuyloitiengiang.vn/web/thuyloitiengiang/chi-tiet-tin-tuc?id=455336" TargetMode="External"/><Relationship Id="rId280" Type="http://schemas.openxmlformats.org/officeDocument/2006/relationships/hyperlink" Target="http://thuyloitiengiang.vn/web/thuyloitiengiang/chi-tiet-tin-tuc?id=455336" TargetMode="External"/><Relationship Id="rId281" Type="http://schemas.openxmlformats.org/officeDocument/2006/relationships/hyperlink" Target="http://thuyloitiengiang.vn/web/thuyloitiengiang/chi-tiet-tin-tuc?id=455336" TargetMode="External"/><Relationship Id="rId282" Type="http://schemas.openxmlformats.org/officeDocument/2006/relationships/hyperlink" Target="http://thuyloitiengiang.vn/web/thuyloitiengiang/chi-tiet-tin-tuc?id=455336" TargetMode="External"/><Relationship Id="rId283" Type="http://schemas.openxmlformats.org/officeDocument/2006/relationships/hyperlink" Target="http://thuyloitiengiang.vn/web/thuyloitiengiang/chi-tiet-tin-tuc?id=455336" TargetMode="External"/><Relationship Id="rId284" Type="http://schemas.openxmlformats.org/officeDocument/2006/relationships/hyperlink" Target="http://thuyloitiengiang.vn/web/thuyloitiengiang/chi-tiet-tin-tuc?id=455336" TargetMode="External"/><Relationship Id="rId285" Type="http://schemas.openxmlformats.org/officeDocument/2006/relationships/hyperlink" Target="http://thuyloitiengiang.vn/web/thuyloitiengiang/chi-tiet-tin-tuc?id=455336" TargetMode="External"/><Relationship Id="rId286" Type="http://schemas.openxmlformats.org/officeDocument/2006/relationships/hyperlink" Target="http://thuyloitiengiang.vn/web/thuyloitiengiang/chi-tiet-tin-tuc?id=455336" TargetMode="External"/><Relationship Id="rId287" Type="http://schemas.openxmlformats.org/officeDocument/2006/relationships/hyperlink" Target="http://thuyloitiengiang.vn/web/thuyloitiengiang/chi-tiet-tin-tuc?id=455412" TargetMode="External"/><Relationship Id="rId288" Type="http://schemas.openxmlformats.org/officeDocument/2006/relationships/hyperlink" Target="http://thuyloitiengiang.vn/web/thuyloitiengiang/chi-tiet-tin-tuc?id=455412" TargetMode="External"/><Relationship Id="rId289" Type="http://schemas.openxmlformats.org/officeDocument/2006/relationships/hyperlink" Target="http://thuyloitiengiang.vn/web/thuyloitiengiang/chi-tiet-tin-tuc?id=455412" TargetMode="External"/><Relationship Id="rId290" Type="http://schemas.openxmlformats.org/officeDocument/2006/relationships/hyperlink" Target="http://thuyloitiengiang.vn/web/thuyloitiengiang/chi-tiet-tin-tuc?id=455412" TargetMode="External"/><Relationship Id="rId291" Type="http://schemas.openxmlformats.org/officeDocument/2006/relationships/hyperlink" Target="http://thuyloitiengiang.vn/web/thuyloitiengiang/chi-tiet-tin-tuc?id=455412" TargetMode="External"/><Relationship Id="rId292" Type="http://schemas.openxmlformats.org/officeDocument/2006/relationships/hyperlink" Target="http://thuyloitiengiang.vn/web/thuyloitiengiang/chi-tiet-tin-tuc?id=455412" TargetMode="External"/><Relationship Id="rId293" Type="http://schemas.openxmlformats.org/officeDocument/2006/relationships/hyperlink" Target="http://thuyloitiengiang.vn/web/thuyloitiengiang/chi-tiet-tin-tuc?id=455412" TargetMode="External"/><Relationship Id="rId294" Type="http://schemas.openxmlformats.org/officeDocument/2006/relationships/hyperlink" Target="http://thuyloitiengiang.vn/web/thuyloitiengiang/chi-tiet-tin-tuc?id=455412" TargetMode="External"/><Relationship Id="rId295" Type="http://schemas.openxmlformats.org/officeDocument/2006/relationships/hyperlink" Target="http://thuyloitiengiang.vn/web/thuyloitiengiang/chi-tiet-tin-tuc?id=455412" TargetMode="External"/><Relationship Id="rId296" Type="http://schemas.openxmlformats.org/officeDocument/2006/relationships/hyperlink" Target="http://thuyloitiengiang.vn/web/thuyloitiengiang/chi-tiet-tin-tuc?id=455412" TargetMode="External"/><Relationship Id="rId297" Type="http://schemas.openxmlformats.org/officeDocument/2006/relationships/hyperlink" Target="http://thuyloitiengiang.vn/web/thuyloitiengiang/chi-tiet-tin-tuc?id=455412" TargetMode="External"/><Relationship Id="rId298" Type="http://schemas.openxmlformats.org/officeDocument/2006/relationships/hyperlink" Target="http://thuyloitiengiang.vn/web/thuyloitiengiang/chi-tiet-tin-tuc?id=455412" TargetMode="External"/><Relationship Id="rId299" Type="http://schemas.openxmlformats.org/officeDocument/2006/relationships/hyperlink" Target="http://thuyloitiengiang.vn/web/thuyloitiengiang/chi-tiet-tin-tuc?id=455412" TargetMode="External"/><Relationship Id="rId300" Type="http://schemas.openxmlformats.org/officeDocument/2006/relationships/hyperlink" Target="http://thuyloitiengiang.vn/web/thuyloitiengiang/chi-tiet-tin-tuc?id=455416" TargetMode="External"/><Relationship Id="rId301" Type="http://schemas.openxmlformats.org/officeDocument/2006/relationships/hyperlink" Target="http://thuyloitiengiang.vn/web/thuyloitiengiang/chi-tiet-tin-tuc?id=455416" TargetMode="External"/><Relationship Id="rId302" Type="http://schemas.openxmlformats.org/officeDocument/2006/relationships/hyperlink" Target="http://thuyloitiengiang.vn/web/thuyloitiengiang/chi-tiet-tin-tuc?id=455416" TargetMode="External"/><Relationship Id="rId303" Type="http://schemas.openxmlformats.org/officeDocument/2006/relationships/hyperlink" Target="http://thuyloitiengiang.vn/web/thuyloitiengiang/chi-tiet-tin-tuc?id=455416" TargetMode="External"/><Relationship Id="rId304" Type="http://schemas.openxmlformats.org/officeDocument/2006/relationships/hyperlink" Target="http://thuyloitiengiang.vn/web/thuyloitiengiang/chi-tiet-tin-tuc?id=455416" TargetMode="External"/><Relationship Id="rId305" Type="http://schemas.openxmlformats.org/officeDocument/2006/relationships/hyperlink" Target="http://thuyloitiengiang.vn/web/thuyloitiengiang/chi-tiet-tin-tuc?id=455416" TargetMode="External"/><Relationship Id="rId306" Type="http://schemas.openxmlformats.org/officeDocument/2006/relationships/hyperlink" Target="http://thuyloitiengiang.vn/web/thuyloitiengiang/chi-tiet-tin-tuc?id=455416" TargetMode="External"/><Relationship Id="rId307" Type="http://schemas.openxmlformats.org/officeDocument/2006/relationships/hyperlink" Target="http://thuyloitiengiang.vn/web/thuyloitiengiang/chi-tiet-tin-tuc?id=455416" TargetMode="External"/><Relationship Id="rId308" Type="http://schemas.openxmlformats.org/officeDocument/2006/relationships/hyperlink" Target="http://thuyloitiengiang.vn/web/thuyloitiengiang/chi-tiet-tin-tuc?id=455416" TargetMode="External"/><Relationship Id="rId309" Type="http://schemas.openxmlformats.org/officeDocument/2006/relationships/hyperlink" Target="http://thuyloitiengiang.vn/web/thuyloitiengiang/chi-tiet-tin-tuc?id=455416" TargetMode="External"/><Relationship Id="rId310" Type="http://schemas.openxmlformats.org/officeDocument/2006/relationships/hyperlink" Target="http://thuyloitiengiang.vn/web/thuyloitiengiang/chi-tiet-tin-tuc?id=455416" TargetMode="External"/><Relationship Id="rId311" Type="http://schemas.openxmlformats.org/officeDocument/2006/relationships/hyperlink" Target="http://thuyloitiengiang.vn/web/thuyloitiengiang/chi-tiet-tin-tuc?id=455416" TargetMode="External"/><Relationship Id="rId312" Type="http://schemas.openxmlformats.org/officeDocument/2006/relationships/hyperlink" Target="http://thuyloitiengiang.vn/web/thuyloitiengiang/chi-tiet-tin-tuc?id=455416" TargetMode="External"/><Relationship Id="rId313" Type="http://schemas.openxmlformats.org/officeDocument/2006/relationships/hyperlink" Target="https://phongchongthientaitiengiang.vn/?p=7360" TargetMode="External"/><Relationship Id="rId314" Type="http://schemas.openxmlformats.org/officeDocument/2006/relationships/hyperlink" Target="https://phongchongthientaitiengiang.vn/?p=7360" TargetMode="External"/><Relationship Id="rId315" Type="http://schemas.openxmlformats.org/officeDocument/2006/relationships/hyperlink" Target="https://phongchongthientaitiengiang.vn/?p=7360" TargetMode="External"/><Relationship Id="rId316" Type="http://schemas.openxmlformats.org/officeDocument/2006/relationships/hyperlink" Target="https://phongchongthientaitiengiang.vn/?p=7360" TargetMode="External"/><Relationship Id="rId317" Type="http://schemas.openxmlformats.org/officeDocument/2006/relationships/hyperlink" Target="https://phongchongthientaitiengiang.vn/?p=7360" TargetMode="External"/><Relationship Id="rId318" Type="http://schemas.openxmlformats.org/officeDocument/2006/relationships/hyperlink" Target="https://phongchongthientaitiengiang.vn/?p=7360" TargetMode="External"/><Relationship Id="rId319" Type="http://schemas.openxmlformats.org/officeDocument/2006/relationships/hyperlink" Target="https://phongchongthientaitiengiang.vn/?p=7360" TargetMode="External"/><Relationship Id="rId320" Type="http://schemas.openxmlformats.org/officeDocument/2006/relationships/hyperlink" Target="https://phongchongthientaitiengiang.vn/?p=7360" TargetMode="External"/><Relationship Id="rId321" Type="http://schemas.openxmlformats.org/officeDocument/2006/relationships/hyperlink" Target="https://phongchongthientaitiengiang.vn/?p=7360" TargetMode="External"/><Relationship Id="rId322" Type="http://schemas.openxmlformats.org/officeDocument/2006/relationships/hyperlink" Target="https://phongchongthientaitiengiang.vn/?p=7360" TargetMode="External"/><Relationship Id="rId323" Type="http://schemas.openxmlformats.org/officeDocument/2006/relationships/hyperlink" Target="https://nhandan.vn/man-xam-nhap-sau-vao-noi-dong-o-dong-thap-post943395.html" TargetMode="External"/><Relationship Id="rId324" Type="http://schemas.openxmlformats.org/officeDocument/2006/relationships/hyperlink" Target="https://phongchongthientaitiengiang.vn/?p=7360" TargetMode="External"/><Relationship Id="rId325" Type="http://schemas.openxmlformats.org/officeDocument/2006/relationships/hyperlink" Target="https://phongchongthientaitiengiang.vn/?p=7360" TargetMode="External"/><Relationship Id="rId326" Type="http://schemas.openxmlformats.org/officeDocument/2006/relationships/hyperlink" Target="https://phongchongthientaitiengiang.vn/?p=7360" TargetMode="External"/><Relationship Id="rId327" Type="http://schemas.openxmlformats.org/officeDocument/2006/relationships/hyperlink" Target="https://phongchongthientaitiengiang.vn/?p=7360" TargetMode="External"/><Relationship Id="rId328" Type="http://schemas.openxmlformats.org/officeDocument/2006/relationships/hyperlink" Target="https://phongchongthientaitiengiang.vn/?p=7360" TargetMode="External"/><Relationship Id="rId329" Type="http://schemas.openxmlformats.org/officeDocument/2006/relationships/hyperlink" Target="https://phongchongthientaitiengiang.vn/?p=7360" TargetMode="External"/><Relationship Id="rId330" Type="http://schemas.openxmlformats.org/officeDocument/2006/relationships/hyperlink" Target="https://phongchongthientaitiengiang.vn/?p=7360" TargetMode="External"/><Relationship Id="rId331" Type="http://schemas.openxmlformats.org/officeDocument/2006/relationships/hyperlink" Target="https://phongchongthientaitiengiang.vn/?p=7360" TargetMode="External"/><Relationship Id="rId332" Type="http://schemas.openxmlformats.org/officeDocument/2006/relationships/hyperlink" Target="https://phongchongthientaitiengiang.vn/?p=7360" TargetMode="External"/><Relationship Id="rId333" Type="http://schemas.openxmlformats.org/officeDocument/2006/relationships/hyperlink" Target="https://phongchongthientaitiengiang.vn/?p=7360" TargetMode="External"/><Relationship Id="rId334" Type="http://schemas.openxmlformats.org/officeDocument/2006/relationships/hyperlink" Target="https://phongchongthientaitiengiang.vn/?p=7360" TargetMode="External"/><Relationship Id="rId335" Type="http://schemas.openxmlformats.org/officeDocument/2006/relationships/hyperlink" Target="https://phongchongthientaitiengiang.vn/?p=7360" TargetMode="External"/><Relationship Id="rId336" Type="http://schemas.openxmlformats.org/officeDocument/2006/relationships/hyperlink" Target="https://phongchongthientaitiengiang.vn/?p=7360" TargetMode="External"/><Relationship Id="rId337" Type="http://schemas.openxmlformats.org/officeDocument/2006/relationships/hyperlink" Target="https://phongchongthientaitiengiang.vn/?p=7360" TargetMode="External"/><Relationship Id="rId338" Type="http://schemas.openxmlformats.org/officeDocument/2006/relationships/hyperlink" Target="https://tamvu.tayninh.gov.vn/bao-cao-thong-ke/thong-bao-tinh-hinh-chat-luong-nuoc-xam-nhap-man-tren-cac-tuyen-song-tren-dia-ban-tinh-tay-ninh--1057028" TargetMode="External"/><Relationship Id="rId339" Type="http://schemas.openxmlformats.org/officeDocument/2006/relationships/hyperlink" Target="https://tamvu.tayninh.gov.vn/bao-cao-thong-ke/thong-bao-tinh-hinh-chat-luong-nuoc-xam-nhap-man-tren-cac-tuyen-song-tren-dia-ban-tinh-tay-ninh--1057028" TargetMode="External"/><Relationship Id="rId340" Type="http://schemas.openxmlformats.org/officeDocument/2006/relationships/hyperlink" Target="https://tamvu.tayninh.gov.vn/bao-cao-thong-ke/thong-bao-tinh-hinh-chat-luong-nuoc-xam-nhap-man-tren-cac-tuyen-song-tren-dia-ban-tinh-tay-ninh--1057028" TargetMode="External"/><Relationship Id="rId341" Type="http://schemas.openxmlformats.org/officeDocument/2006/relationships/hyperlink" Target="https://tamvu.tayninh.gov.vn/bao-cao-thong-ke/thong-bao-tinh-hinh-chat-luong-nuoc-xam-nhap-man-tren-cac-tuyen-song-tren-dia-ban-tinh-tay-ninh--1057028" TargetMode="External"/><Relationship Id="rId342" Type="http://schemas.openxmlformats.org/officeDocument/2006/relationships/hyperlink" Target="https://tamvu.tayninh.gov.vn/bao-cao-thong-ke/thong-bao-tinh-hinh-chat-luong-nuoc-xam-nhap-man-tren-cac-tuyen-song-tren-dia-ban-tinh-tay-ninh--1057028" TargetMode="External"/><Relationship Id="rId343" Type="http://schemas.openxmlformats.org/officeDocument/2006/relationships/hyperlink" Target="https://tamvu.tayninh.gov.vn/bao-cao-thong-ke/thong-bao-tinh-hinh-chat-luong-nuoc-xam-nhap-man-tren-cac-tuyen-song-tren-dia-ban-tinh-tay-ninh--1057028" TargetMode="External"/><Relationship Id="rId344" Type="http://schemas.openxmlformats.org/officeDocument/2006/relationships/hyperlink" Target="https://baodongthap.vn/dong-thap-xam-nhap-man-tang-tro-lai-theo-ky-trieu-cuong-dau-thang-3-am-lich-a239839.html" TargetMode="External"/><Relationship Id="rId345" Type="http://schemas.openxmlformats.org/officeDocument/2006/relationships/hyperlink" Target="https://baodongthap.vn/dong-thap-xam-nhap-man-tang-tro-lai-theo-ky-trieu-cuong-dau-thang-3-am-lich-a239839.html" TargetMode="External"/><Relationship Id="rId346" Type="http://schemas.openxmlformats.org/officeDocument/2006/relationships/hyperlink" Target="https://baodongthap.vn/dong-thap-xam-nhap-man-tang-tro-lai-theo-ky-trieu-cuong-dau-thang-3-am-lich-a239839.html" TargetMode="External"/><Relationship Id="rId347" Type="http://schemas.openxmlformats.org/officeDocument/2006/relationships/hyperlink" Target="https://baodongthap.vn/dong-thap-xam-nhap-man-tang-tro-lai-theo-ky-trieu-cuong-dau-thang-3-am-lich-a239839.html" TargetMode="External"/><Relationship Id="rId348" Type="http://schemas.openxmlformats.org/officeDocument/2006/relationships/hyperlink" Target="http://thuyloitiengiang.vn/web/thuyloitiengiang/chi-tiet-tin-tuc?id=455328" TargetMode="External"/><Relationship Id="rId349" Type="http://schemas.openxmlformats.org/officeDocument/2006/relationships/hyperlink" Target="http://thuyloitiengiang.vn/web/thuyloitiengiang/chi-tiet-tin-tuc?id=455328" TargetMode="External"/><Relationship Id="rId350" Type="http://schemas.openxmlformats.org/officeDocument/2006/relationships/hyperlink" Target="http://thuyloitiengiang.vn/web/thuyloitiengiang/chi-tiet-tin-tuc?id=455328" TargetMode="External"/><Relationship Id="rId351" Type="http://schemas.openxmlformats.org/officeDocument/2006/relationships/hyperlink" Target="http://thuyloitiengiang.vn/web/thuyloitiengiang/chi-tiet-tin-tuc?id=455328" TargetMode="External"/><Relationship Id="rId352" Type="http://schemas.openxmlformats.org/officeDocument/2006/relationships/hyperlink" Target="http://thuyloitiengiang.vn/web/thuyloitiengiang/chi-tiet-tin-tuc?id=455328" TargetMode="External"/><Relationship Id="rId353" Type="http://schemas.openxmlformats.org/officeDocument/2006/relationships/hyperlink" Target="http://thuyloitiengiang.vn/web/thuyloitiengiang/chi-tiet-tin-tuc?id=455328" TargetMode="External"/><Relationship Id="rId354" Type="http://schemas.openxmlformats.org/officeDocument/2006/relationships/hyperlink" Target="http://thuyloitiengiang.vn/web/thuyloitiengiang/chi-tiet-tin-tuc?id=455328" TargetMode="External"/><Relationship Id="rId355" Type="http://schemas.openxmlformats.org/officeDocument/2006/relationships/hyperlink" Target="http://thuyloitiengiang.vn/web/thuyloitiengiang/chi-tiet-tin-tuc?id=455328" TargetMode="External"/><Relationship Id="rId356" Type="http://schemas.openxmlformats.org/officeDocument/2006/relationships/hyperlink" Target="http://thuyloitiengiang.vn/web/thuyloitiengiang/chi-tiet-tin-tuc?id=455328" TargetMode="External"/><Relationship Id="rId357" Type="http://schemas.openxmlformats.org/officeDocument/2006/relationships/hyperlink" Target="http://thuyloitiengiang.vn/web/thuyloitiengiang/chi-tiet-tin-tuc?id=455328" TargetMode="External"/><Relationship Id="rId358" Type="http://schemas.openxmlformats.org/officeDocument/2006/relationships/hyperlink" Target="http://thuyloitiengiang.vn/web/thuyloitiengiang/chi-tiet-tin-tuc?id=455328" TargetMode="External"/><Relationship Id="rId359" Type="http://schemas.openxmlformats.org/officeDocument/2006/relationships/hyperlink" Target="http://thuyloitiengiang.vn/web/thuyloitiengiang/chi-tiet-tin-tuc?id=455328" TargetMode="External"/><Relationship Id="rId360" Type="http://schemas.openxmlformats.org/officeDocument/2006/relationships/hyperlink" Target="http://thuyloitiengiang.vn/web/thuyloitiengiang/chi-tiet-tin-tuc?id=455328" TargetMode="External"/><Relationship Id="rId361" Type="http://schemas.openxmlformats.org/officeDocument/2006/relationships/hyperlink" Target="http://thuyloitiengiang.vn/web/thuyloitiengiang/chi-tiet-tin-tuc?id=455328" TargetMode="External"/><Relationship Id="rId362" Type="http://schemas.openxmlformats.org/officeDocument/2006/relationships/hyperlink" Target="http://thuyloitiengiang.vn/web/thuyloitiengiang/chi-tiet-tin-tuc?id=455328" TargetMode="External"/><Relationship Id="rId363" Type="http://schemas.openxmlformats.org/officeDocument/2006/relationships/hyperlink" Target="http://thuyloitiengiang.vn/web/thuyloitiengiang/chi-tiet-tin-tuc?id=455328" TargetMode="External"/><Relationship Id="rId364" Type="http://schemas.openxmlformats.org/officeDocument/2006/relationships/hyperlink" Target="http://thuyloitiengiang.vn/web/thuyloitiengiang/chi-tiet-tin-tuc?id=455328" TargetMode="External"/><Relationship Id="rId365" Type="http://schemas.openxmlformats.org/officeDocument/2006/relationships/hyperlink" Target="http://thuyloitiengiang.vn/web/thuyloitiengiang/chi-tiet-tin-tuc?id=455328" TargetMode="External"/><Relationship Id="rId366" Type="http://schemas.openxmlformats.org/officeDocument/2006/relationships/hyperlink" Target="http://thuyloitiengiang.vn/web/thuyloitiengiang/chi-tiet-tin-tuc?id=455328" TargetMode="External"/><Relationship Id="rId367" Type="http://schemas.openxmlformats.org/officeDocument/2006/relationships/hyperlink" Target="http://thuyloitiengiang.vn/web/thuyloitiengiang/chi-tiet-tin-tuc?id=455328" TargetMode="External"/><Relationship Id="rId368" Type="http://schemas.openxmlformats.org/officeDocument/2006/relationships/hyperlink" Target="http://thuyloitiengiang.vn/web/thuyloitiengiang/chi-tiet-tin-tuc?id=455328" TargetMode="External"/><Relationship Id="rId369" Type="http://schemas.openxmlformats.org/officeDocument/2006/relationships/hyperlink" Target="http://thuyloitiengiang.vn/web/thuyloitiengiang/chi-tiet-tin-tuc?id=455328" TargetMode="External"/><Relationship Id="rId370" Type="http://schemas.openxmlformats.org/officeDocument/2006/relationships/hyperlink" Target="http://thuyloitiengiang.vn/web/thuyloitiengiang/chi-tiet-tin-tuc?id=455328" TargetMode="External"/><Relationship Id="rId371" Type="http://schemas.openxmlformats.org/officeDocument/2006/relationships/hyperlink" Target="http://thuyloitiengiang.vn/web/thuyloitiengiang/chi-tiet-tin-tuc?id=455328" TargetMode="External"/><Relationship Id="rId372" Type="http://schemas.openxmlformats.org/officeDocument/2006/relationships/hyperlink" Target="http://thuyloitiengiang.vn/web/thuyloitiengiang/chi-tiet-tin-tuc?id=455328" TargetMode="External"/><Relationship Id="rId373" Type="http://schemas.openxmlformats.org/officeDocument/2006/relationships/hyperlink" Target="http://thuyloitiengiang.vn/web/thuyloitiengiang/chi-tiet-tin-tuc?id=455328" TargetMode="External"/><Relationship Id="rId374" Type="http://schemas.openxmlformats.org/officeDocument/2006/relationships/hyperlink" Target="http://thuyloitiengiang.vn/web/thuyloitiengiang/chi-tiet-tin-tuc?id=455332" TargetMode="External"/><Relationship Id="rId375" Type="http://schemas.openxmlformats.org/officeDocument/2006/relationships/hyperlink" Target="http://thuyloitiengiang.vn/web/thuyloitiengiang/chi-tiet-tin-tuc?id=455332" TargetMode="External"/><Relationship Id="rId376" Type="http://schemas.openxmlformats.org/officeDocument/2006/relationships/hyperlink" Target="http://thuyloitiengiang.vn/web/thuyloitiengiang/chi-tiet-tin-tuc?id=455332" TargetMode="External"/><Relationship Id="rId377" Type="http://schemas.openxmlformats.org/officeDocument/2006/relationships/hyperlink" Target="http://thuyloitiengiang.vn/web/thuyloitiengiang/chi-tiet-tin-tuc?id=455332" TargetMode="External"/><Relationship Id="rId378" Type="http://schemas.openxmlformats.org/officeDocument/2006/relationships/hyperlink" Target="http://thuyloitiengiang.vn/web/thuyloitiengiang/chi-tiet-tin-tuc?id=455332" TargetMode="External"/><Relationship Id="rId379" Type="http://schemas.openxmlformats.org/officeDocument/2006/relationships/hyperlink" Target="http://thuyloitiengiang.vn/web/thuyloitiengiang/chi-tiet-tin-tuc?id=455332" TargetMode="External"/><Relationship Id="rId380" Type="http://schemas.openxmlformats.org/officeDocument/2006/relationships/hyperlink" Target="http://thuyloitiengiang.vn/web/thuyloitiengiang/chi-tiet-tin-tuc?id=455332" TargetMode="External"/><Relationship Id="rId381" Type="http://schemas.openxmlformats.org/officeDocument/2006/relationships/hyperlink" Target="http://thuyloitiengiang.vn/web/thuyloitiengiang/chi-tiet-tin-tuc?id=455332" TargetMode="External"/><Relationship Id="rId382" Type="http://schemas.openxmlformats.org/officeDocument/2006/relationships/hyperlink" Target="http://thuyloitiengiang.vn/web/thuyloitiengiang/chi-tiet-tin-tuc?id=455332" TargetMode="External"/><Relationship Id="rId383" Type="http://schemas.openxmlformats.org/officeDocument/2006/relationships/hyperlink" Target="http://thuyloitiengiang.vn/web/thuyloitiengiang/chi-tiet-tin-tuc?id=455332" TargetMode="External"/><Relationship Id="rId384" Type="http://schemas.openxmlformats.org/officeDocument/2006/relationships/hyperlink" Target="http://thuyloitiengiang.vn/web/thuyloitiengiang/chi-tiet-tin-tuc?id=455332" TargetMode="External"/><Relationship Id="rId385" Type="http://schemas.openxmlformats.org/officeDocument/2006/relationships/hyperlink" Target="http://thuyloitiengiang.vn/web/thuyloitiengiang/chi-tiet-tin-tuc?id=455332" TargetMode="External"/><Relationship Id="rId386" Type="http://schemas.openxmlformats.org/officeDocument/2006/relationships/hyperlink" Target="http://thuyloitiengiang.vn/web/thuyloitiengiang/chi-tiet-tin-tuc?id=455332" TargetMode="External"/><Relationship Id="rId387" Type="http://schemas.openxmlformats.org/officeDocument/2006/relationships/hyperlink" Target="http://thuyloitiengiang.vn/web/thuyloitiengiang/chi-tiet-tin-tuc?id=455336" TargetMode="External"/><Relationship Id="rId388" Type="http://schemas.openxmlformats.org/officeDocument/2006/relationships/hyperlink" Target="http://thuyloitiengiang.vn/web/thuyloitiengiang/chi-tiet-tin-tuc?id=455336" TargetMode="External"/><Relationship Id="rId389" Type="http://schemas.openxmlformats.org/officeDocument/2006/relationships/hyperlink" Target="http://thuyloitiengiang.vn/web/thuyloitiengiang/chi-tiet-tin-tuc?id=455336" TargetMode="External"/><Relationship Id="rId390" Type="http://schemas.openxmlformats.org/officeDocument/2006/relationships/hyperlink" Target="http://thuyloitiengiang.vn/web/thuyloitiengiang/chi-tiet-tin-tuc?id=455336" TargetMode="External"/><Relationship Id="rId391" Type="http://schemas.openxmlformats.org/officeDocument/2006/relationships/hyperlink" Target="http://thuyloitiengiang.vn/web/thuyloitiengiang/chi-tiet-tin-tuc?id=455336" TargetMode="External"/><Relationship Id="rId392" Type="http://schemas.openxmlformats.org/officeDocument/2006/relationships/hyperlink" Target="http://thuyloitiengiang.vn/web/thuyloitiengiang/chi-tiet-tin-tuc?id=455336" TargetMode="External"/><Relationship Id="rId393" Type="http://schemas.openxmlformats.org/officeDocument/2006/relationships/hyperlink" Target="http://thuyloitiengiang.vn/web/thuyloitiengiang/chi-tiet-tin-tuc?id=455336" TargetMode="External"/><Relationship Id="rId394" Type="http://schemas.openxmlformats.org/officeDocument/2006/relationships/hyperlink" Target="http://thuyloitiengiang.vn/web/thuyloitiengiang/chi-tiet-tin-tuc?id=455336" TargetMode="External"/><Relationship Id="rId395" Type="http://schemas.openxmlformats.org/officeDocument/2006/relationships/hyperlink" Target="http://thuyloitiengiang.vn/web/thuyloitiengiang/chi-tiet-tin-tuc?id=455336" TargetMode="External"/><Relationship Id="rId396" Type="http://schemas.openxmlformats.org/officeDocument/2006/relationships/hyperlink" Target="http://thuyloitiengiang.vn/web/thuyloitiengiang/chi-tiet-tin-tuc?id=455336" TargetMode="External"/><Relationship Id="rId397" Type="http://schemas.openxmlformats.org/officeDocument/2006/relationships/hyperlink" Target="http://thuyloitiengiang.vn/web/thuyloitiengiang/chi-tiet-tin-tuc?id=455336" TargetMode="External"/><Relationship Id="rId398" Type="http://schemas.openxmlformats.org/officeDocument/2006/relationships/hyperlink" Target="http://thuyloitiengiang.vn/web/thuyloitiengiang/chi-tiet-tin-tuc?id=455336" TargetMode="External"/><Relationship Id="rId399" Type="http://schemas.openxmlformats.org/officeDocument/2006/relationships/hyperlink" Target="http://thuyloitiengiang.vn/web/thuyloitiengiang/chi-tiet-tin-tuc?id=455336" TargetMode="External"/><Relationship Id="rId400" Type="http://schemas.openxmlformats.org/officeDocument/2006/relationships/hyperlink" Target="http://thuyloitiengiang.vn/web/thuyloitiengiang/chi-tiet-tin-tuc?id=455412" TargetMode="External"/><Relationship Id="rId401" Type="http://schemas.openxmlformats.org/officeDocument/2006/relationships/hyperlink" Target="http://thuyloitiengiang.vn/web/thuyloitiengiang/chi-tiet-tin-tuc?id=455412" TargetMode="External"/><Relationship Id="rId402" Type="http://schemas.openxmlformats.org/officeDocument/2006/relationships/hyperlink" Target="http://thuyloitiengiang.vn/web/thuyloitiengiang/chi-tiet-tin-tuc?id=455412" TargetMode="External"/><Relationship Id="rId403" Type="http://schemas.openxmlformats.org/officeDocument/2006/relationships/hyperlink" Target="http://thuyloitiengiang.vn/web/thuyloitiengiang/chi-tiet-tin-tuc?id=455412" TargetMode="External"/><Relationship Id="rId404" Type="http://schemas.openxmlformats.org/officeDocument/2006/relationships/hyperlink" Target="http://thuyloitiengiang.vn/web/thuyloitiengiang/chi-tiet-tin-tuc?id=455412" TargetMode="External"/><Relationship Id="rId405" Type="http://schemas.openxmlformats.org/officeDocument/2006/relationships/hyperlink" Target="http://thuyloitiengiang.vn/web/thuyloitiengiang/chi-tiet-tin-tuc?id=455412" TargetMode="External"/><Relationship Id="rId406" Type="http://schemas.openxmlformats.org/officeDocument/2006/relationships/hyperlink" Target="http://thuyloitiengiang.vn/web/thuyloitiengiang/chi-tiet-tin-tuc?id=455412" TargetMode="External"/><Relationship Id="rId407" Type="http://schemas.openxmlformats.org/officeDocument/2006/relationships/hyperlink" Target="http://thuyloitiengiang.vn/web/thuyloitiengiang/chi-tiet-tin-tuc?id=455412" TargetMode="External"/><Relationship Id="rId408" Type="http://schemas.openxmlformats.org/officeDocument/2006/relationships/hyperlink" Target="http://thuyloitiengiang.vn/web/thuyloitiengiang/chi-tiet-tin-tuc?id=455412" TargetMode="External"/><Relationship Id="rId409" Type="http://schemas.openxmlformats.org/officeDocument/2006/relationships/hyperlink" Target="http://thuyloitiengiang.vn/web/thuyloitiengiang/chi-tiet-tin-tuc?id=455412" TargetMode="External"/><Relationship Id="rId410" Type="http://schemas.openxmlformats.org/officeDocument/2006/relationships/hyperlink" Target="http://thuyloitiengiang.vn/web/thuyloitiengiang/chi-tiet-tin-tuc?id=455412" TargetMode="External"/><Relationship Id="rId411" Type="http://schemas.openxmlformats.org/officeDocument/2006/relationships/hyperlink" Target="http://thuyloitiengiang.vn/web/thuyloitiengiang/chi-tiet-tin-tuc?id=455412" TargetMode="External"/><Relationship Id="rId412" Type="http://schemas.openxmlformats.org/officeDocument/2006/relationships/hyperlink" Target="http://thuyloitiengiang.vn/web/thuyloitiengiang/chi-tiet-tin-tuc?id=455412" TargetMode="External"/><Relationship Id="rId413" Type="http://schemas.openxmlformats.org/officeDocument/2006/relationships/hyperlink" Target="http://thuyloitiengiang.vn/web/thuyloitiengiang/chi-tiet-tin-tuc?id=455416" TargetMode="External"/><Relationship Id="rId414" Type="http://schemas.openxmlformats.org/officeDocument/2006/relationships/hyperlink" Target="http://thuyloitiengiang.vn/web/thuyloitiengiang/chi-tiet-tin-tuc?id=455416" TargetMode="External"/><Relationship Id="rId415" Type="http://schemas.openxmlformats.org/officeDocument/2006/relationships/hyperlink" Target="http://thuyloitiengiang.vn/web/thuyloitiengiang/chi-tiet-tin-tuc?id=455416" TargetMode="External"/><Relationship Id="rId416" Type="http://schemas.openxmlformats.org/officeDocument/2006/relationships/hyperlink" Target="http://thuyloitiengiang.vn/web/thuyloitiengiang/chi-tiet-tin-tuc?id=455416" TargetMode="External"/><Relationship Id="rId417" Type="http://schemas.openxmlformats.org/officeDocument/2006/relationships/hyperlink" Target="http://thuyloitiengiang.vn/web/thuyloitiengiang/chi-tiet-tin-tuc?id=455416" TargetMode="External"/><Relationship Id="rId418" Type="http://schemas.openxmlformats.org/officeDocument/2006/relationships/hyperlink" Target="http://thuyloitiengiang.vn/web/thuyloitiengiang/chi-tiet-tin-tuc?id=455416" TargetMode="External"/><Relationship Id="rId419" Type="http://schemas.openxmlformats.org/officeDocument/2006/relationships/hyperlink" Target="http://thuyloitiengiang.vn/web/thuyloitiengiang/chi-tiet-tin-tuc?id=455416" TargetMode="External"/><Relationship Id="rId420" Type="http://schemas.openxmlformats.org/officeDocument/2006/relationships/hyperlink" Target="http://thuyloitiengiang.vn/web/thuyloitiengiang/chi-tiet-tin-tuc?id=455416" TargetMode="External"/><Relationship Id="rId421" Type="http://schemas.openxmlformats.org/officeDocument/2006/relationships/hyperlink" Target="http://thuyloitiengiang.vn/web/thuyloitiengiang/chi-tiet-tin-tuc?id=455416" TargetMode="External"/><Relationship Id="rId422" Type="http://schemas.openxmlformats.org/officeDocument/2006/relationships/hyperlink" Target="http://thuyloitiengiang.vn/web/thuyloitiengiang/chi-tiet-tin-tuc?id=455416" TargetMode="External"/><Relationship Id="rId423" Type="http://schemas.openxmlformats.org/officeDocument/2006/relationships/hyperlink" Target="http://thuyloitiengiang.vn/web/thuyloitiengiang/chi-tiet-tin-tuc?id=455416" TargetMode="External"/><Relationship Id="rId424" Type="http://schemas.openxmlformats.org/officeDocument/2006/relationships/hyperlink" Target="http://thuyloitiengiang.vn/web/thuyloitiengiang/chi-tiet-tin-tuc?id=455416" TargetMode="External"/><Relationship Id="rId425" Type="http://schemas.openxmlformats.org/officeDocument/2006/relationships/hyperlink" Target="http://thuyloitiengiang.vn/web/thuyloitiengiang/chi-tiet-tin-tuc?id=455416" TargetMode="External"/><Relationship Id="rId426" Type="http://schemas.openxmlformats.org/officeDocument/2006/relationships/hyperlink" Target="http://thuyloitiengiang.vn/web/thuyloitiengiang/chi-tiet-tin-tuc?id=464847" TargetMode="External"/><Relationship Id="rId427" Type="http://schemas.openxmlformats.org/officeDocument/2006/relationships/hyperlink" Target="http://thuyloitiengiang.vn/web/thuyloitiengiang/chi-tiet-tin-tuc?id=464847" TargetMode="External"/><Relationship Id="rId428" Type="http://schemas.openxmlformats.org/officeDocument/2006/relationships/hyperlink" Target="http://thuyloitiengiang.vn/web/thuyloitiengiang/chi-tiet-tin-tuc?id=464847" TargetMode="External"/><Relationship Id="rId429" Type="http://schemas.openxmlformats.org/officeDocument/2006/relationships/hyperlink" Target="http://thuyloitiengiang.vn/web/thuyloitiengiang/chi-tiet-tin-tuc?id=464847" TargetMode="External"/><Relationship Id="rId430" Type="http://schemas.openxmlformats.org/officeDocument/2006/relationships/hyperlink" Target="http://thuyloitiengiang.vn/web/thuyloitiengiang/chi-tiet-tin-tuc?id=464847" TargetMode="External"/><Relationship Id="rId431" Type="http://schemas.openxmlformats.org/officeDocument/2006/relationships/hyperlink" Target="http://thuyloitiengiang.vn/web/thuyloitiengiang/chi-tiet-tin-tuc?id=464847" TargetMode="External"/><Relationship Id="rId432" Type="http://schemas.openxmlformats.org/officeDocument/2006/relationships/hyperlink" Target="http://thuyloitiengiang.vn/web/thuyloitiengiang/chi-tiet-tin-tuc?id=464847" TargetMode="External"/><Relationship Id="rId433" Type="http://schemas.openxmlformats.org/officeDocument/2006/relationships/hyperlink" Target="http://thuyloitiengiang.vn/web/thuyloitiengiang/chi-tiet-tin-tuc?id=464847" TargetMode="External"/><Relationship Id="rId434" Type="http://schemas.openxmlformats.org/officeDocument/2006/relationships/hyperlink" Target="http://thuyloitiengiang.vn/web/thuyloitiengiang/chi-tiet-tin-tuc?id=464847" TargetMode="External"/><Relationship Id="rId435" Type="http://schemas.openxmlformats.org/officeDocument/2006/relationships/hyperlink" Target="http://thuyloitiengiang.vn/web/thuyloitiengiang/chi-tiet-tin-tuc?id=464847" TargetMode="External"/><Relationship Id="rId436" Type="http://schemas.openxmlformats.org/officeDocument/2006/relationships/hyperlink" Target="http://thuyloitiengiang.vn/web/thuyloitiengiang/chi-tiet-tin-tuc?id=464847" TargetMode="External"/><Relationship Id="rId437" Type="http://schemas.openxmlformats.org/officeDocument/2006/relationships/hyperlink" Target="http://thuyloitiengiang.vn/web/thuyloitiengiang/chi-tiet-tin-tuc?id=464847" TargetMode="External"/><Relationship Id="rId438" Type="http://schemas.openxmlformats.org/officeDocument/2006/relationships/hyperlink" Target="http://thuyloitiengiang.vn/web/thuyloitiengiang/chi-tiet-tin-tuc?id=464847" TargetMode="External"/><Relationship Id="rId439" Type="http://schemas.openxmlformats.org/officeDocument/2006/relationships/hyperlink" Target="http://thuyloitiengiang.vn/web/thuyloitiengiang/chi-tiet-tin-tuc?id=464847" TargetMode="External"/><Relationship Id="rId440" Type="http://schemas.openxmlformats.org/officeDocument/2006/relationships/hyperlink" Target="http://thuyloitiengiang.vn/web/thuyloitiengiang/chi-tiet-tin-tuc?id=464847" TargetMode="External"/><Relationship Id="rId441" Type="http://schemas.openxmlformats.org/officeDocument/2006/relationships/hyperlink" Target="http://thuyloitiengiang.vn/web/thuyloitiengiang/chi-tiet-tin-tuc?id=464847" TargetMode="External"/><Relationship Id="rId442" Type="http://schemas.openxmlformats.org/officeDocument/2006/relationships/hyperlink" Target="http://thuyloitiengiang.vn/web/thuyloitiengiang/chi-tiet-tin-tuc?id=464854" TargetMode="External"/><Relationship Id="rId443" Type="http://schemas.openxmlformats.org/officeDocument/2006/relationships/hyperlink" Target="http://thuyloitiengiang.vn/web/thuyloitiengiang/chi-tiet-tin-tuc?id=464847" TargetMode="External"/><Relationship Id="rId444" Type="http://schemas.openxmlformats.org/officeDocument/2006/relationships/hyperlink" Target="http://thuyloitiengiang.vn/web/thuyloitiengiang/chi-tiet-tin-tuc?id=464851" TargetMode="External"/><Relationship Id="rId445" Type="http://schemas.openxmlformats.org/officeDocument/2006/relationships/hyperlink" Target="http://thuyloitiengiang.vn/web/thuyloitiengiang/chi-tiet-tin-tuc?id=464851" TargetMode="External"/><Relationship Id="rId446" Type="http://schemas.openxmlformats.org/officeDocument/2006/relationships/hyperlink" Target="http://thuyloitiengiang.vn/web/thuyloitiengiang/chi-tiet-tin-tuc?id=464847" TargetMode="External"/><Relationship Id="rId447" Type="http://schemas.openxmlformats.org/officeDocument/2006/relationships/hyperlink" Target="http://thuyloitiengiang.vn/web/thuyloitiengiang/chi-tiet-tin-tuc?id=464851" TargetMode="External"/><Relationship Id="rId448" Type="http://schemas.openxmlformats.org/officeDocument/2006/relationships/hyperlink" Target="http://thuyloitiengiang.vn/web/thuyloitiengiang/chi-tiet-tin-tuc?id=464854" TargetMode="External"/><Relationship Id="rId449" Type="http://schemas.openxmlformats.org/officeDocument/2006/relationships/hyperlink" Target="http://thuyloitiengiang.vn/web/thuyloitiengiang/chi-tiet-tin-tuc?id=464854" TargetMode="External"/><Relationship Id="rId450" Type="http://schemas.openxmlformats.org/officeDocument/2006/relationships/hyperlink" Target="http://thuyloitiengiang.vn/web/thuyloitiengiang/chi-tiet-tin-tuc?id=464847" TargetMode="External"/><Relationship Id="rId451" Type="http://schemas.openxmlformats.org/officeDocument/2006/relationships/hyperlink" Target="http://thuyloitiengiang.vn/web/thuyloitiengiang/chi-tiet-tin-tuc?id=464851" TargetMode="External"/><Relationship Id="rId452" Type="http://schemas.openxmlformats.org/officeDocument/2006/relationships/hyperlink" Target="http://thuyloitiengiang.vn/web/thuyloitiengiang/chi-tiet-tin-tuc?id=464854" TargetMode="External"/><Relationship Id="rId453" Type="http://schemas.openxmlformats.org/officeDocument/2006/relationships/hyperlink" Target="http://thuyloitiengiang.vn/web/thuyloitiengiang/chi-tiet-tin-tuc?id=464851" TargetMode="External"/><Relationship Id="rId454" Type="http://schemas.openxmlformats.org/officeDocument/2006/relationships/hyperlink" Target="http://thuyloitiengiang.vn/web/thuyloitiengiang/chi-tiet-tin-tuc?id=464851" TargetMode="External"/><Relationship Id="rId455" Type="http://schemas.openxmlformats.org/officeDocument/2006/relationships/hyperlink" Target="http://thuyloitiengiang.vn/web/thuyloitiengiang/chi-tiet-tin-tuc?id=464854" TargetMode="External"/><Relationship Id="rId456" Type="http://schemas.openxmlformats.org/officeDocument/2006/relationships/hyperlink" Target="http://thuyloitiengiang.vn/web/thuyloitiengiang/chi-tiet-tin-tuc?id=464851" TargetMode="External"/><Relationship Id="rId457" Type="http://schemas.openxmlformats.org/officeDocument/2006/relationships/hyperlink" Target="http://thuyloitiengiang.vn/web/thuyloitiengiang/chi-tiet-tin-tuc?id=464851" TargetMode="External"/><Relationship Id="rId458" Type="http://schemas.openxmlformats.org/officeDocument/2006/relationships/hyperlink" Target="http://thuyloitiengiang.vn/web/thuyloitiengiang/chi-tiet-tin-tuc?id=464854" TargetMode="External"/><Relationship Id="rId459" Type="http://schemas.openxmlformats.org/officeDocument/2006/relationships/hyperlink" Target="http://thuyloitiengiang.vn/web/thuyloitiengiang/chi-tiet-tin-tuc?id=464854" TargetMode="External"/><Relationship Id="rId460" Type="http://schemas.openxmlformats.org/officeDocument/2006/relationships/hyperlink" Target="http://thuyloitiengiang.vn/web/thuyloitiengiang/chi-tiet-tin-tuc?id=464851" TargetMode="External"/><Relationship Id="rId461" Type="http://schemas.openxmlformats.org/officeDocument/2006/relationships/hyperlink" Target="http://thuyloitiengiang.vn/web/thuyloitiengiang/chi-tiet-tin-tuc?id=464851" TargetMode="External"/><Relationship Id="rId462" Type="http://schemas.openxmlformats.org/officeDocument/2006/relationships/hyperlink" Target="http://thuyloitiengiang.vn/web/thuyloitiengiang/chi-tiet-tin-tuc?id=464854" TargetMode="External"/><Relationship Id="rId463" Type="http://schemas.openxmlformats.org/officeDocument/2006/relationships/hyperlink" Target="http://thuyloitiengiang.vn/web/thuyloitiengiang/chi-tiet-tin-tuc?id=464854" TargetMode="External"/><Relationship Id="rId464" Type="http://schemas.openxmlformats.org/officeDocument/2006/relationships/hyperlink" Target="http://thuyloitiengiang.vn/web/thuyloitiengiang/chi-tiet-tin-tuc?id=464854" TargetMode="External"/><Relationship Id="rId465" Type="http://schemas.openxmlformats.org/officeDocument/2006/relationships/hyperlink" Target="http://thuyloitiengiang.vn/web/thuyloitiengiang/chi-tiet-tin-tuc?id=464854" TargetMode="External"/><Relationship Id="rId466" Type="http://schemas.openxmlformats.org/officeDocument/2006/relationships/hyperlink" Target="http://thuyloitiengiang.vn/web/thuyloitiengiang/chi-tiet-tin-tuc?id=464854" TargetMode="External"/><Relationship Id="rId467" Type="http://schemas.openxmlformats.org/officeDocument/2006/relationships/hyperlink" Target="http://thuyloitiengiang.vn/web/thuyloitiengiang/chi-tiet-tin-tuc?id=464854" TargetMode="External"/><Relationship Id="rId468" Type="http://schemas.openxmlformats.org/officeDocument/2006/relationships/hyperlink" Target="http://thuyloitiengiang.vn/web/thuyloitiengiang/chi-tiet-tin-tuc?id=464854" TargetMode="External"/><Relationship Id="rId469" Type="http://schemas.openxmlformats.org/officeDocument/2006/relationships/hyperlink" Target="http://thuyloitiengiang.vn/ja/web/thuyloitiengiang/chi-tiet-tin-tuc?id=520619" TargetMode="External"/><Relationship Id="rId470" Type="http://schemas.openxmlformats.org/officeDocument/2006/relationships/hyperlink" Target="http://thuyloitiengiang.vn/ja/web/thuyloitiengiang/chi-tiet-tin-tuc?id=520619" TargetMode="External"/><Relationship Id="rId471" Type="http://schemas.openxmlformats.org/officeDocument/2006/relationships/hyperlink" Target="http://thuyloitiengiang.vn/ja/web/thuyloitiengiang/chi-tiet-tin-tuc?id=520619" TargetMode="External"/><Relationship Id="rId472" Type="http://schemas.openxmlformats.org/officeDocument/2006/relationships/hyperlink" Target="http://thuyloitiengiang.vn/ja/web/thuyloitiengiang/chi-tiet-tin-tuc?id=520619" TargetMode="External"/><Relationship Id="rId473" Type="http://schemas.openxmlformats.org/officeDocument/2006/relationships/hyperlink" Target="http://thuyloitiengiang.vn/ja/web/thuyloitiengiang/chi-tiet-tin-tuc?id=520619" TargetMode="External"/><Relationship Id="rId474" Type="http://schemas.openxmlformats.org/officeDocument/2006/relationships/hyperlink" Target="http://thuyloitiengiang.vn/ja/web/thuyloitiengiang/chi-tiet-tin-tuc?id=520619" TargetMode="External"/><Relationship Id="rId475" Type="http://schemas.openxmlformats.org/officeDocument/2006/relationships/hyperlink" Target="http://thuyloitiengiang.vn/ja/web/thuyloitiengiang/chi-tiet-tin-tuc?id=520619" TargetMode="External"/><Relationship Id="rId476" Type="http://schemas.openxmlformats.org/officeDocument/2006/relationships/hyperlink" Target="http://thuyloitiengiang.vn/ja/web/thuyloitiengiang/chi-tiet-tin-tuc?id=520619" TargetMode="External"/><Relationship Id="rId477" Type="http://schemas.openxmlformats.org/officeDocument/2006/relationships/hyperlink" Target="http://thuyloitiengiang.vn/ja/web/thuyloitiengiang/chi-tiet-tin-tuc?id=520619" TargetMode="External"/><Relationship Id="rId478" Type="http://schemas.openxmlformats.org/officeDocument/2006/relationships/hyperlink" Target="http://thuyloitiengiang.vn/ja/web/thuyloitiengiang/chi-tiet-tin-tuc?id=520619" TargetMode="External"/><Relationship Id="rId479" Type="http://schemas.openxmlformats.org/officeDocument/2006/relationships/hyperlink" Target="http://thuyloitiengiang.vn/ja/web/thuyloitiengiang/chi-tiet-tin-tuc?id=520619" TargetMode="External"/><Relationship Id="rId480" Type="http://schemas.openxmlformats.org/officeDocument/2006/relationships/hyperlink" Target="http://thuyloitiengiang.vn/ja/web/thuyloitiengiang/chi-tiet-tin-tuc?id=520619" TargetMode="External"/><Relationship Id="rId481" Type="http://schemas.openxmlformats.org/officeDocument/2006/relationships/hyperlink" Target="http://thuyloitiengiang.vn/ja/web/thuyloitiengiang/chi-tiet-tin-tuc?id=520619" TargetMode="External"/><Relationship Id="rId482" Type="http://schemas.openxmlformats.org/officeDocument/2006/relationships/hyperlink" Target="http://thuyloitiengiang.vn/ja/web/thuyloitiengiang/chi-tiet-tin-tuc?id=520619" TargetMode="External"/><Relationship Id="rId483" Type="http://schemas.openxmlformats.org/officeDocument/2006/relationships/hyperlink" Target="http://thuyloitiengiang.vn/ja/web/thuyloitiengiang/chi-tiet-tin-tuc?id=520619" TargetMode="External"/><Relationship Id="rId484" Type="http://schemas.openxmlformats.org/officeDocument/2006/relationships/hyperlink" Target="http://thuyloitiengiang.vn/ja/web/thuyloitiengiang/chi-tiet-tin-tuc?id=520621" TargetMode="External"/><Relationship Id="rId485" Type="http://schemas.openxmlformats.org/officeDocument/2006/relationships/hyperlink" Target="http://thuyloitiengiang.vn/ja/web/thuyloitiengiang/chi-tiet-tin-tuc?id=520619" TargetMode="External"/><Relationship Id="rId486" Type="http://schemas.openxmlformats.org/officeDocument/2006/relationships/hyperlink" Target="http://thuyloitiengiang.vn/ja/web/thuyloitiengiang/chi-tiet-tin-tuc?id=520619" TargetMode="External"/><Relationship Id="rId487" Type="http://schemas.openxmlformats.org/officeDocument/2006/relationships/hyperlink" Target="http://thuyloitiengiang.vn/ja/web/thuyloitiengiang/chi-tiet-tin-tuc?id=520621" TargetMode="External"/><Relationship Id="rId488" Type="http://schemas.openxmlformats.org/officeDocument/2006/relationships/hyperlink" Target="http://thuyloitiengiang.vn/ja/web/thuyloitiengiang/chi-tiet-tin-tuc?id=520619" TargetMode="External"/><Relationship Id="rId489" Type="http://schemas.openxmlformats.org/officeDocument/2006/relationships/hyperlink" Target="http://thuyloitiengiang.vn/ja/web/thuyloitiengiang/chi-tiet-tin-tuc?id=520619" TargetMode="External"/><Relationship Id="rId490" Type="http://schemas.openxmlformats.org/officeDocument/2006/relationships/hyperlink" Target="http://thuyloitiengiang.vn/ja/web/thuyloitiengiang/chi-tiet-tin-tuc?id=520619" TargetMode="External"/><Relationship Id="rId491" Type="http://schemas.openxmlformats.org/officeDocument/2006/relationships/hyperlink" Target="http://thuyloitiengiang.vn/ja/web/thuyloitiengiang/chi-tiet-tin-tuc?id=520619" TargetMode="External"/><Relationship Id="rId492" Type="http://schemas.openxmlformats.org/officeDocument/2006/relationships/hyperlink" Target="http://thuyloitiengiang.vn/ja/web/thuyloitiengiang/chi-tiet-tin-tuc?id=520621" TargetMode="External"/><Relationship Id="rId493" Type="http://schemas.openxmlformats.org/officeDocument/2006/relationships/hyperlink" Target="http://thuyloitiengiang.vn/ja/web/thuyloitiengiang/chi-tiet-tin-tuc?id=520621" TargetMode="External"/><Relationship Id="rId494" Type="http://schemas.openxmlformats.org/officeDocument/2006/relationships/hyperlink" Target="http://thuyloitiengiang.vn/ja/web/thuyloitiengiang/chi-tiet-tin-tuc?id=520621" TargetMode="External"/><Relationship Id="rId495" Type="http://schemas.openxmlformats.org/officeDocument/2006/relationships/hyperlink" Target="http://thuyloitiengiang.vn/ja/web/thuyloitiengiang/chi-tiet-tin-tuc?id=520623" TargetMode="External"/><Relationship Id="rId496" Type="http://schemas.openxmlformats.org/officeDocument/2006/relationships/hyperlink" Target="http://thuyloitiengiang.vn/ja/web/thuyloitiengiang/chi-tiet-tin-tuc?id=520621" TargetMode="External"/><Relationship Id="rId497" Type="http://schemas.openxmlformats.org/officeDocument/2006/relationships/hyperlink" Target="http://thuyloitiengiang.vn/ja/web/thuyloitiengiang/chi-tiet-tin-tuc?id=520621" TargetMode="External"/><Relationship Id="rId498" Type="http://schemas.openxmlformats.org/officeDocument/2006/relationships/hyperlink" Target="http://thuyloitiengiang.vn/ja/web/thuyloitiengiang/chi-tiet-tin-tuc?id=520623" TargetMode="External"/><Relationship Id="rId499" Type="http://schemas.openxmlformats.org/officeDocument/2006/relationships/hyperlink" Target="http://thuyloitiengiang.vn/ja/web/thuyloitiengiang/chi-tiet-tin-tuc?id=520621" TargetMode="External"/><Relationship Id="rId500" Type="http://schemas.openxmlformats.org/officeDocument/2006/relationships/hyperlink" Target="http://thuyloitiengiang.vn/ja/web/thuyloitiengiang/chi-tiet-tin-tuc?id=520621" TargetMode="External"/><Relationship Id="rId501" Type="http://schemas.openxmlformats.org/officeDocument/2006/relationships/hyperlink" Target="http://thuyloitiengiang.vn/ja/web/thuyloitiengiang/chi-tiet-tin-tuc?id=520621" TargetMode="External"/><Relationship Id="rId502" Type="http://schemas.openxmlformats.org/officeDocument/2006/relationships/hyperlink" Target="http://thuyloitiengiang.vn/ja/web/thuyloitiengiang/chi-tiet-tin-tuc?id=520621" TargetMode="External"/><Relationship Id="rId503" Type="http://schemas.openxmlformats.org/officeDocument/2006/relationships/hyperlink" Target="http://thuyloitiengiang.vn/ja/web/thuyloitiengiang/chi-tiet-tin-tuc?id=520623" TargetMode="External"/><Relationship Id="rId504" Type="http://schemas.openxmlformats.org/officeDocument/2006/relationships/hyperlink" Target="http://thuyloitiengiang.vn/ja/web/thuyloitiengiang/chi-tiet-tin-tuc?id=520623" TargetMode="External"/><Relationship Id="rId505" Type="http://schemas.openxmlformats.org/officeDocument/2006/relationships/hyperlink" Target="http://thuyloitiengiang.vn/ja/web/thuyloitiengiang/chi-tiet-tin-tuc?id=520623" TargetMode="External"/><Relationship Id="rId506" Type="http://schemas.openxmlformats.org/officeDocument/2006/relationships/hyperlink" Target="http://thuyloitiengiang.vn/en/web/thuyloitiengiang/chi-tiet-tin-tuc?id=520630" TargetMode="External"/><Relationship Id="rId507" Type="http://schemas.openxmlformats.org/officeDocument/2006/relationships/hyperlink" Target="http://thuyloitiengiang.vn/ja/web/thuyloitiengiang/chi-tiet-tin-tuc?id=520623" TargetMode="External"/><Relationship Id="rId508" Type="http://schemas.openxmlformats.org/officeDocument/2006/relationships/hyperlink" Target="http://thuyloitiengiang.vn/ja/web/thuyloitiengiang/chi-tiet-tin-tuc?id=520623" TargetMode="External"/><Relationship Id="rId509" Type="http://schemas.openxmlformats.org/officeDocument/2006/relationships/hyperlink" Target="http://thuyloitiengiang.vn/en/web/thuyloitiengiang/chi-tiet-tin-tuc?id=520630" TargetMode="External"/><Relationship Id="rId510" Type="http://schemas.openxmlformats.org/officeDocument/2006/relationships/hyperlink" Target="http://thuyloitiengiang.vn/ja/web/thuyloitiengiang/chi-tiet-tin-tuc?id=520623" TargetMode="External"/><Relationship Id="rId511" Type="http://schemas.openxmlformats.org/officeDocument/2006/relationships/hyperlink" Target="http://thuyloitiengiang.vn/ja/web/thuyloitiengiang/chi-tiet-tin-tuc?id=520623" TargetMode="External"/><Relationship Id="rId512" Type="http://schemas.openxmlformats.org/officeDocument/2006/relationships/hyperlink" Target="http://thuyloitiengiang.vn/ja/web/thuyloitiengiang/chi-tiet-tin-tuc?id=520623" TargetMode="External"/><Relationship Id="rId513" Type="http://schemas.openxmlformats.org/officeDocument/2006/relationships/hyperlink" Target="http://thuyloitiengiang.vn/ja/web/thuyloitiengiang/chi-tiet-tin-tuc?id=520623" TargetMode="External"/><Relationship Id="rId514" Type="http://schemas.openxmlformats.org/officeDocument/2006/relationships/hyperlink" Target="http://thuyloitiengiang.vn/en/web/thuyloitiengiang/chi-tiet-tin-tuc?id=520630" TargetMode="External"/><Relationship Id="rId515" Type="http://schemas.openxmlformats.org/officeDocument/2006/relationships/hyperlink" Target="http://thuyloitiengiang.vn/en/web/thuyloitiengiang/chi-tiet-tin-tuc?id=520630" TargetMode="External"/><Relationship Id="rId516" Type="http://schemas.openxmlformats.org/officeDocument/2006/relationships/hyperlink" Target="http://thuyloitiengiang.vn/en/web/thuyloitiengiang/chi-tiet-tin-tuc?id=520630" TargetMode="External"/><Relationship Id="rId517" Type="http://schemas.openxmlformats.org/officeDocument/2006/relationships/hyperlink" Target="http://thuyloitiengiang.vn/en/web/thuyloitiengiang/chi-tiet-tin-tuc?id=522066" TargetMode="External"/><Relationship Id="rId518" Type="http://schemas.openxmlformats.org/officeDocument/2006/relationships/hyperlink" Target="http://thuyloitiengiang.vn/en/web/thuyloitiengiang/chi-tiet-tin-tuc?id=520630" TargetMode="External"/><Relationship Id="rId519" Type="http://schemas.openxmlformats.org/officeDocument/2006/relationships/hyperlink" Target="http://thuyloitiengiang.vn/en/web/thuyloitiengiang/chi-tiet-tin-tuc?id=520630" TargetMode="External"/><Relationship Id="rId520" Type="http://schemas.openxmlformats.org/officeDocument/2006/relationships/hyperlink" Target="http://thuyloitiengiang.vn/en/web/thuyloitiengiang/chi-tiet-tin-tuc?id=522066" TargetMode="External"/><Relationship Id="rId521" Type="http://schemas.openxmlformats.org/officeDocument/2006/relationships/hyperlink" Target="http://thuyloitiengiang.vn/en/web/thuyloitiengiang/chi-tiet-tin-tuc?id=520630" TargetMode="External"/><Relationship Id="rId522" Type="http://schemas.openxmlformats.org/officeDocument/2006/relationships/hyperlink" Target="http://thuyloitiengiang.vn/en/web/thuyloitiengiang/chi-tiet-tin-tuc?id=520630" TargetMode="External"/><Relationship Id="rId523" Type="http://schemas.openxmlformats.org/officeDocument/2006/relationships/hyperlink" Target="http://thuyloitiengiang.vn/en/web/thuyloitiengiang/chi-tiet-tin-tuc?id=520630" TargetMode="External"/><Relationship Id="rId524" Type="http://schemas.openxmlformats.org/officeDocument/2006/relationships/hyperlink" Target="http://thuyloitiengiang.vn/en/web/thuyloitiengiang/chi-tiet-tin-tuc?id=520630" TargetMode="External"/><Relationship Id="rId525" Type="http://schemas.openxmlformats.org/officeDocument/2006/relationships/hyperlink" Target="http://thuyloitiengiang.vn/en/web/thuyloitiengiang/chi-tiet-tin-tuc?id=522066" TargetMode="External"/><Relationship Id="rId526" Type="http://schemas.openxmlformats.org/officeDocument/2006/relationships/hyperlink" Target="http://thuyloitiengiang.vn/en/web/thuyloitiengiang/chi-tiet-tin-tuc?id=522066" TargetMode="External"/><Relationship Id="rId527" Type="http://schemas.openxmlformats.org/officeDocument/2006/relationships/hyperlink" Target="http://thuyloitiengiang.vn/en/web/thuyloitiengiang/chi-tiet-tin-tuc?id=522066" TargetMode="External"/><Relationship Id="rId528" Type="http://schemas.openxmlformats.org/officeDocument/2006/relationships/hyperlink" Target="http://thuyloitiengiang.vn/en/web/thuyloitiengiang/chi-tiet-tin-tuc?id=522066" TargetMode="External"/><Relationship Id="rId529" Type="http://schemas.openxmlformats.org/officeDocument/2006/relationships/hyperlink" Target="http://thuyloitiengiang.vn/en/web/thuyloitiengiang/chi-tiet-tin-tuc?id=522066" TargetMode="External"/><Relationship Id="rId530" Type="http://schemas.openxmlformats.org/officeDocument/2006/relationships/hyperlink" Target="http://thuyloitiengiang.vn/en/web/thuyloitiengiang/chi-tiet-tin-tuc?id=522066" TargetMode="External"/><Relationship Id="rId531" Type="http://schemas.openxmlformats.org/officeDocument/2006/relationships/hyperlink" Target="http://thuyloitiengiang.vn/en/web/thuyloitiengiang/chi-tiet-tin-tuc?id=522066" TargetMode="External"/><Relationship Id="rId532" Type="http://schemas.openxmlformats.org/officeDocument/2006/relationships/hyperlink" Target="http://thuyloitiengiang.vn/en/web/thuyloitiengiang/chi-tiet-tin-tuc?id=522066" TargetMode="External"/><Relationship Id="rId533" Type="http://schemas.openxmlformats.org/officeDocument/2006/relationships/hyperlink" Target="http://thuyloitiengiang.vn/en/web/thuyloitiengiang/chi-tiet-tin-tuc?id=522066" TargetMode="External"/>
</Relationships>
</file>

<file path=xl/worksheets/_rels/sheet5.xml.rels><?xml version="1.0" encoding="UTF-8"?>
<Relationships xmlns="http://schemas.openxmlformats.org/package/2006/relationships"><Relationship Id="rId1" Type="http://schemas.openxmlformats.org/officeDocument/2006/relationships/hyperlink" Target="http://thuyloitiengiang.vn/web/thuyloitiengiang/chi-tiet-tin-tuc?id=464847" TargetMode="External"/><Relationship Id="rId2" Type="http://schemas.openxmlformats.org/officeDocument/2006/relationships/hyperlink" Target="http://thuyloitiengiang.vn/web/thuyloitiengiang/chi-tiet-tin-tuc?id=464847" TargetMode="External"/><Relationship Id="rId3" Type="http://schemas.openxmlformats.org/officeDocument/2006/relationships/hyperlink" Target="http://thuyloitiengiang.vn/web/thuyloitiengiang/chi-tiet-tin-tuc?id=464847" TargetMode="External"/><Relationship Id="rId4" Type="http://schemas.openxmlformats.org/officeDocument/2006/relationships/hyperlink" Target="http://thuyloitiengiang.vn/web/thuyloitiengiang/chi-tiet-tin-tuc?id=464847" TargetMode="External"/><Relationship Id="rId5" Type="http://schemas.openxmlformats.org/officeDocument/2006/relationships/hyperlink" Target="http://thuyloitiengiang.vn/web/thuyloitiengiang/chi-tiet-tin-tuc?id=464847" TargetMode="External"/><Relationship Id="rId6" Type="http://schemas.openxmlformats.org/officeDocument/2006/relationships/hyperlink" Target="http://thuyloitiengiang.vn/web/thuyloitiengiang/chi-tiet-tin-tuc?id=464847" TargetMode="External"/><Relationship Id="rId7" Type="http://schemas.openxmlformats.org/officeDocument/2006/relationships/hyperlink" Target="http://thuyloitiengiang.vn/web/thuyloitiengiang/chi-tiet-tin-tuc?id=464847" TargetMode="External"/><Relationship Id="rId8" Type="http://schemas.openxmlformats.org/officeDocument/2006/relationships/hyperlink" Target="http://thuyloitiengiang.vn/web/thuyloitiengiang/chi-tiet-tin-tuc?id=464847" TargetMode="External"/><Relationship Id="rId9" Type="http://schemas.openxmlformats.org/officeDocument/2006/relationships/hyperlink" Target="http://thuyloitiengiang.vn/web/thuyloitiengiang/chi-tiet-tin-tuc?id=464847" TargetMode="External"/><Relationship Id="rId10" Type="http://schemas.openxmlformats.org/officeDocument/2006/relationships/hyperlink" Target="http://thuyloitiengiang.vn/web/thuyloitiengiang/chi-tiet-tin-tuc?id=464847" TargetMode="External"/><Relationship Id="rId11" Type="http://schemas.openxmlformats.org/officeDocument/2006/relationships/hyperlink" Target="http://thuyloitiengiang.vn/web/thuyloitiengiang/chi-tiet-tin-tuc?id=464847" TargetMode="External"/><Relationship Id="rId12" Type="http://schemas.openxmlformats.org/officeDocument/2006/relationships/hyperlink" Target="http://thuyloitiengiang.vn/web/thuyloitiengiang/chi-tiet-tin-tuc?id=464847" TargetMode="External"/><Relationship Id="rId13" Type="http://schemas.openxmlformats.org/officeDocument/2006/relationships/hyperlink" Target="http://thuyloitiengiang.vn/web/thuyloitiengiang/chi-tiet-tin-tuc?id=464847" TargetMode="External"/><Relationship Id="rId14" Type="http://schemas.openxmlformats.org/officeDocument/2006/relationships/hyperlink" Target="http://thuyloitiengiang.vn/web/thuyloitiengiang/chi-tiet-tin-tuc?id=464847" TargetMode="External"/><Relationship Id="rId15" Type="http://schemas.openxmlformats.org/officeDocument/2006/relationships/hyperlink" Target="http://thuyloitiengiang.vn/web/thuyloitiengiang/chi-tiet-tin-tuc?id=464847" TargetMode="External"/><Relationship Id="rId16" Type="http://schemas.openxmlformats.org/officeDocument/2006/relationships/hyperlink" Target="http://thuyloitiengiang.vn/web/thuyloitiengiang/chi-tiet-tin-tuc?id=464847" TargetMode="External"/><Relationship Id="rId17" Type="http://schemas.openxmlformats.org/officeDocument/2006/relationships/hyperlink" Target="http://thuyloitiengiang.vn/web/thuyloitiengiang/chi-tiet-tin-tuc?id=464847" TargetMode="External"/><Relationship Id="rId18" Type="http://schemas.openxmlformats.org/officeDocument/2006/relationships/hyperlink" Target="http://thuyloitiengiang.vn/web/thuyloitiengiang/chi-tiet-tin-tuc?id=464847" TargetMode="External"/><Relationship Id="rId19" Type="http://schemas.openxmlformats.org/officeDocument/2006/relationships/hyperlink" Target="http://thuyloitiengiang.vn/web/thuyloitiengiang/chi-tiet-tin-tuc?id=464847" TargetMode="External"/><Relationship Id="rId20" Type="http://schemas.openxmlformats.org/officeDocument/2006/relationships/hyperlink" Target="http://thuyloitiengiang.vn/web/thuyloitiengiang/chi-tiet-tin-tuc?id=464847" TargetMode="External"/><Relationship Id="rId21" Type="http://schemas.openxmlformats.org/officeDocument/2006/relationships/hyperlink" Target="http://thuyloitiengiang.vn/web/thuyloitiengiang/chi-tiet-tin-tuc?id=464847" TargetMode="External"/><Relationship Id="rId22" Type="http://schemas.openxmlformats.org/officeDocument/2006/relationships/hyperlink" Target="http://thuyloitiengiang.vn/web/thuyloitiengiang/chi-tiet-tin-tuc?id=464847" TargetMode="External"/><Relationship Id="rId23" Type="http://schemas.openxmlformats.org/officeDocument/2006/relationships/hyperlink" Target="http://thuyloitiengiang.vn/web/thuyloitiengiang/chi-tiet-tin-tuc?id=464847" TargetMode="External"/><Relationship Id="rId24" Type="http://schemas.openxmlformats.org/officeDocument/2006/relationships/hyperlink" Target="http://thuyloitiengiang.vn/web/thuyloitiengiang/chi-tiet-tin-tuc?id=464847" TargetMode="External"/><Relationship Id="rId25" Type="http://schemas.openxmlformats.org/officeDocument/2006/relationships/hyperlink" Target="http://thuyloitiengiang.vn/web/thuyloitiengiang/chi-tiet-tin-tuc?id=464851" TargetMode="External"/><Relationship Id="rId26" Type="http://schemas.openxmlformats.org/officeDocument/2006/relationships/hyperlink" Target="http://thuyloitiengiang.vn/web/thuyloitiengiang/chi-tiet-tin-tuc?id=464851" TargetMode="External"/><Relationship Id="rId27" Type="http://schemas.openxmlformats.org/officeDocument/2006/relationships/hyperlink" Target="http://thuyloitiengiang.vn/web/thuyloitiengiang/chi-tiet-tin-tuc?id=464851" TargetMode="External"/><Relationship Id="rId28" Type="http://schemas.openxmlformats.org/officeDocument/2006/relationships/hyperlink" Target="http://thuyloitiengiang.vn/web/thuyloitiengiang/chi-tiet-tin-tuc?id=464851" TargetMode="External"/><Relationship Id="rId29" Type="http://schemas.openxmlformats.org/officeDocument/2006/relationships/hyperlink" Target="http://thuyloitiengiang.vn/web/thuyloitiengiang/chi-tiet-tin-tuc?id=464851" TargetMode="External"/><Relationship Id="rId30" Type="http://schemas.openxmlformats.org/officeDocument/2006/relationships/hyperlink" Target="http://thuyloitiengiang.vn/web/thuyloitiengiang/chi-tiet-tin-tuc?id=464851" TargetMode="External"/><Relationship Id="rId31" Type="http://schemas.openxmlformats.org/officeDocument/2006/relationships/hyperlink" Target="http://thuyloitiengiang.vn/web/thuyloitiengiang/chi-tiet-tin-tuc?id=464851" TargetMode="External"/><Relationship Id="rId32" Type="http://schemas.openxmlformats.org/officeDocument/2006/relationships/hyperlink" Target="http://thuyloitiengiang.vn/web/thuyloitiengiang/chi-tiet-tin-tuc?id=464851" TargetMode="External"/><Relationship Id="rId33" Type="http://schemas.openxmlformats.org/officeDocument/2006/relationships/hyperlink" Target="http://thuyloitiengiang.vn/web/thuyloitiengiang/chi-tiet-tin-tuc?id=464851" TargetMode="External"/><Relationship Id="rId34" Type="http://schemas.openxmlformats.org/officeDocument/2006/relationships/hyperlink" Target="http://thuyloitiengiang.vn/web/thuyloitiengiang/chi-tiet-tin-tuc?id=464851" TargetMode="External"/><Relationship Id="rId35" Type="http://schemas.openxmlformats.org/officeDocument/2006/relationships/hyperlink" Target="http://thuyloitiengiang.vn/web/thuyloitiengiang/chi-tiet-tin-tuc?id=464851" TargetMode="External"/><Relationship Id="rId36" Type="http://schemas.openxmlformats.org/officeDocument/2006/relationships/hyperlink" Target="http://thuyloitiengiang.vn/web/thuyloitiengiang/chi-tiet-tin-tuc?id=464851" TargetMode="External"/><Relationship Id="rId37" Type="http://schemas.openxmlformats.org/officeDocument/2006/relationships/hyperlink" Target="http://thuyloitiengiang.vn/web/thuyloitiengiang/chi-tiet-tin-tuc?id=464851" TargetMode="External"/><Relationship Id="rId38" Type="http://schemas.openxmlformats.org/officeDocument/2006/relationships/hyperlink" Target="http://thuyloitiengiang.vn/web/thuyloitiengiang/chi-tiet-tin-tuc?id=464851" TargetMode="External"/><Relationship Id="rId39" Type="http://schemas.openxmlformats.org/officeDocument/2006/relationships/hyperlink" Target="http://thuyloitiengiang.vn/web/thuyloitiengiang/chi-tiet-tin-tuc?id=464851" TargetMode="External"/><Relationship Id="rId40" Type="http://schemas.openxmlformats.org/officeDocument/2006/relationships/hyperlink" Target="http://thuyloitiengiang.vn/web/thuyloitiengiang/chi-tiet-tin-tuc?id=464851" TargetMode="External"/><Relationship Id="rId41" Type="http://schemas.openxmlformats.org/officeDocument/2006/relationships/hyperlink" Target="http://thuyloitiengiang.vn/web/thuyloitiengiang/chi-tiet-tin-tuc?id=464851" TargetMode="External"/><Relationship Id="rId42" Type="http://schemas.openxmlformats.org/officeDocument/2006/relationships/hyperlink" Target="http://thuyloitiengiang.vn/web/thuyloitiengiang/chi-tiet-tin-tuc?id=464851" TargetMode="External"/><Relationship Id="rId43" Type="http://schemas.openxmlformats.org/officeDocument/2006/relationships/hyperlink" Target="http://thuyloitiengiang.vn/web/thuyloitiengiang/chi-tiet-tin-tuc?id=464851" TargetMode="External"/><Relationship Id="rId44" Type="http://schemas.openxmlformats.org/officeDocument/2006/relationships/hyperlink" Target="http://thuyloitiengiang.vn/web/thuyloitiengiang/chi-tiet-tin-tuc?id=464851" TargetMode="External"/><Relationship Id="rId45" Type="http://schemas.openxmlformats.org/officeDocument/2006/relationships/hyperlink" Target="http://thuyloitiengiang.vn/web/thuyloitiengiang/chi-tiet-tin-tuc?id=464851" TargetMode="External"/><Relationship Id="rId46" Type="http://schemas.openxmlformats.org/officeDocument/2006/relationships/hyperlink" Target="http://thuyloitiengiang.vn/web/thuyloitiengiang/chi-tiet-tin-tuc?id=464851" TargetMode="External"/><Relationship Id="rId47" Type="http://schemas.openxmlformats.org/officeDocument/2006/relationships/hyperlink" Target="http://thuyloitiengiang.vn/web/thuyloitiengiang/chi-tiet-tin-tuc?id=464851" TargetMode="External"/><Relationship Id="rId48" Type="http://schemas.openxmlformats.org/officeDocument/2006/relationships/hyperlink" Target="http://thuyloitiengiang.vn/web/thuyloitiengiang/chi-tiet-tin-tuc?id=464851" TargetMode="External"/><Relationship Id="rId49" Type="http://schemas.openxmlformats.org/officeDocument/2006/relationships/hyperlink" Target="http://thuyloitiengiang.vn/web/thuyloitiengiang/chi-tiet-tin-tuc?id=464854" TargetMode="External"/><Relationship Id="rId50" Type="http://schemas.openxmlformats.org/officeDocument/2006/relationships/hyperlink" Target="http://thuyloitiengiang.vn/web/thuyloitiengiang/chi-tiet-tin-tuc?id=464854" TargetMode="External"/><Relationship Id="rId51" Type="http://schemas.openxmlformats.org/officeDocument/2006/relationships/hyperlink" Target="http://thuyloitiengiang.vn/web/thuyloitiengiang/chi-tiet-tin-tuc?id=464854" TargetMode="External"/><Relationship Id="rId52" Type="http://schemas.openxmlformats.org/officeDocument/2006/relationships/hyperlink" Target="http://thuyloitiengiang.vn/web/thuyloitiengiang/chi-tiet-tin-tuc?id=464854" TargetMode="External"/><Relationship Id="rId53" Type="http://schemas.openxmlformats.org/officeDocument/2006/relationships/hyperlink" Target="http://thuyloitiengiang.vn/web/thuyloitiengiang/chi-tiet-tin-tuc?id=464854" TargetMode="External"/><Relationship Id="rId54" Type="http://schemas.openxmlformats.org/officeDocument/2006/relationships/hyperlink" Target="http://thuyloitiengiang.vn/web/thuyloitiengiang/chi-tiet-tin-tuc?id=464854" TargetMode="External"/><Relationship Id="rId55" Type="http://schemas.openxmlformats.org/officeDocument/2006/relationships/hyperlink" Target="http://thuyloitiengiang.vn/web/thuyloitiengiang/chi-tiet-tin-tuc?id=464854" TargetMode="External"/><Relationship Id="rId56" Type="http://schemas.openxmlformats.org/officeDocument/2006/relationships/hyperlink" Target="http://thuyloitiengiang.vn/web/thuyloitiengiang/chi-tiet-tin-tuc?id=464854" TargetMode="External"/><Relationship Id="rId57" Type="http://schemas.openxmlformats.org/officeDocument/2006/relationships/hyperlink" Target="http://thuyloitiengiang.vn/web/thuyloitiengiang/chi-tiet-tin-tuc?id=464854" TargetMode="External"/><Relationship Id="rId58" Type="http://schemas.openxmlformats.org/officeDocument/2006/relationships/hyperlink" Target="http://thuyloitiengiang.vn/web/thuyloitiengiang/chi-tiet-tin-tuc?id=464854" TargetMode="External"/><Relationship Id="rId59" Type="http://schemas.openxmlformats.org/officeDocument/2006/relationships/hyperlink" Target="http://thuyloitiengiang.vn/web/thuyloitiengiang/chi-tiet-tin-tuc?id=464854" TargetMode="External"/><Relationship Id="rId60" Type="http://schemas.openxmlformats.org/officeDocument/2006/relationships/hyperlink" Target="http://thuyloitiengiang.vn/web/thuyloitiengiang/chi-tiet-tin-tuc?id=464854" TargetMode="External"/><Relationship Id="rId61" Type="http://schemas.openxmlformats.org/officeDocument/2006/relationships/hyperlink" Target="http://thuyloitiengiang.vn/web/thuyloitiengiang/chi-tiet-tin-tuc?id=464854" TargetMode="External"/><Relationship Id="rId62" Type="http://schemas.openxmlformats.org/officeDocument/2006/relationships/hyperlink" Target="http://thuyloitiengiang.vn/web/thuyloitiengiang/chi-tiet-tin-tuc?id=464854" TargetMode="External"/><Relationship Id="rId63" Type="http://schemas.openxmlformats.org/officeDocument/2006/relationships/hyperlink" Target="http://thuyloitiengiang.vn/web/thuyloitiengiang/chi-tiet-tin-tuc?id=464854" TargetMode="External"/><Relationship Id="rId64" Type="http://schemas.openxmlformats.org/officeDocument/2006/relationships/hyperlink" Target="http://thuyloitiengiang.vn/web/thuyloitiengiang/chi-tiet-tin-tuc?id=464854" TargetMode="External"/><Relationship Id="rId65" Type="http://schemas.openxmlformats.org/officeDocument/2006/relationships/hyperlink" Target="http://thuyloitiengiang.vn/web/thuyloitiengiang/chi-tiet-tin-tuc?id=464854" TargetMode="External"/><Relationship Id="rId66" Type="http://schemas.openxmlformats.org/officeDocument/2006/relationships/hyperlink" Target="http://thuyloitiengiang.vn/web/thuyloitiengiang/chi-tiet-tin-tuc?id=464854" TargetMode="External"/><Relationship Id="rId67" Type="http://schemas.openxmlformats.org/officeDocument/2006/relationships/hyperlink" Target="http://thuyloitiengiang.vn/web/thuyloitiengiang/chi-tiet-tin-tuc?id=464854" TargetMode="External"/><Relationship Id="rId68" Type="http://schemas.openxmlformats.org/officeDocument/2006/relationships/hyperlink" Target="http://thuyloitiengiang.vn/web/thuyloitiengiang/chi-tiet-tin-tuc?id=464854" TargetMode="External"/><Relationship Id="rId69" Type="http://schemas.openxmlformats.org/officeDocument/2006/relationships/hyperlink" Target="http://thuyloitiengiang.vn/web/thuyloitiengiang/chi-tiet-tin-tuc?id=464854" TargetMode="External"/><Relationship Id="rId70" Type="http://schemas.openxmlformats.org/officeDocument/2006/relationships/hyperlink" Target="http://thuyloitiengiang.vn/web/thuyloitiengiang/chi-tiet-tin-tuc?id=464854" TargetMode="External"/><Relationship Id="rId71" Type="http://schemas.openxmlformats.org/officeDocument/2006/relationships/hyperlink" Target="http://thuyloitiengiang.vn/web/thuyloitiengiang/chi-tiet-tin-tuc?id=464854" TargetMode="External"/><Relationship Id="rId72" Type="http://schemas.openxmlformats.org/officeDocument/2006/relationships/hyperlink" Target="http://thuyloitiengiang.vn/web/thuyloitiengiang/chi-tiet-tin-tuc?id=464854" TargetMode="External"/><Relationship Id="rId73" Type="http://schemas.openxmlformats.org/officeDocument/2006/relationships/hyperlink" Target="http://thuyloitiengiang.vn/ja/web/thuyloitiengiang/chi-tiet-tin-tuc?id=520619" TargetMode="External"/><Relationship Id="rId74" Type="http://schemas.openxmlformats.org/officeDocument/2006/relationships/hyperlink" Target="http://thuyloitiengiang.vn/ja/web/thuyloitiengiang/chi-tiet-tin-tuc?id=520619" TargetMode="External"/><Relationship Id="rId75" Type="http://schemas.openxmlformats.org/officeDocument/2006/relationships/hyperlink" Target="http://thuyloitiengiang.vn/ja/web/thuyloitiengiang/chi-tiet-tin-tuc?id=520619" TargetMode="External"/><Relationship Id="rId76" Type="http://schemas.openxmlformats.org/officeDocument/2006/relationships/hyperlink" Target="http://thuyloitiengiang.vn/ja/web/thuyloitiengiang/chi-tiet-tin-tuc?id=520619" TargetMode="External"/><Relationship Id="rId77" Type="http://schemas.openxmlformats.org/officeDocument/2006/relationships/hyperlink" Target="http://thuyloitiengiang.vn/ja/web/thuyloitiengiang/chi-tiet-tin-tuc?id=520619" TargetMode="External"/><Relationship Id="rId78" Type="http://schemas.openxmlformats.org/officeDocument/2006/relationships/hyperlink" Target="http://thuyloitiengiang.vn/ja/web/thuyloitiengiang/chi-tiet-tin-tuc?id=520619" TargetMode="External"/><Relationship Id="rId79" Type="http://schemas.openxmlformats.org/officeDocument/2006/relationships/hyperlink" Target="http://thuyloitiengiang.vn/ja/web/thuyloitiengiang/chi-tiet-tin-tuc?id=520619" TargetMode="External"/><Relationship Id="rId80" Type="http://schemas.openxmlformats.org/officeDocument/2006/relationships/hyperlink" Target="http://thuyloitiengiang.vn/ja/web/thuyloitiengiang/chi-tiet-tin-tuc?id=520619" TargetMode="External"/><Relationship Id="rId81" Type="http://schemas.openxmlformats.org/officeDocument/2006/relationships/hyperlink" Target="http://thuyloitiengiang.vn/ja/web/thuyloitiengiang/chi-tiet-tin-tuc?id=520619" TargetMode="External"/><Relationship Id="rId82" Type="http://schemas.openxmlformats.org/officeDocument/2006/relationships/hyperlink" Target="http://thuyloitiengiang.vn/ja/web/thuyloitiengiang/chi-tiet-tin-tuc?id=520619" TargetMode="External"/><Relationship Id="rId83" Type="http://schemas.openxmlformats.org/officeDocument/2006/relationships/hyperlink" Target="http://thuyloitiengiang.vn/ja/web/thuyloitiengiang/chi-tiet-tin-tuc?id=520619" TargetMode="External"/><Relationship Id="rId84" Type="http://schemas.openxmlformats.org/officeDocument/2006/relationships/hyperlink" Target="http://thuyloitiengiang.vn/ja/web/thuyloitiengiang/chi-tiet-tin-tuc?id=520619" TargetMode="External"/><Relationship Id="rId85" Type="http://schemas.openxmlformats.org/officeDocument/2006/relationships/hyperlink" Target="http://thuyloitiengiang.vn/ja/web/thuyloitiengiang/chi-tiet-tin-tuc?id=520619" TargetMode="External"/><Relationship Id="rId86" Type="http://schemas.openxmlformats.org/officeDocument/2006/relationships/hyperlink" Target="http://thuyloitiengiang.vn/ja/web/thuyloitiengiang/chi-tiet-tin-tuc?id=520619" TargetMode="External"/><Relationship Id="rId87" Type="http://schemas.openxmlformats.org/officeDocument/2006/relationships/hyperlink" Target="http://thuyloitiengiang.vn/ja/web/thuyloitiengiang/chi-tiet-tin-tuc?id=520619" TargetMode="External"/><Relationship Id="rId88" Type="http://schemas.openxmlformats.org/officeDocument/2006/relationships/hyperlink" Target="http://thuyloitiengiang.vn/ja/web/thuyloitiengiang/chi-tiet-tin-tuc?id=520619" TargetMode="External"/><Relationship Id="rId89" Type="http://schemas.openxmlformats.org/officeDocument/2006/relationships/hyperlink" Target="http://thuyloitiengiang.vn/ja/web/thuyloitiengiang/chi-tiet-tin-tuc?id=520619" TargetMode="External"/><Relationship Id="rId90" Type="http://schemas.openxmlformats.org/officeDocument/2006/relationships/hyperlink" Target="http://thuyloitiengiang.vn/ja/web/thuyloitiengiang/chi-tiet-tin-tuc?id=520619" TargetMode="External"/><Relationship Id="rId91" Type="http://schemas.openxmlformats.org/officeDocument/2006/relationships/hyperlink" Target="http://thuyloitiengiang.vn/ja/web/thuyloitiengiang/chi-tiet-tin-tuc?id=520619" TargetMode="External"/><Relationship Id="rId92" Type="http://schemas.openxmlformats.org/officeDocument/2006/relationships/hyperlink" Target="http://thuyloitiengiang.vn/ja/web/thuyloitiengiang/chi-tiet-tin-tuc?id=520619" TargetMode="External"/><Relationship Id="rId93" Type="http://schemas.openxmlformats.org/officeDocument/2006/relationships/hyperlink" Target="http://thuyloitiengiang.vn/ja/web/thuyloitiengiang/chi-tiet-tin-tuc?id=520619" TargetMode="External"/><Relationship Id="rId94" Type="http://schemas.openxmlformats.org/officeDocument/2006/relationships/hyperlink" Target="http://thuyloitiengiang.vn/ja/web/thuyloitiengiang/chi-tiet-tin-tuc?id=520619" TargetMode="External"/><Relationship Id="rId95" Type="http://schemas.openxmlformats.org/officeDocument/2006/relationships/hyperlink" Target="http://thuyloitiengiang.vn/ja/web/thuyloitiengiang/chi-tiet-tin-tuc?id=520619" TargetMode="External"/><Relationship Id="rId96" Type="http://schemas.openxmlformats.org/officeDocument/2006/relationships/hyperlink" Target="http://thuyloitiengiang.vn/ja/web/thuyloitiengiang/chi-tiet-tin-tuc?id=520619" TargetMode="External"/><Relationship Id="rId97" Type="http://schemas.openxmlformats.org/officeDocument/2006/relationships/hyperlink" Target="http://thuyloitiengiang.vn/ja/web/thuyloitiengiang/chi-tiet-tin-tuc?id=520621" TargetMode="External"/><Relationship Id="rId98" Type="http://schemas.openxmlformats.org/officeDocument/2006/relationships/hyperlink" Target="http://thuyloitiengiang.vn/ja/web/thuyloitiengiang/chi-tiet-tin-tuc?id=520621" TargetMode="External"/><Relationship Id="rId99" Type="http://schemas.openxmlformats.org/officeDocument/2006/relationships/hyperlink" Target="http://thuyloitiengiang.vn/ja/web/thuyloitiengiang/chi-tiet-tin-tuc?id=520621" TargetMode="External"/><Relationship Id="rId100" Type="http://schemas.openxmlformats.org/officeDocument/2006/relationships/hyperlink" Target="http://thuyloitiengiang.vn/ja/web/thuyloitiengiang/chi-tiet-tin-tuc?id=520621" TargetMode="External"/><Relationship Id="rId101" Type="http://schemas.openxmlformats.org/officeDocument/2006/relationships/hyperlink" Target="http://thuyloitiengiang.vn/ja/web/thuyloitiengiang/chi-tiet-tin-tuc?id=520621" TargetMode="External"/><Relationship Id="rId102" Type="http://schemas.openxmlformats.org/officeDocument/2006/relationships/hyperlink" Target="http://thuyloitiengiang.vn/ja/web/thuyloitiengiang/chi-tiet-tin-tuc?id=520621" TargetMode="External"/><Relationship Id="rId103" Type="http://schemas.openxmlformats.org/officeDocument/2006/relationships/hyperlink" Target="http://thuyloitiengiang.vn/ja/web/thuyloitiengiang/chi-tiet-tin-tuc?id=520621" TargetMode="External"/><Relationship Id="rId104" Type="http://schemas.openxmlformats.org/officeDocument/2006/relationships/hyperlink" Target="http://thuyloitiengiang.vn/ja/web/thuyloitiengiang/chi-tiet-tin-tuc?id=520621" TargetMode="External"/><Relationship Id="rId105" Type="http://schemas.openxmlformats.org/officeDocument/2006/relationships/hyperlink" Target="http://thuyloitiengiang.vn/ja/web/thuyloitiengiang/chi-tiet-tin-tuc?id=520621" TargetMode="External"/><Relationship Id="rId106" Type="http://schemas.openxmlformats.org/officeDocument/2006/relationships/hyperlink" Target="http://thuyloitiengiang.vn/ja/web/thuyloitiengiang/chi-tiet-tin-tuc?id=520621" TargetMode="External"/><Relationship Id="rId107" Type="http://schemas.openxmlformats.org/officeDocument/2006/relationships/hyperlink" Target="http://thuyloitiengiang.vn/ja/web/thuyloitiengiang/chi-tiet-tin-tuc?id=520621" TargetMode="External"/><Relationship Id="rId108" Type="http://schemas.openxmlformats.org/officeDocument/2006/relationships/hyperlink" Target="http://thuyloitiengiang.vn/ja/web/thuyloitiengiang/chi-tiet-tin-tuc?id=520621" TargetMode="External"/><Relationship Id="rId109" Type="http://schemas.openxmlformats.org/officeDocument/2006/relationships/hyperlink" Target="http://thuyloitiengiang.vn/ja/web/thuyloitiengiang/chi-tiet-tin-tuc?id=520621" TargetMode="External"/><Relationship Id="rId110" Type="http://schemas.openxmlformats.org/officeDocument/2006/relationships/hyperlink" Target="http://thuyloitiengiang.vn/ja/web/thuyloitiengiang/chi-tiet-tin-tuc?id=520621" TargetMode="External"/><Relationship Id="rId111" Type="http://schemas.openxmlformats.org/officeDocument/2006/relationships/hyperlink" Target="http://thuyloitiengiang.vn/ja/web/thuyloitiengiang/chi-tiet-tin-tuc?id=520621" TargetMode="External"/><Relationship Id="rId112" Type="http://schemas.openxmlformats.org/officeDocument/2006/relationships/hyperlink" Target="http://thuyloitiengiang.vn/ja/web/thuyloitiengiang/chi-tiet-tin-tuc?id=520621" TargetMode="External"/><Relationship Id="rId113" Type="http://schemas.openxmlformats.org/officeDocument/2006/relationships/hyperlink" Target="http://thuyloitiengiang.vn/ja/web/thuyloitiengiang/chi-tiet-tin-tuc?id=520621" TargetMode="External"/><Relationship Id="rId114" Type="http://schemas.openxmlformats.org/officeDocument/2006/relationships/hyperlink" Target="http://thuyloitiengiang.vn/ja/web/thuyloitiengiang/chi-tiet-tin-tuc?id=520621" TargetMode="External"/><Relationship Id="rId115" Type="http://schemas.openxmlformats.org/officeDocument/2006/relationships/hyperlink" Target="http://thuyloitiengiang.vn/ja/web/thuyloitiengiang/chi-tiet-tin-tuc?id=520621" TargetMode="External"/><Relationship Id="rId116" Type="http://schemas.openxmlformats.org/officeDocument/2006/relationships/hyperlink" Target="http://thuyloitiengiang.vn/ja/web/thuyloitiengiang/chi-tiet-tin-tuc?id=520621" TargetMode="External"/><Relationship Id="rId117" Type="http://schemas.openxmlformats.org/officeDocument/2006/relationships/hyperlink" Target="http://thuyloitiengiang.vn/ja/web/thuyloitiengiang/chi-tiet-tin-tuc?id=520621" TargetMode="External"/><Relationship Id="rId118" Type="http://schemas.openxmlformats.org/officeDocument/2006/relationships/hyperlink" Target="http://thuyloitiengiang.vn/ja/web/thuyloitiengiang/chi-tiet-tin-tuc?id=520621" TargetMode="External"/><Relationship Id="rId119" Type="http://schemas.openxmlformats.org/officeDocument/2006/relationships/hyperlink" Target="http://thuyloitiengiang.vn/ja/web/thuyloitiengiang/chi-tiet-tin-tuc?id=520621" TargetMode="External"/><Relationship Id="rId120" Type="http://schemas.openxmlformats.org/officeDocument/2006/relationships/hyperlink" Target="http://thuyloitiengiang.vn/ja/web/thuyloitiengiang/chi-tiet-tin-tuc?id=520621" TargetMode="External"/><Relationship Id="rId121" Type="http://schemas.openxmlformats.org/officeDocument/2006/relationships/hyperlink" Target="http://thuyloitiengiang.vn/ja/web/thuyloitiengiang/chi-tiet-tin-tuc?id=520623" TargetMode="External"/><Relationship Id="rId122" Type="http://schemas.openxmlformats.org/officeDocument/2006/relationships/hyperlink" Target="http://thuyloitiengiang.vn/ja/web/thuyloitiengiang/chi-tiet-tin-tuc?id=520623" TargetMode="External"/><Relationship Id="rId123" Type="http://schemas.openxmlformats.org/officeDocument/2006/relationships/hyperlink" Target="http://thuyloitiengiang.vn/ja/web/thuyloitiengiang/chi-tiet-tin-tuc?id=520623" TargetMode="External"/><Relationship Id="rId124" Type="http://schemas.openxmlformats.org/officeDocument/2006/relationships/hyperlink" Target="http://thuyloitiengiang.vn/ja/web/thuyloitiengiang/chi-tiet-tin-tuc?id=520623" TargetMode="External"/><Relationship Id="rId125" Type="http://schemas.openxmlformats.org/officeDocument/2006/relationships/hyperlink" Target="http://thuyloitiengiang.vn/ja/web/thuyloitiengiang/chi-tiet-tin-tuc?id=520623" TargetMode="External"/><Relationship Id="rId126" Type="http://schemas.openxmlformats.org/officeDocument/2006/relationships/hyperlink" Target="http://thuyloitiengiang.vn/ja/web/thuyloitiengiang/chi-tiet-tin-tuc?id=520623" TargetMode="External"/><Relationship Id="rId127" Type="http://schemas.openxmlformats.org/officeDocument/2006/relationships/hyperlink" Target="http://thuyloitiengiang.vn/ja/web/thuyloitiengiang/chi-tiet-tin-tuc?id=520623" TargetMode="External"/><Relationship Id="rId128" Type="http://schemas.openxmlformats.org/officeDocument/2006/relationships/hyperlink" Target="http://thuyloitiengiang.vn/ja/web/thuyloitiengiang/chi-tiet-tin-tuc?id=520623" TargetMode="External"/><Relationship Id="rId129" Type="http://schemas.openxmlformats.org/officeDocument/2006/relationships/hyperlink" Target="http://thuyloitiengiang.vn/ja/web/thuyloitiengiang/chi-tiet-tin-tuc?id=520623" TargetMode="External"/><Relationship Id="rId130" Type="http://schemas.openxmlformats.org/officeDocument/2006/relationships/hyperlink" Target="http://thuyloitiengiang.vn/ja/web/thuyloitiengiang/chi-tiet-tin-tuc?id=520623" TargetMode="External"/><Relationship Id="rId131" Type="http://schemas.openxmlformats.org/officeDocument/2006/relationships/hyperlink" Target="http://thuyloitiengiang.vn/ja/web/thuyloitiengiang/chi-tiet-tin-tuc?id=520623" TargetMode="External"/><Relationship Id="rId132" Type="http://schemas.openxmlformats.org/officeDocument/2006/relationships/hyperlink" Target="http://thuyloitiengiang.vn/ja/web/thuyloitiengiang/chi-tiet-tin-tuc?id=520623" TargetMode="External"/><Relationship Id="rId133" Type="http://schemas.openxmlformats.org/officeDocument/2006/relationships/hyperlink" Target="http://thuyloitiengiang.vn/ja/web/thuyloitiengiang/chi-tiet-tin-tuc?id=520623" TargetMode="External"/><Relationship Id="rId134" Type="http://schemas.openxmlformats.org/officeDocument/2006/relationships/hyperlink" Target="http://thuyloitiengiang.vn/ja/web/thuyloitiengiang/chi-tiet-tin-tuc?id=520623" TargetMode="External"/><Relationship Id="rId135" Type="http://schemas.openxmlformats.org/officeDocument/2006/relationships/hyperlink" Target="http://thuyloitiengiang.vn/ja/web/thuyloitiengiang/chi-tiet-tin-tuc?id=520623" TargetMode="External"/><Relationship Id="rId136" Type="http://schemas.openxmlformats.org/officeDocument/2006/relationships/hyperlink" Target="http://thuyloitiengiang.vn/ja/web/thuyloitiengiang/chi-tiet-tin-tuc?id=520623" TargetMode="External"/><Relationship Id="rId137" Type="http://schemas.openxmlformats.org/officeDocument/2006/relationships/hyperlink" Target="http://thuyloitiengiang.vn/ja/web/thuyloitiengiang/chi-tiet-tin-tuc?id=520623" TargetMode="External"/><Relationship Id="rId138" Type="http://schemas.openxmlformats.org/officeDocument/2006/relationships/hyperlink" Target="http://thuyloitiengiang.vn/ja/web/thuyloitiengiang/chi-tiet-tin-tuc?id=520623" TargetMode="External"/><Relationship Id="rId139" Type="http://schemas.openxmlformats.org/officeDocument/2006/relationships/hyperlink" Target="http://thuyloitiengiang.vn/ja/web/thuyloitiengiang/chi-tiet-tin-tuc?id=520623" TargetMode="External"/><Relationship Id="rId140" Type="http://schemas.openxmlformats.org/officeDocument/2006/relationships/hyperlink" Target="http://thuyloitiengiang.vn/ja/web/thuyloitiengiang/chi-tiet-tin-tuc?id=520623" TargetMode="External"/><Relationship Id="rId141" Type="http://schemas.openxmlformats.org/officeDocument/2006/relationships/hyperlink" Target="http://thuyloitiengiang.vn/ja/web/thuyloitiengiang/chi-tiet-tin-tuc?id=520623" TargetMode="External"/><Relationship Id="rId142" Type="http://schemas.openxmlformats.org/officeDocument/2006/relationships/hyperlink" Target="http://thuyloitiengiang.vn/en/web/thuyloitiengiang/chi-tiet-tin-tuc?id=520630" TargetMode="External"/><Relationship Id="rId143" Type="http://schemas.openxmlformats.org/officeDocument/2006/relationships/hyperlink" Target="http://thuyloitiengiang.vn/en/web/thuyloitiengiang/chi-tiet-tin-tuc?id=520630" TargetMode="External"/><Relationship Id="rId144" Type="http://schemas.openxmlformats.org/officeDocument/2006/relationships/hyperlink" Target="http://thuyloitiengiang.vn/en/web/thuyloitiengiang/chi-tiet-tin-tuc?id=520630" TargetMode="External"/><Relationship Id="rId145" Type="http://schemas.openxmlformats.org/officeDocument/2006/relationships/hyperlink" Target="http://thuyloitiengiang.vn/en/web/thuyloitiengiang/chi-tiet-tin-tuc?id=520630" TargetMode="External"/><Relationship Id="rId146" Type="http://schemas.openxmlformats.org/officeDocument/2006/relationships/hyperlink" Target="http://thuyloitiengiang.vn/en/web/thuyloitiengiang/chi-tiet-tin-tuc?id=520630" TargetMode="External"/><Relationship Id="rId147" Type="http://schemas.openxmlformats.org/officeDocument/2006/relationships/hyperlink" Target="http://thuyloitiengiang.vn/en/web/thuyloitiengiang/chi-tiet-tin-tuc?id=520630" TargetMode="External"/><Relationship Id="rId148" Type="http://schemas.openxmlformats.org/officeDocument/2006/relationships/hyperlink" Target="http://thuyloitiengiang.vn/en/web/thuyloitiengiang/chi-tiet-tin-tuc?id=520630" TargetMode="External"/><Relationship Id="rId149" Type="http://schemas.openxmlformats.org/officeDocument/2006/relationships/hyperlink" Target="http://thuyloitiengiang.vn/en/web/thuyloitiengiang/chi-tiet-tin-tuc?id=520630" TargetMode="External"/><Relationship Id="rId150" Type="http://schemas.openxmlformats.org/officeDocument/2006/relationships/hyperlink" Target="http://thuyloitiengiang.vn/en/web/thuyloitiengiang/chi-tiet-tin-tuc?id=520630" TargetMode="External"/><Relationship Id="rId151" Type="http://schemas.openxmlformats.org/officeDocument/2006/relationships/hyperlink" Target="http://thuyloitiengiang.vn/en/web/thuyloitiengiang/chi-tiet-tin-tuc?id=520630" TargetMode="External"/><Relationship Id="rId152" Type="http://schemas.openxmlformats.org/officeDocument/2006/relationships/hyperlink" Target="http://thuyloitiengiang.vn/en/web/thuyloitiengiang/chi-tiet-tin-tuc?id=520630" TargetMode="External"/><Relationship Id="rId153" Type="http://schemas.openxmlformats.org/officeDocument/2006/relationships/hyperlink" Target="http://thuyloitiengiang.vn/en/web/thuyloitiengiang/chi-tiet-tin-tuc?id=520630" TargetMode="External"/><Relationship Id="rId154" Type="http://schemas.openxmlformats.org/officeDocument/2006/relationships/hyperlink" Target="http://thuyloitiengiang.vn/en/web/thuyloitiengiang/chi-tiet-tin-tuc?id=520630" TargetMode="External"/><Relationship Id="rId155" Type="http://schemas.openxmlformats.org/officeDocument/2006/relationships/hyperlink" Target="http://thuyloitiengiang.vn/en/web/thuyloitiengiang/chi-tiet-tin-tuc?id=520630" TargetMode="External"/><Relationship Id="rId156" Type="http://schemas.openxmlformats.org/officeDocument/2006/relationships/hyperlink" Target="http://thuyloitiengiang.vn/en/web/thuyloitiengiang/chi-tiet-tin-tuc?id=520630" TargetMode="External"/><Relationship Id="rId157" Type="http://schemas.openxmlformats.org/officeDocument/2006/relationships/hyperlink" Target="http://thuyloitiengiang.vn/en/web/thuyloitiengiang/chi-tiet-tin-tuc?id=520630" TargetMode="External"/><Relationship Id="rId158" Type="http://schemas.openxmlformats.org/officeDocument/2006/relationships/hyperlink" Target="http://thuyloitiengiang.vn/en/web/thuyloitiengiang/chi-tiet-tin-tuc?id=520630" TargetMode="External"/><Relationship Id="rId159" Type="http://schemas.openxmlformats.org/officeDocument/2006/relationships/hyperlink" Target="http://thuyloitiengiang.vn/en/web/thuyloitiengiang/chi-tiet-tin-tuc?id=520630" TargetMode="External"/><Relationship Id="rId160" Type="http://schemas.openxmlformats.org/officeDocument/2006/relationships/hyperlink" Target="http://thuyloitiengiang.vn/en/web/thuyloitiengiang/chi-tiet-tin-tuc?id=520630" TargetMode="External"/><Relationship Id="rId161" Type="http://schemas.openxmlformats.org/officeDocument/2006/relationships/hyperlink" Target="http://thuyloitiengiang.vn/en/web/thuyloitiengiang/chi-tiet-tin-tuc?id=520630" TargetMode="External"/><Relationship Id="rId162" Type="http://schemas.openxmlformats.org/officeDocument/2006/relationships/hyperlink" Target="http://thuyloitiengiang.vn/en/web/thuyloitiengiang/chi-tiet-tin-tuc?id=520630" TargetMode="External"/><Relationship Id="rId163" Type="http://schemas.openxmlformats.org/officeDocument/2006/relationships/hyperlink" Target="http://thuyloitiengiang.vn/en/web/thuyloitiengiang/chi-tiet-tin-tuc?id=520630" TargetMode="External"/><Relationship Id="rId164" Type="http://schemas.openxmlformats.org/officeDocument/2006/relationships/hyperlink" Target="http://thuyloitiengiang.vn/en/web/thuyloitiengiang/chi-tiet-tin-tuc?id=520630" TargetMode="External"/><Relationship Id="rId165" Type="http://schemas.openxmlformats.org/officeDocument/2006/relationships/hyperlink" Target="http://thuyloitiengiang.vn/en/web/thuyloitiengiang/chi-tiet-tin-tuc?id=520630" TargetMode="External"/><Relationship Id="rId166" Type="http://schemas.openxmlformats.org/officeDocument/2006/relationships/hyperlink" Target="http://thuyloitiengiang.vn/en/web/thuyloitiengiang/chi-tiet-tin-tuc?id=522066" TargetMode="External"/><Relationship Id="rId167" Type="http://schemas.openxmlformats.org/officeDocument/2006/relationships/hyperlink" Target="http://thuyloitiengiang.vn/en/web/thuyloitiengiang/chi-tiet-tin-tuc?id=522066" TargetMode="External"/><Relationship Id="rId168" Type="http://schemas.openxmlformats.org/officeDocument/2006/relationships/hyperlink" Target="http://thuyloitiengiang.vn/en/web/thuyloitiengiang/chi-tiet-tin-tuc?id=522066" TargetMode="External"/><Relationship Id="rId169" Type="http://schemas.openxmlformats.org/officeDocument/2006/relationships/hyperlink" Target="http://thuyloitiengiang.vn/en/web/thuyloitiengiang/chi-tiet-tin-tuc?id=522066" TargetMode="External"/><Relationship Id="rId170" Type="http://schemas.openxmlformats.org/officeDocument/2006/relationships/hyperlink" Target="http://thuyloitiengiang.vn/en/web/thuyloitiengiang/chi-tiet-tin-tuc?id=522066" TargetMode="External"/><Relationship Id="rId171" Type="http://schemas.openxmlformats.org/officeDocument/2006/relationships/hyperlink" Target="http://thuyloitiengiang.vn/en/web/thuyloitiengiang/chi-tiet-tin-tuc?id=522066" TargetMode="External"/><Relationship Id="rId172" Type="http://schemas.openxmlformats.org/officeDocument/2006/relationships/hyperlink" Target="http://thuyloitiengiang.vn/en/web/thuyloitiengiang/chi-tiet-tin-tuc?id=522066" TargetMode="External"/><Relationship Id="rId173" Type="http://schemas.openxmlformats.org/officeDocument/2006/relationships/hyperlink" Target="http://thuyloitiengiang.vn/en/web/thuyloitiengiang/chi-tiet-tin-tuc?id=522066" TargetMode="External"/><Relationship Id="rId174" Type="http://schemas.openxmlformats.org/officeDocument/2006/relationships/hyperlink" Target="http://thuyloitiengiang.vn/en/web/thuyloitiengiang/chi-tiet-tin-tuc?id=522066" TargetMode="External"/><Relationship Id="rId175" Type="http://schemas.openxmlformats.org/officeDocument/2006/relationships/hyperlink" Target="http://thuyloitiengiang.vn/en/web/thuyloitiengiang/chi-tiet-tin-tuc?id=522066" TargetMode="External"/><Relationship Id="rId176" Type="http://schemas.openxmlformats.org/officeDocument/2006/relationships/hyperlink" Target="http://thuyloitiengiang.vn/en/web/thuyloitiengiang/chi-tiet-tin-tuc?id=522066" TargetMode="External"/><Relationship Id="rId177" Type="http://schemas.openxmlformats.org/officeDocument/2006/relationships/hyperlink" Target="http://thuyloitiengiang.vn/en/web/thuyloitiengiang/chi-tiet-tin-tuc?id=522066" TargetMode="External"/><Relationship Id="rId178" Type="http://schemas.openxmlformats.org/officeDocument/2006/relationships/hyperlink" Target="http://thuyloitiengiang.vn/en/web/thuyloitiengiang/chi-tiet-tin-tuc?id=522066" TargetMode="External"/><Relationship Id="rId179" Type="http://schemas.openxmlformats.org/officeDocument/2006/relationships/hyperlink" Target="http://thuyloitiengiang.vn/en/web/thuyloitiengiang/chi-tiet-tin-tuc?id=522066" TargetMode="External"/><Relationship Id="rId180" Type="http://schemas.openxmlformats.org/officeDocument/2006/relationships/hyperlink" Target="http://thuyloitiengiang.vn/en/web/thuyloitiengiang/chi-tiet-tin-tuc?id=522066" TargetMode="External"/><Relationship Id="rId181" Type="http://schemas.openxmlformats.org/officeDocument/2006/relationships/hyperlink" Target="http://thuyloitiengiang.vn/en/web/thuyloitiengiang/chi-tiet-tin-tuc?id=522066" TargetMode="External"/><Relationship Id="rId182" Type="http://schemas.openxmlformats.org/officeDocument/2006/relationships/hyperlink" Target="http://thuyloitiengiang.vn/en/web/thuyloitiengiang/chi-tiet-tin-tuc?id=522066" TargetMode="External"/><Relationship Id="rId183" Type="http://schemas.openxmlformats.org/officeDocument/2006/relationships/hyperlink" Target="http://thuyloitiengiang.vn/en/web/thuyloitiengiang/chi-tiet-tin-tuc?id=522066" TargetMode="External"/><Relationship Id="rId184" Type="http://schemas.openxmlformats.org/officeDocument/2006/relationships/hyperlink" Target="http://thuyloitiengiang.vn/en/web/thuyloitiengiang/chi-tiet-tin-tuc?id=522066" TargetMode="External"/><Relationship Id="rId185" Type="http://schemas.openxmlformats.org/officeDocument/2006/relationships/hyperlink" Target="http://thuyloitiengiang.vn/en/web/thuyloitiengiang/chi-tiet-tin-tuc?id=522066" TargetMode="External"/><Relationship Id="rId186" Type="http://schemas.openxmlformats.org/officeDocument/2006/relationships/hyperlink" Target="http://thuyloitiengiang.vn/en/web/thuyloitiengiang/chi-tiet-tin-tuc?id=522066" TargetMode="External"/><Relationship Id="rId187" Type="http://schemas.openxmlformats.org/officeDocument/2006/relationships/hyperlink" Target="http://thuyloitiengiang.vn/en/web/thuyloitiengiang/chi-tiet-tin-tuc?id=522066" TargetMode="External"/><Relationship Id="rId188" Type="http://schemas.openxmlformats.org/officeDocument/2006/relationships/hyperlink" Target="http://thuyloitiengiang.vn/en/web/thuyloitiengiang/chi-tiet-tin-tuc?id=522066" TargetMode="External"/><Relationship Id="rId189" Type="http://schemas.openxmlformats.org/officeDocument/2006/relationships/hyperlink" Target="http://thuyloitiengiang.vn/en/web/thuyloitiengiang/chi-tiet-tin-tuc?id=522066"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rive.google.com/file/d/1jy4qNGTUyO5zFyLGqwi0B16K1XHlZehY/view?usp=drivesdk" TargetMode="External"/><Relationship Id="rId2" Type="http://schemas.openxmlformats.org/officeDocument/2006/relationships/hyperlink" Target="https://drive.google.com/file/d/1jy4qNGTUyO5zFyLGqwi0B16K1XHlZehY/view?usp=drivesdk" TargetMode="External"/><Relationship Id="rId3" Type="http://schemas.openxmlformats.org/officeDocument/2006/relationships/hyperlink" Target="https://vienthuysan2.org.vn/wp-content/uploads/2023/07/Xem-tai-day-10.pdf" TargetMode="External"/><Relationship Id="rId4" Type="http://schemas.openxmlformats.org/officeDocument/2006/relationships/hyperlink" Target="https://dongthapxanh.vn/bai-viet/quan-trac-nguon-nuoc/ket-qua-quan-trac-chat-luong-nuoc-phuc-vu-nuoi-thuy-san-dot-1-nam-2024.html" TargetMode="External"/><Relationship Id="rId5" Type="http://schemas.openxmlformats.org/officeDocument/2006/relationships/hyperlink" Target="https://dongthapxanh.vn/bai-viet/quan-trac-nguon-nuoc/ket-qua-quan-trac-chat-luong-nuoc-phuc-vu-nuoi-thuy-san-dot-1-nam-2024.html" TargetMode="External"/><Relationship Id="rId6" Type="http://schemas.openxmlformats.org/officeDocument/2006/relationships/hyperlink" Target="https://dongthapxanh.vn/bai-viet/quan-trac-nguon-nuoc/ket-qua-quan-trac-chat-luong-nuoc-phuc-vu-nuoi-thuy-san-dot-2-nam-2024.html" TargetMode="External"/><Relationship Id="rId7" Type="http://schemas.openxmlformats.org/officeDocument/2006/relationships/hyperlink" Target="https://dongthapxanh.vn/bai-viet/quan-trac-nguon-nuoc/ket-qua-quan-trac-chat-luong-nuoc-phuc-vu-nuoi-thuy-san-dot-2-nam-2024.html" TargetMode="External"/><Relationship Id="rId8" Type="http://schemas.openxmlformats.org/officeDocument/2006/relationships/hyperlink" Target="https://dongthapxanh.vn/bai-viet/du-bao-thuy-van/ket-qua-quan-trac-chat-luong-nuoc-phuc-vu-nuoi-thuy-san-dot-1-nam-2025.html" TargetMode="External"/><Relationship Id="rId9" Type="http://schemas.openxmlformats.org/officeDocument/2006/relationships/hyperlink" Target="https://dongthapxanh.vn/bai-viet/du-bao-thuy-van/ket-qua-quan-trac-chat-luong-nuoc-phuc-vu-nuoi-thuy-san-dot-1-nam-2025.html" TargetMode="External"/><Relationship Id="rId10" Type="http://schemas.openxmlformats.org/officeDocument/2006/relationships/hyperlink" Target="https://dongthapxanh.vn/bai-viet/du-bao-thuy-van/ket-qua-quan-trac-chat-luong-nuoc-phuc-vu-nuoi-thuy-san-dot-2-nam-2025.html" TargetMode="External"/><Relationship Id="rId11" Type="http://schemas.openxmlformats.org/officeDocument/2006/relationships/hyperlink" Target="https://dongthapxanh.vn/bai-viet/du-bao-thuy-van/ket-qua-quan-trac-chat-luong-nuoc-phuc-vu-nuoi-thuy-san-dot-2-nam-2025.html" TargetMode="External"/><Relationship Id="rId12" Type="http://schemas.openxmlformats.org/officeDocument/2006/relationships/hyperlink" Target="https://luatvietnam.vn/tai-nguyen/ke-hoach-1548-kh-ubnd-dong-thap-quan-trac-canh-bao-moi-truong-nuoi-trong-thuy-san-2026-2030-450753-d2.html" TargetMode="External"/><Relationship Id="rId13" Type="http://schemas.openxmlformats.org/officeDocument/2006/relationships/hyperlink" Target="https://dongthapxanh.vn/bai-viet/du-bao-thuy-van/ket-qua-quan-trac-chat-luong-nuoc-phuc-vu-nuoi-thuy-san-dot-14-nam-2023.html" TargetMode="External"/><Relationship Id="rId14" Type="http://schemas.openxmlformats.org/officeDocument/2006/relationships/hyperlink" Target="https://dongthapxanh.vn/bai-viet/du-bao-thuy-van/ket-qua-quan-trac-chat-luong-nuoc-phuc-vu-nuoi-thuy-san-dot-14-nam-2023.html" TargetMode="External"/><Relationship Id="rId15" Type="http://schemas.openxmlformats.org/officeDocument/2006/relationships/hyperlink" Target="https://dongthapxanh.vn/bai-viet/quan-trac-nguon-nuoc/ket-qua-quan-trac-chat-luong-nuoc-phuc-vu-nuoi-thuy-san-tu-01-15-10-2023.html" TargetMode="External"/><Relationship Id="rId16" Type="http://schemas.openxmlformats.org/officeDocument/2006/relationships/hyperlink" Target="https://dongthapxanh.vn/bai-viet/quan-trac-nguon-nuoc/ket-qua-quan-trac-chat-luong-nuoc-phuc-vu-nuoi-thuy-san-tu-01-15-11-2023.html" TargetMode="External"/><Relationship Id="rId17" Type="http://schemas.openxmlformats.org/officeDocument/2006/relationships/hyperlink" Target="https://dongthapxanh.vn/bai-viet/quan-trac-nguon-nuoc/ket-qua-quan-trac-chat-luong-nuoc-phuc-vu-nuoi-thuy-san-tu-16-30-11-2023.html" TargetMode="External"/><Relationship Id="rId18" Type="http://schemas.openxmlformats.org/officeDocument/2006/relationships/hyperlink" Target="https://dongthapxanh.vn/bai-viet/du-bao-thuy-van/ket-qua-quan-trac-chat-luong-nuoc-phuc-vu-nuoi-thuy-san-tu-16-31-12-2023.html" TargetMode="External"/><Relationship Id="rId19" Type="http://schemas.openxmlformats.org/officeDocument/2006/relationships/hyperlink" Target="https://dongthapxanh.vn/bai-viet/quan-trac-nguon-nuoc/ket-qua-quan-trac-chat-luong-nuoc-phuc-vu-nuoi-thuy-san-dot-3-nam-2025.html" TargetMode="External"/><Relationship Id="rId20" Type="http://schemas.openxmlformats.org/officeDocument/2006/relationships/hyperlink" Target="https://dongthapxanh.vn/bai-viet/quan-trac-nguon-nuoc/ket-qua-quan-trac-chat-luong-nuoc-phuc-vu-nuoi-thuy-san-dot-3-nam-2025.html" TargetMode="External"/><Relationship Id="rId21" Type="http://schemas.openxmlformats.org/officeDocument/2006/relationships/hyperlink" Target="https://dongthapxanh.vn/bai-viet/du-bao-thuy-van/ket-qua-quan-trac-chat-luong-nuoc-phuc-vu-nuoi-thuy-san-dot-4-nam-2025.html"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baodongthap.vn/tien-giang-chu-dong-giai-phap-ung-pho-han-man-a13295.html" TargetMode="External"/><Relationship Id="rId2" Type="http://schemas.openxmlformats.org/officeDocument/2006/relationships/hyperlink" Target="https://baodongthap.vn/dong-thap-chu-dong-van-hanh-cong-trinh-thuy-loi-phong-chong-trieu-cuong-xam-nhap-man-dau-thang-2--a238315.html" TargetMode="External"/><Relationship Id="rId3" Type="http://schemas.openxmlformats.org/officeDocument/2006/relationships/hyperlink" Target="https://baodongthap.vn/dong-thap-chu-dong-van-hanh-cong-trinh-thuy-loi-phong-chong-trieu-cuong-xam-nhap-man-dau-thang-2--a238315.html" TargetMode="External"/><Relationship Id="rId4" Type="http://schemas.openxmlformats.org/officeDocument/2006/relationships/hyperlink" Target="https://www.sggp.org.vn/van-hanh-cong-trinh-thuy-loi-tru-nuoc-trong-vung-du-an-ngot-hoa-go-cong-tien-giang-post774932.html" TargetMode="External"/><Relationship Id="rId5" Type="http://schemas.openxmlformats.org/officeDocument/2006/relationships/hyperlink" Target="https://www.sggp.org.vn/van-hanh-cong-trinh-thuy-loi-tru-nuoc-trong-vung-du-an-ngot-hoa-go-cong-tien-giang-post774932.html" TargetMode="External"/><Relationship Id="rId6" Type="http://schemas.openxmlformats.org/officeDocument/2006/relationships/hyperlink" Target="https://baodongthap.vn/tien-giang-chu-dong-giai-phap-ung-pho-han-man-a13295.html" TargetMode="External"/><Relationship Id="rId7" Type="http://schemas.openxmlformats.org/officeDocument/2006/relationships/hyperlink" Target="http://thuyloitiengiang.vn/en/web/thuyloitiengiang/chi-tiet-tin-tuc?id=522066" TargetMode="External"/><Relationship Id="rId8" Type="http://schemas.openxmlformats.org/officeDocument/2006/relationships/hyperlink" Target="https://thuvienphapluat.vn/van-ban/Tai-nguyen-Moi-truong/Quyet-dinh-12-2023-QD-UBND-sua-doi-phan-cap-quan-ly-khai-thac-bao-ve-cong-trinh-thuy-loi-Tien-Giang-572905.aspx"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baodongthap.vn/tien-giang-man-xam-nhap-den-khu-vuc-cau-phu-phong-huyen-chau-thanh-a57394.html" TargetMode="External"/><Relationship Id="rId2" Type="http://schemas.openxmlformats.org/officeDocument/2006/relationships/hyperlink" Target="https://nhandan.vn/tien-giang-quyet-liet-trien-khai-cac-giai-phap-phong-chong-han-man-post799553.html" TargetMode="External"/><Relationship Id="rId3" Type="http://schemas.openxmlformats.org/officeDocument/2006/relationships/hyperlink" Target="https://dantri.com.vn/thoi-su/vi-sao-cong-ngan-man-lon-thu-2-mien-tay-mo-chua-lau-lai-dong-20240508151519524.htm" TargetMode="External"/><Relationship Id="rId4" Type="http://schemas.openxmlformats.org/officeDocument/2006/relationships/hyperlink" Target="https://baodongthap.vn/tien-giang-xam-nhap-man-tiep-tuc-tang-theo-ky-trieu-cuong-a70919.html" TargetMode="External"/><Relationship Id="rId5" Type="http://schemas.openxmlformats.org/officeDocument/2006/relationships/hyperlink" Target="https://baodongthap.vn/tien-giang-xam-nhap-man-giam-cac-cong-thuoc-du-an-bao-dinh-van-hanh-lay-nuoc-a72711.html" TargetMode="External"/><Relationship Id="rId6" Type="http://schemas.openxmlformats.org/officeDocument/2006/relationships/hyperlink" Target="https://baodongthap.vn/tien-giang-xam-nhap-man-tang-tro-lai-a34313.html" TargetMode="External"/><Relationship Id="rId7" Type="http://schemas.openxmlformats.org/officeDocument/2006/relationships/hyperlink" Target="https://baodongthap.vn/tien-giang-xam-nhap-man-giam-theo-trieu-cuong-nhung-van-o-muc-cao-a1148.html" TargetMode="External"/><Relationship Id="rId8" Type="http://schemas.openxmlformats.org/officeDocument/2006/relationships/hyperlink" Target="https://baodongthap.vn/tien-giang-muc-nuoc-tai-cac-kinh-rach-vung-ngot-hoa-go-cong-dang-dan-xuong-thap-a4427.html" TargetMode="External"/><Relationship Id="rId9" Type="http://schemas.openxmlformats.org/officeDocument/2006/relationships/hyperlink" Target="https://baodongthap.vn/xam-nhap-man-giam-cong-xuan-hoa-lay-gan-nuoc-ngot-a5603.html" TargetMode="External"/><Relationship Id="rId10" Type="http://schemas.openxmlformats.org/officeDocument/2006/relationships/hyperlink" Target="https://baodongthap.vn/xam-nhap-man-dat-dinh-va-se-giam-dan-trong-nhung-ngay-toi-a6163.html" TargetMode="External"/><Relationship Id="rId11" Type="http://schemas.openxmlformats.org/officeDocument/2006/relationships/hyperlink" Target="https://phongchongthientaitiengiang.vn/?p=7360" TargetMode="External"/><Relationship Id="rId12" Type="http://schemas.openxmlformats.org/officeDocument/2006/relationships/hyperlink" Target="http://thuyloitiengiang.vn/web/thuyloitiengiang/chi-tiet-tin-tuc?id=455328" TargetMode="External"/><Relationship Id="rId13" Type="http://schemas.openxmlformats.org/officeDocument/2006/relationships/hyperlink" Target="http://thuyloitiengiang.vn/web/thuyloitiengiang/chi-tiet-tin-tuc?id=455328" TargetMode="External"/><Relationship Id="rId14" Type="http://schemas.openxmlformats.org/officeDocument/2006/relationships/hyperlink" Target="http://thuyloitiengiang.vn/web/thuyloitiengiang/chi-tiet-tin-tuc?id=455332" TargetMode="External"/><Relationship Id="rId15" Type="http://schemas.openxmlformats.org/officeDocument/2006/relationships/hyperlink" Target="http://thuyloitiengiang.vn/web/thuyloitiengiang/chi-tiet-tin-tuc?id=455336" TargetMode="External"/><Relationship Id="rId16" Type="http://schemas.openxmlformats.org/officeDocument/2006/relationships/hyperlink" Target="http://thuyloitiengiang.vn/web/thuyloitiengiang/chi-tiet-tin-tuc?id=455412" TargetMode="External"/><Relationship Id="rId17" Type="http://schemas.openxmlformats.org/officeDocument/2006/relationships/hyperlink" Target="http://thuyloitiengiang.vn/web/thuyloitiengiang/chi-tiet-tin-tuc?id=455416" TargetMode="External"/><Relationship Id="rId18" Type="http://schemas.openxmlformats.org/officeDocument/2006/relationships/hyperlink" Target="http://thuyloitiengiang.vn/web/thuyloitiengiang/chi-tiet-tin-tuc?id=464847" TargetMode="External"/><Relationship Id="rId19" Type="http://schemas.openxmlformats.org/officeDocument/2006/relationships/hyperlink" Target="http://thuyloitiengiang.vn/web/thuyloitiengiang/chi-tiet-tin-tuc?id=464847" TargetMode="External"/><Relationship Id="rId20" Type="http://schemas.openxmlformats.org/officeDocument/2006/relationships/hyperlink" Target="http://thuyloitiengiang.vn/web/thuyloitiengiang/chi-tiet-tin-tuc?id=464847" TargetMode="External"/><Relationship Id="rId21" Type="http://schemas.openxmlformats.org/officeDocument/2006/relationships/hyperlink" Target="http://thuyloitiengiang.vn/web/thuyloitiengiang/chi-tiet-tin-tuc?id=464847" TargetMode="External"/><Relationship Id="rId22" Type="http://schemas.openxmlformats.org/officeDocument/2006/relationships/hyperlink" Target="http://thuyloitiengiang.vn/web/thuyloitiengiang/chi-tiet-tin-tuc?id=464847" TargetMode="External"/><Relationship Id="rId23" Type="http://schemas.openxmlformats.org/officeDocument/2006/relationships/hyperlink" Target="http://thuyloitiengiang.vn/web/thuyloitiengiang/chi-tiet-tin-tuc?id=464847" TargetMode="External"/><Relationship Id="rId24" Type="http://schemas.openxmlformats.org/officeDocument/2006/relationships/hyperlink" Target="http://thuyloitiengiang.vn/web/thuyloitiengiang/chi-tiet-tin-tuc?id=464847" TargetMode="External"/><Relationship Id="rId25" Type="http://schemas.openxmlformats.org/officeDocument/2006/relationships/hyperlink" Target="http://thuyloitiengiang.vn/web/thuyloitiengiang/chi-tiet-tin-tuc?id=464847" TargetMode="External"/><Relationship Id="rId26" Type="http://schemas.openxmlformats.org/officeDocument/2006/relationships/hyperlink" Target="http://thuyloitiengiang.vn/web/thuyloitiengiang/chi-tiet-tin-tuc?id=464851" TargetMode="External"/><Relationship Id="rId27" Type="http://schemas.openxmlformats.org/officeDocument/2006/relationships/hyperlink" Target="http://thuyloitiengiang.vn/web/thuyloitiengiang/chi-tiet-tin-tuc?id=464851" TargetMode="External"/><Relationship Id="rId28" Type="http://schemas.openxmlformats.org/officeDocument/2006/relationships/hyperlink" Target="http://thuyloitiengiang.vn/web/thuyloitiengiang/chi-tiet-tin-tuc?id=464851" TargetMode="External"/><Relationship Id="rId29" Type="http://schemas.openxmlformats.org/officeDocument/2006/relationships/hyperlink" Target="http://thuyloitiengiang.vn/web/thuyloitiengiang/chi-tiet-tin-tuc?id=464851" TargetMode="External"/><Relationship Id="rId30" Type="http://schemas.openxmlformats.org/officeDocument/2006/relationships/hyperlink" Target="http://thuyloitiengiang.vn/web/thuyloitiengiang/chi-tiet-tin-tuc?id=464851" TargetMode="External"/><Relationship Id="rId31" Type="http://schemas.openxmlformats.org/officeDocument/2006/relationships/hyperlink" Target="http://thuyloitiengiang.vn/web/thuyloitiengiang/chi-tiet-tin-tuc?id=464851" TargetMode="External"/><Relationship Id="rId32" Type="http://schemas.openxmlformats.org/officeDocument/2006/relationships/hyperlink" Target="http://thuyloitiengiang.vn/web/thuyloitiengiang/chi-tiet-tin-tuc?id=464854" TargetMode="External"/><Relationship Id="rId33" Type="http://schemas.openxmlformats.org/officeDocument/2006/relationships/hyperlink" Target="http://thuyloitiengiang.vn/web/thuyloitiengiang/chi-tiet-tin-tuc?id=464854" TargetMode="External"/><Relationship Id="rId34" Type="http://schemas.openxmlformats.org/officeDocument/2006/relationships/hyperlink" Target="http://thuyloitiengiang.vn/web/thuyloitiengiang/chi-tiet-tin-tuc?id=464854" TargetMode="External"/><Relationship Id="rId35" Type="http://schemas.openxmlformats.org/officeDocument/2006/relationships/hyperlink" Target="http://thuyloitiengiang.vn/web/thuyloitiengiang/chi-tiet-tin-tuc?id=464854" TargetMode="External"/><Relationship Id="rId36" Type="http://schemas.openxmlformats.org/officeDocument/2006/relationships/hyperlink" Target="http://thuyloitiengiang.vn/web/thuyloitiengiang/chi-tiet-tin-tuc?id=464854" TargetMode="External"/><Relationship Id="rId37" Type="http://schemas.openxmlformats.org/officeDocument/2006/relationships/hyperlink" Target="http://thuyloitiengiang.vn/web/thuyloitiengiang/chi-tiet-tin-tuc?id=464854" TargetMode="External"/><Relationship Id="rId38" Type="http://schemas.openxmlformats.org/officeDocument/2006/relationships/hyperlink" Target="http://thuyloitiengiang.vn/ja/web/thuyloitiengiang/chi-tiet-tin-tuc?id=520619" TargetMode="External"/><Relationship Id="rId39" Type="http://schemas.openxmlformats.org/officeDocument/2006/relationships/hyperlink" Target="http://thuyloitiengiang.vn/ja/web/thuyloitiengiang/chi-tiet-tin-tuc?id=520619" TargetMode="External"/><Relationship Id="rId40" Type="http://schemas.openxmlformats.org/officeDocument/2006/relationships/hyperlink" Target="http://thuyloitiengiang.vn/ja/web/thuyloitiengiang/chi-tiet-tin-tuc?id=520619" TargetMode="External"/><Relationship Id="rId41" Type="http://schemas.openxmlformats.org/officeDocument/2006/relationships/hyperlink" Target="http://thuyloitiengiang.vn/ja/web/thuyloitiengiang/chi-tiet-tin-tuc?id=520619" TargetMode="External"/><Relationship Id="rId42" Type="http://schemas.openxmlformats.org/officeDocument/2006/relationships/hyperlink" Target="http://thuyloitiengiang.vn/ja/web/thuyloitiengiang/chi-tiet-tin-tuc?id=520619" TargetMode="External"/><Relationship Id="rId43" Type="http://schemas.openxmlformats.org/officeDocument/2006/relationships/hyperlink" Target="http://thuyloitiengiang.vn/ja/web/thuyloitiengiang/chi-tiet-tin-tuc?id=520619" TargetMode="External"/><Relationship Id="rId44" Type="http://schemas.openxmlformats.org/officeDocument/2006/relationships/hyperlink" Target="http://thuyloitiengiang.vn/ja/web/thuyloitiengiang/chi-tiet-tin-tuc?id=520619" TargetMode="External"/><Relationship Id="rId45" Type="http://schemas.openxmlformats.org/officeDocument/2006/relationships/hyperlink" Target="http://thuyloitiengiang.vn/ja/web/thuyloitiengiang/chi-tiet-tin-tuc?id=520621" TargetMode="External"/><Relationship Id="rId46" Type="http://schemas.openxmlformats.org/officeDocument/2006/relationships/hyperlink" Target="http://thuyloitiengiang.vn/ja/web/thuyloitiengiang/chi-tiet-tin-tuc?id=520621" TargetMode="External"/><Relationship Id="rId47" Type="http://schemas.openxmlformats.org/officeDocument/2006/relationships/hyperlink" Target="http://thuyloitiengiang.vn/ja/web/thuyloitiengiang/chi-tiet-tin-tuc?id=520621" TargetMode="External"/><Relationship Id="rId48" Type="http://schemas.openxmlformats.org/officeDocument/2006/relationships/hyperlink" Target="http://thuyloitiengiang.vn/ja/web/thuyloitiengiang/chi-tiet-tin-tuc?id=520621" TargetMode="External"/><Relationship Id="rId49" Type="http://schemas.openxmlformats.org/officeDocument/2006/relationships/hyperlink" Target="http://thuyloitiengiang.vn/ja/web/thuyloitiengiang/chi-tiet-tin-tuc?id=520623" TargetMode="External"/><Relationship Id="rId50" Type="http://schemas.openxmlformats.org/officeDocument/2006/relationships/hyperlink" Target="http://thuyloitiengiang.vn/ja/web/thuyloitiengiang/chi-tiet-tin-tuc?id=520623" TargetMode="External"/><Relationship Id="rId51" Type="http://schemas.openxmlformats.org/officeDocument/2006/relationships/hyperlink" Target="http://thuyloitiengiang.vn/ja/web/thuyloitiengiang/chi-tiet-tin-tuc?id=520623" TargetMode="External"/><Relationship Id="rId52" Type="http://schemas.openxmlformats.org/officeDocument/2006/relationships/hyperlink" Target="http://thuyloitiengiang.vn/en/web/thuyloitiengiang/chi-tiet-tin-tuc?id=520630" TargetMode="External"/><Relationship Id="rId53" Type="http://schemas.openxmlformats.org/officeDocument/2006/relationships/hyperlink" Target="http://thuyloitiengiang.vn/en/web/thuyloitiengiang/chi-tiet-tin-tuc?id=520630" TargetMode="External"/><Relationship Id="rId54" Type="http://schemas.openxmlformats.org/officeDocument/2006/relationships/hyperlink" Target="http://thuyloitiengiang.vn/en/web/thuyloitiengiang/chi-tiet-tin-tuc?id=520630" TargetMode="External"/><Relationship Id="rId55" Type="http://schemas.openxmlformats.org/officeDocument/2006/relationships/hyperlink" Target="http://thuyloitiengiang.vn/en/web/thuyloitiengiang/chi-tiet-tin-tuc?id=522066" TargetMode="External"/><Relationship Id="rId56" Type="http://schemas.openxmlformats.org/officeDocument/2006/relationships/hyperlink" Target="http://thuyloitiengiang.vn/en/web/thuyloitiengiang/chi-tiet-tin-tuc?id=522066" TargetMode="External"/><Relationship Id="rId57" Type="http://schemas.openxmlformats.org/officeDocument/2006/relationships/hyperlink" Target="http://thuyloitiengiang.vn/en/web/thuyloitiengiang/chi-tiet-tin-tuc?id=522066"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thuyloitiengiang.vn/web/thuyloitiengiang/chi-tiet-tin-tuc?id=464847" TargetMode="External"/><Relationship Id="rId2" Type="http://schemas.openxmlformats.org/officeDocument/2006/relationships/hyperlink" Target="http://thuyloitiengiang.vn/web/thuyloitiengiang/chi-tiet-tin-tuc?id=464847" TargetMode="External"/><Relationship Id="rId3" Type="http://schemas.openxmlformats.org/officeDocument/2006/relationships/hyperlink" Target="http://thuyloitiengiang.vn/web/thuyloitiengiang/chi-tiet-tin-tuc?id=464847" TargetMode="External"/><Relationship Id="rId4" Type="http://schemas.openxmlformats.org/officeDocument/2006/relationships/hyperlink" Target="http://thuyloitiengiang.vn/web/thuyloitiengiang/chi-tiet-tin-tuc?id=464847" TargetMode="External"/><Relationship Id="rId5" Type="http://schemas.openxmlformats.org/officeDocument/2006/relationships/hyperlink" Target="http://thuyloitiengiang.vn/web/thuyloitiengiang/chi-tiet-tin-tuc?id=464851" TargetMode="External"/><Relationship Id="rId6" Type="http://schemas.openxmlformats.org/officeDocument/2006/relationships/hyperlink" Target="http://thuyloitiengiang.vn/web/thuyloitiengiang/chi-tiet-tin-tuc?id=464851" TargetMode="External"/><Relationship Id="rId7" Type="http://schemas.openxmlformats.org/officeDocument/2006/relationships/hyperlink" Target="http://thuyloitiengiang.vn/web/thuyloitiengiang/chi-tiet-tin-tuc?id=464851" TargetMode="External"/><Relationship Id="rId8" Type="http://schemas.openxmlformats.org/officeDocument/2006/relationships/hyperlink" Target="http://thuyloitiengiang.vn/web/thuyloitiengiang/chi-tiet-tin-tuc?id=464851" TargetMode="External"/><Relationship Id="rId9" Type="http://schemas.openxmlformats.org/officeDocument/2006/relationships/hyperlink" Target="http://thuyloitiengiang.vn/web/thuyloitiengiang/chi-tiet-tin-tuc?id=464854" TargetMode="External"/><Relationship Id="rId10" Type="http://schemas.openxmlformats.org/officeDocument/2006/relationships/hyperlink" Target="http://thuyloitiengiang.vn/web/thuyloitiengiang/chi-tiet-tin-tuc?id=464854" TargetMode="External"/><Relationship Id="rId11" Type="http://schemas.openxmlformats.org/officeDocument/2006/relationships/hyperlink" Target="http://thuyloitiengiang.vn/ja/web/thuyloitiengiang/chi-tiet-tin-tuc?id=520619" TargetMode="External"/><Relationship Id="rId12" Type="http://schemas.openxmlformats.org/officeDocument/2006/relationships/hyperlink" Target="http://thuyloitiengiang.vn/ja/web/thuyloitiengiang/chi-tiet-tin-tuc?id=520619" TargetMode="External"/><Relationship Id="rId13" Type="http://schemas.openxmlformats.org/officeDocument/2006/relationships/hyperlink" Target="http://thuyloitiengiang.vn/ja/web/thuyloitiengiang/chi-tiet-tin-tuc?id=520619" TargetMode="External"/><Relationship Id="rId14" Type="http://schemas.openxmlformats.org/officeDocument/2006/relationships/hyperlink" Target="http://thuyloitiengiang.vn/ja/web/thuyloitiengiang/chi-tiet-tin-tuc?id=520619" TargetMode="External"/><Relationship Id="rId15" Type="http://schemas.openxmlformats.org/officeDocument/2006/relationships/hyperlink" Target="http://thuyloitiengiang.vn/ja/web/thuyloitiengiang/chi-tiet-tin-tuc?id=520621" TargetMode="External"/><Relationship Id="rId16" Type="http://schemas.openxmlformats.org/officeDocument/2006/relationships/hyperlink" Target="http://thuyloitiengiang.vn/ja/web/thuyloitiengiang/chi-tiet-tin-tuc?id=520621" TargetMode="External"/><Relationship Id="rId17" Type="http://schemas.openxmlformats.org/officeDocument/2006/relationships/hyperlink" Target="http://thuyloitiengiang.vn/ja/web/thuyloitiengiang/chi-tiet-tin-tuc?id=520621" TargetMode="External"/><Relationship Id="rId18" Type="http://schemas.openxmlformats.org/officeDocument/2006/relationships/hyperlink" Target="http://thuyloitiengiang.vn/ja/web/thuyloitiengiang/chi-tiet-tin-tuc?id=520621" TargetMode="External"/><Relationship Id="rId19" Type="http://schemas.openxmlformats.org/officeDocument/2006/relationships/hyperlink" Target="http://thuyloitiengiang.vn/ja/web/thuyloitiengiang/chi-tiet-tin-tuc?id=520623" TargetMode="External"/><Relationship Id="rId20" Type="http://schemas.openxmlformats.org/officeDocument/2006/relationships/hyperlink" Target="http://thuyloitiengiang.vn/ja/web/thuyloitiengiang/chi-tiet-tin-tuc?id=520623" TargetMode="External"/><Relationship Id="rId21" Type="http://schemas.openxmlformats.org/officeDocument/2006/relationships/hyperlink" Target="http://thuyloitiengiang.vn/ja/web/thuyloitiengiang/chi-tiet-tin-tuc?id=520623" TargetMode="External"/><Relationship Id="rId22" Type="http://schemas.openxmlformats.org/officeDocument/2006/relationships/hyperlink" Target="http://thuyloitiengiang.vn/ja/web/thuyloitiengiang/chi-tiet-tin-tuc?id=520623" TargetMode="External"/><Relationship Id="rId23" Type="http://schemas.openxmlformats.org/officeDocument/2006/relationships/hyperlink" Target="http://thuyloitiengiang.vn/en/web/thuyloitiengiang/chi-tiet-tin-tuc?id=520630" TargetMode="External"/><Relationship Id="rId24" Type="http://schemas.openxmlformats.org/officeDocument/2006/relationships/hyperlink" Target="http://thuyloitiengiang.vn/en/web/thuyloitiengiang/chi-tiet-tin-tuc?id=520630" TargetMode="External"/><Relationship Id="rId25" Type="http://schemas.openxmlformats.org/officeDocument/2006/relationships/hyperlink" Target="http://thuyloitiengiang.vn/en/web/thuyloitiengiang/chi-tiet-tin-tuc?id=520630" TargetMode="External"/><Relationship Id="rId26" Type="http://schemas.openxmlformats.org/officeDocument/2006/relationships/hyperlink" Target="http://thuyloitiengiang.vn/en/web/thuyloitiengiang/chi-tiet-tin-tuc?id=520630" TargetMode="External"/><Relationship Id="rId27" Type="http://schemas.openxmlformats.org/officeDocument/2006/relationships/hyperlink" Target="http://thuyloitiengiang.vn/en/web/thuyloitiengiang/chi-tiet-tin-tuc?id=522066" TargetMode="External"/><Relationship Id="rId28" Type="http://schemas.openxmlformats.org/officeDocument/2006/relationships/hyperlink" Target="http://thuyloitiengiang.vn/en/web/thuyloitiengiang/chi-tiet-tin-tuc?id=522066" TargetMode="External"/><Relationship Id="rId29" Type="http://schemas.openxmlformats.org/officeDocument/2006/relationships/hyperlink" Target="http://thuyloitiengiang.vn/en/web/thuyloitiengiang/chi-tiet-tin-tuc?id=522066" TargetMode="External"/><Relationship Id="rId30" Type="http://schemas.openxmlformats.org/officeDocument/2006/relationships/hyperlink" Target="http://thuyloitiengiang.vn/en/web/thuyloitiengiang/chi-tiet-tin-tuc?id=522066" TargetMode="External"/><Relationship Id="rId31" Type="http://schemas.openxmlformats.org/officeDocument/2006/relationships/hyperlink" Target="https://baodongthap.vn/tien-giang-muc-nuoc-tai-cac-kinh-rach-vung-ngot-hoa-go-cong-dang-dan-xuong-thap-a4427.html" TargetMode="External"/><Relationship Id="rId32" Type="http://schemas.openxmlformats.org/officeDocument/2006/relationships/hyperlink" Target="https://baodongthap.vn/xam-nhap-man-giam-cong-xuan-hoa-lay-gan-nuoc-ngot-a5603.html" TargetMode="External"/><Relationship Id="rId33" Type="http://schemas.openxmlformats.org/officeDocument/2006/relationships/hyperlink" Target="https://baodongthap.vn/xam-nhap-man-giam-cong-xuan-hoa-lay-gan-nuoc-ngot-a5603.html" TargetMode="External"/><Relationship Id="rId34" Type="http://schemas.openxmlformats.org/officeDocument/2006/relationships/hyperlink" Target="https://baodongthap.vn/xam-nhap-man-dat-dinh-va-se-giam-dan-trong-nhung-ngay-toi-a6163.html" TargetMode="External"/><Relationship Id="rId35" Type="http://schemas.openxmlformats.org/officeDocument/2006/relationships/hyperlink" Target="https://baodongthap.vn/xam-nhap-man-dat-dinh-va-se-giam-dan-trong-nhung-ngay-toi-a6163.html" TargetMode="External"/><Relationship Id="rId36" Type="http://schemas.openxmlformats.org/officeDocument/2006/relationships/hyperlink" Target="https://phongchongthientaitiengiang.vn/?p=7360" TargetMode="External"/><Relationship Id="rId37" Type="http://schemas.openxmlformats.org/officeDocument/2006/relationships/hyperlink" Target="https://phongchongthientaitiengiang.vn/?p=7360" TargetMode="External"/><Relationship Id="rId38" Type="http://schemas.openxmlformats.org/officeDocument/2006/relationships/hyperlink" Target="https://phongchongthientaitiengiang.vn/?p=7360" TargetMode="External"/><Relationship Id="rId39" Type="http://schemas.openxmlformats.org/officeDocument/2006/relationships/hyperlink" Target="https://phongchongthientaitiengiang.vn/?p=7360" TargetMode="External"/><Relationship Id="rId40" Type="http://schemas.openxmlformats.org/officeDocument/2006/relationships/hyperlink" Target="https://phongchongthientaitiengiang.vn/?p=7360" TargetMode="External"/><Relationship Id="rId41" Type="http://schemas.openxmlformats.org/officeDocument/2006/relationships/hyperlink" Target="https://phongchongthientaitiengiang.vn/?p=7360" TargetMode="External"/><Relationship Id="rId42" Type="http://schemas.openxmlformats.org/officeDocument/2006/relationships/hyperlink" Target="http://thuyloitiengiang.vn/web/thuyloitiengiang/chi-tiet-tin-tuc?id=455328" TargetMode="External"/><Relationship Id="rId43" Type="http://schemas.openxmlformats.org/officeDocument/2006/relationships/hyperlink" Target="http://thuyloitiengiang.vn/web/thuyloitiengiang/chi-tiet-tin-tuc?id=455328" TargetMode="External"/><Relationship Id="rId44" Type="http://schemas.openxmlformats.org/officeDocument/2006/relationships/hyperlink" Target="http://thuyloitiengiang.vn/web/thuyloitiengiang/chi-tiet-tin-tuc?id=455328" TargetMode="External"/><Relationship Id="rId45" Type="http://schemas.openxmlformats.org/officeDocument/2006/relationships/hyperlink" Target="http://thuyloitiengiang.vn/web/thuyloitiengiang/chi-tiet-tin-tuc?id=455328" TargetMode="External"/><Relationship Id="rId46" Type="http://schemas.openxmlformats.org/officeDocument/2006/relationships/hyperlink" Target="http://thuyloitiengiang.vn/web/thuyloitiengiang/chi-tiet-tin-tuc?id=455328" TargetMode="External"/><Relationship Id="rId47" Type="http://schemas.openxmlformats.org/officeDocument/2006/relationships/hyperlink" Target="http://thuyloitiengiang.vn/web/thuyloitiengiang/chi-tiet-tin-tuc?id=455328" TargetMode="External"/><Relationship Id="rId48" Type="http://schemas.openxmlformats.org/officeDocument/2006/relationships/hyperlink" Target="http://thuyloitiengiang.vn/web/thuyloitiengiang/chi-tiet-tin-tuc?id=455332" TargetMode="External"/><Relationship Id="rId49" Type="http://schemas.openxmlformats.org/officeDocument/2006/relationships/hyperlink" Target="http://thuyloitiengiang.vn/web/thuyloitiengiang/chi-tiet-tin-tuc?id=455332" TargetMode="External"/><Relationship Id="rId50" Type="http://schemas.openxmlformats.org/officeDocument/2006/relationships/hyperlink" Target="http://thuyloitiengiang.vn/web/thuyloitiengiang/chi-tiet-tin-tuc?id=455332" TargetMode="External"/><Relationship Id="rId51" Type="http://schemas.openxmlformats.org/officeDocument/2006/relationships/hyperlink" Target="http://thuyloitiengiang.vn/web/thuyloitiengiang/chi-tiet-tin-tuc?id=455336" TargetMode="External"/><Relationship Id="rId52" Type="http://schemas.openxmlformats.org/officeDocument/2006/relationships/hyperlink" Target="http://thuyloitiengiang.vn/web/thuyloitiengiang/chi-tiet-tin-tuc?id=455336" TargetMode="External"/><Relationship Id="rId53" Type="http://schemas.openxmlformats.org/officeDocument/2006/relationships/hyperlink" Target="http://thuyloitiengiang.vn/web/thuyloitiengiang/chi-tiet-tin-tuc?id=455336" TargetMode="External"/><Relationship Id="rId54" Type="http://schemas.openxmlformats.org/officeDocument/2006/relationships/hyperlink" Target="http://thuyloitiengiang.vn/web/thuyloitiengiang/chi-tiet-tin-tuc?id=455412" TargetMode="External"/><Relationship Id="rId55" Type="http://schemas.openxmlformats.org/officeDocument/2006/relationships/hyperlink" Target="http://thuyloitiengiang.vn/web/thuyloitiengiang/chi-tiet-tin-tuc?id=455412" TargetMode="External"/><Relationship Id="rId56" Type="http://schemas.openxmlformats.org/officeDocument/2006/relationships/hyperlink" Target="http://thuyloitiengiang.vn/web/thuyloitiengiang/chi-tiet-tin-tuc?id=455412" TargetMode="External"/><Relationship Id="rId57" Type="http://schemas.openxmlformats.org/officeDocument/2006/relationships/hyperlink" Target="http://thuyloitiengiang.vn/web/thuyloitiengiang/chi-tiet-tin-tuc?id=455416" TargetMode="External"/><Relationship Id="rId58" Type="http://schemas.openxmlformats.org/officeDocument/2006/relationships/hyperlink" Target="http://thuyloitiengiang.vn/web/thuyloitiengiang/chi-tiet-tin-tuc?id=455416" TargetMode="External"/><Relationship Id="rId59" Type="http://schemas.openxmlformats.org/officeDocument/2006/relationships/hyperlink" Target="http://thuyloitiengiang.vn/web/thuyloitiengiang/chi-tiet-tin-tuc?id=455416" TargetMode="External"/><Relationship Id="rId60" Type="http://schemas.openxmlformats.org/officeDocument/2006/relationships/hyperlink" Target="http://thuyloitiengiang.vn/web/thuyloitiengiang/chi-tiet-tin-tuc?id=464847" TargetMode="External"/><Relationship Id="rId61" Type="http://schemas.openxmlformats.org/officeDocument/2006/relationships/hyperlink" Target="http://thuyloitiengiang.vn/web/thuyloitiengiang/chi-tiet-tin-tuc?id=464847" TargetMode="External"/><Relationship Id="rId62" Type="http://schemas.openxmlformats.org/officeDocument/2006/relationships/hyperlink" Target="http://thuyloitiengiang.vn/web/thuyloitiengiang/chi-tiet-tin-tuc?id=464847" TargetMode="External"/><Relationship Id="rId63" Type="http://schemas.openxmlformats.org/officeDocument/2006/relationships/hyperlink" Target="http://thuyloitiengiang.vn/web/thuyloitiengiang/chi-tiet-tin-tuc?id=464847" TargetMode="External"/><Relationship Id="rId64" Type="http://schemas.openxmlformats.org/officeDocument/2006/relationships/hyperlink" Target="http://thuyloitiengiang.vn/web/thuyloitiengiang/chi-tiet-tin-tuc?id=464847" TargetMode="External"/><Relationship Id="rId65" Type="http://schemas.openxmlformats.org/officeDocument/2006/relationships/hyperlink" Target="http://thuyloitiengiang.vn/web/thuyloitiengiang/chi-tiet-tin-tuc?id=464847" TargetMode="External"/><Relationship Id="rId66" Type="http://schemas.openxmlformats.org/officeDocument/2006/relationships/hyperlink" Target="http://thuyloitiengiang.vn/web/thuyloitiengiang/chi-tiet-tin-tuc?id=464847" TargetMode="External"/><Relationship Id="rId67" Type="http://schemas.openxmlformats.org/officeDocument/2006/relationships/hyperlink" Target="http://thuyloitiengiang.vn/web/thuyloitiengiang/chi-tiet-tin-tuc?id=464847" TargetMode="External"/><Relationship Id="rId68" Type="http://schemas.openxmlformats.org/officeDocument/2006/relationships/hyperlink" Target="http://thuyloitiengiang.vn/web/thuyloitiengiang/chi-tiet-tin-tuc?id=464847" TargetMode="External"/><Relationship Id="rId69" Type="http://schemas.openxmlformats.org/officeDocument/2006/relationships/hyperlink" Target="http://thuyloitiengiang.vn/web/thuyloitiengiang/chi-tiet-tin-tuc?id=464847" TargetMode="External"/><Relationship Id="rId70" Type="http://schemas.openxmlformats.org/officeDocument/2006/relationships/hyperlink" Target="http://thuyloitiengiang.vn/web/thuyloitiengiang/chi-tiet-tin-tuc?id=464847" TargetMode="External"/><Relationship Id="rId71" Type="http://schemas.openxmlformats.org/officeDocument/2006/relationships/hyperlink" Target="http://thuyloitiengiang.vn/web/thuyloitiengiang/chi-tiet-tin-tuc?id=464847" TargetMode="External"/><Relationship Id="rId72" Type="http://schemas.openxmlformats.org/officeDocument/2006/relationships/hyperlink" Target="http://thuyloitiengiang.vn/web/thuyloitiengiang/chi-tiet-tin-tuc?id=464847" TargetMode="External"/><Relationship Id="rId73" Type="http://schemas.openxmlformats.org/officeDocument/2006/relationships/hyperlink" Target="http://thuyloitiengiang.vn/web/thuyloitiengiang/chi-tiet-tin-tuc?id=464847" TargetMode="External"/><Relationship Id="rId74" Type="http://schemas.openxmlformats.org/officeDocument/2006/relationships/hyperlink" Target="http://thuyloitiengiang.vn/web/thuyloitiengiang/chi-tiet-tin-tuc?id=464847" TargetMode="External"/><Relationship Id="rId75" Type="http://schemas.openxmlformats.org/officeDocument/2006/relationships/hyperlink" Target="http://thuyloitiengiang.vn/web/thuyloitiengiang/chi-tiet-tin-tuc?id=464847" TargetMode="External"/><Relationship Id="rId76" Type="http://schemas.openxmlformats.org/officeDocument/2006/relationships/hyperlink" Target="http://thuyloitiengiang.vn/web/thuyloitiengiang/chi-tiet-tin-tuc?id=464847" TargetMode="External"/><Relationship Id="rId77" Type="http://schemas.openxmlformats.org/officeDocument/2006/relationships/hyperlink" Target="http://thuyloitiengiang.vn/web/thuyloitiengiang/chi-tiet-tin-tuc?id=464847" TargetMode="External"/><Relationship Id="rId78" Type="http://schemas.openxmlformats.org/officeDocument/2006/relationships/hyperlink" Target="http://thuyloitiengiang.vn/web/thuyloitiengiang/chi-tiet-tin-tuc?id=464847" TargetMode="External"/><Relationship Id="rId79" Type="http://schemas.openxmlformats.org/officeDocument/2006/relationships/hyperlink" Target="http://thuyloitiengiang.vn/web/thuyloitiengiang/chi-tiet-tin-tuc?id=464847" TargetMode="External"/><Relationship Id="rId80" Type="http://schemas.openxmlformats.org/officeDocument/2006/relationships/hyperlink" Target="http://thuyloitiengiang.vn/web/thuyloitiengiang/chi-tiet-tin-tuc?id=464847" TargetMode="External"/><Relationship Id="rId81" Type="http://schemas.openxmlformats.org/officeDocument/2006/relationships/hyperlink" Target="http://thuyloitiengiang.vn/web/thuyloitiengiang/chi-tiet-tin-tuc?id=464847" TargetMode="External"/><Relationship Id="rId82" Type="http://schemas.openxmlformats.org/officeDocument/2006/relationships/hyperlink" Target="http://thuyloitiengiang.vn/web/thuyloitiengiang/chi-tiet-tin-tuc?id=464847" TargetMode="External"/><Relationship Id="rId83" Type="http://schemas.openxmlformats.org/officeDocument/2006/relationships/hyperlink" Target="http://thuyloitiengiang.vn/web/thuyloitiengiang/chi-tiet-tin-tuc?id=464847" TargetMode="External"/><Relationship Id="rId84" Type="http://schemas.openxmlformats.org/officeDocument/2006/relationships/hyperlink" Target="http://thuyloitiengiang.vn/web/thuyloitiengiang/chi-tiet-tin-tuc?id=464847" TargetMode="External"/><Relationship Id="rId85" Type="http://schemas.openxmlformats.org/officeDocument/2006/relationships/hyperlink" Target="http://thuyloitiengiang.vn/web/thuyloitiengiang/chi-tiet-tin-tuc?id=464847" TargetMode="External"/><Relationship Id="rId86" Type="http://schemas.openxmlformats.org/officeDocument/2006/relationships/hyperlink" Target="http://thuyloitiengiang.vn/web/thuyloitiengiang/chi-tiet-tin-tuc?id=464847" TargetMode="External"/><Relationship Id="rId87" Type="http://schemas.openxmlformats.org/officeDocument/2006/relationships/hyperlink" Target="http://thuyloitiengiang.vn/web/thuyloitiengiang/chi-tiet-tin-tuc?id=464847" TargetMode="External"/><Relationship Id="rId88" Type="http://schemas.openxmlformats.org/officeDocument/2006/relationships/hyperlink" Target="http://thuyloitiengiang.vn/web/thuyloitiengiang/chi-tiet-tin-tuc?id=464847" TargetMode="External"/><Relationship Id="rId89" Type="http://schemas.openxmlformats.org/officeDocument/2006/relationships/hyperlink" Target="http://thuyloitiengiang.vn/web/thuyloitiengiang/chi-tiet-tin-tuc?id=464851" TargetMode="External"/><Relationship Id="rId90" Type="http://schemas.openxmlformats.org/officeDocument/2006/relationships/hyperlink" Target="http://thuyloitiengiang.vn/web/thuyloitiengiang/chi-tiet-tin-tuc?id=464851" TargetMode="External"/><Relationship Id="rId91" Type="http://schemas.openxmlformats.org/officeDocument/2006/relationships/hyperlink" Target="http://thuyloitiengiang.vn/web/thuyloitiengiang/chi-tiet-tin-tuc?id=464851" TargetMode="External"/><Relationship Id="rId92" Type="http://schemas.openxmlformats.org/officeDocument/2006/relationships/hyperlink" Target="http://thuyloitiengiang.vn/web/thuyloitiengiang/chi-tiet-tin-tuc?id=464851" TargetMode="External"/><Relationship Id="rId93" Type="http://schemas.openxmlformats.org/officeDocument/2006/relationships/hyperlink" Target="http://thuyloitiengiang.vn/web/thuyloitiengiang/chi-tiet-tin-tuc?id=464851" TargetMode="External"/><Relationship Id="rId94" Type="http://schemas.openxmlformats.org/officeDocument/2006/relationships/hyperlink" Target="http://thuyloitiengiang.vn/web/thuyloitiengiang/chi-tiet-tin-tuc?id=464851" TargetMode="External"/><Relationship Id="rId95" Type="http://schemas.openxmlformats.org/officeDocument/2006/relationships/hyperlink" Target="http://thuyloitiengiang.vn/web/thuyloitiengiang/chi-tiet-tin-tuc?id=464851" TargetMode="External"/><Relationship Id="rId96" Type="http://schemas.openxmlformats.org/officeDocument/2006/relationships/hyperlink" Target="http://thuyloitiengiang.vn/web/thuyloitiengiang/chi-tiet-tin-tuc?id=464851" TargetMode="External"/><Relationship Id="rId97" Type="http://schemas.openxmlformats.org/officeDocument/2006/relationships/hyperlink" Target="http://thuyloitiengiang.vn/web/thuyloitiengiang/chi-tiet-tin-tuc?id=464851" TargetMode="External"/><Relationship Id="rId98" Type="http://schemas.openxmlformats.org/officeDocument/2006/relationships/hyperlink" Target="http://thuyloitiengiang.vn/web/thuyloitiengiang/chi-tiet-tin-tuc?id=464851" TargetMode="External"/><Relationship Id="rId99" Type="http://schemas.openxmlformats.org/officeDocument/2006/relationships/hyperlink" Target="http://thuyloitiengiang.vn/web/thuyloitiengiang/chi-tiet-tin-tuc?id=464851" TargetMode="External"/><Relationship Id="rId100" Type="http://schemas.openxmlformats.org/officeDocument/2006/relationships/hyperlink" Target="http://thuyloitiengiang.vn/web/thuyloitiengiang/chi-tiet-tin-tuc?id=464851" TargetMode="External"/><Relationship Id="rId101" Type="http://schemas.openxmlformats.org/officeDocument/2006/relationships/hyperlink" Target="http://thuyloitiengiang.vn/web/thuyloitiengiang/chi-tiet-tin-tuc?id=464851" TargetMode="External"/><Relationship Id="rId102" Type="http://schemas.openxmlformats.org/officeDocument/2006/relationships/hyperlink" Target="http://thuyloitiengiang.vn/web/thuyloitiengiang/chi-tiet-tin-tuc?id=464851" TargetMode="External"/><Relationship Id="rId103" Type="http://schemas.openxmlformats.org/officeDocument/2006/relationships/hyperlink" Target="http://thuyloitiengiang.vn/web/thuyloitiengiang/chi-tiet-tin-tuc?id=464851" TargetMode="External"/><Relationship Id="rId104" Type="http://schemas.openxmlformats.org/officeDocument/2006/relationships/hyperlink" Target="http://thuyloitiengiang.vn/web/thuyloitiengiang/chi-tiet-tin-tuc?id=464851" TargetMode="External"/><Relationship Id="rId105" Type="http://schemas.openxmlformats.org/officeDocument/2006/relationships/hyperlink" Target="http://thuyloitiengiang.vn/web/thuyloitiengiang/chi-tiet-tin-tuc?id=464851" TargetMode="External"/><Relationship Id="rId106" Type="http://schemas.openxmlformats.org/officeDocument/2006/relationships/hyperlink" Target="http://thuyloitiengiang.vn/web/thuyloitiengiang/chi-tiet-tin-tuc?id=464851" TargetMode="External"/><Relationship Id="rId107" Type="http://schemas.openxmlformats.org/officeDocument/2006/relationships/hyperlink" Target="http://thuyloitiengiang.vn/web/thuyloitiengiang/chi-tiet-tin-tuc?id=464851" TargetMode="External"/><Relationship Id="rId108" Type="http://schemas.openxmlformats.org/officeDocument/2006/relationships/hyperlink" Target="http://thuyloitiengiang.vn/web/thuyloitiengiang/chi-tiet-tin-tuc?id=464851" TargetMode="External"/><Relationship Id="rId109" Type="http://schemas.openxmlformats.org/officeDocument/2006/relationships/hyperlink" Target="http://thuyloitiengiang.vn/web/thuyloitiengiang/chi-tiet-tin-tuc?id=464851" TargetMode="External"/><Relationship Id="rId110" Type="http://schemas.openxmlformats.org/officeDocument/2006/relationships/hyperlink" Target="http://thuyloitiengiang.vn/web/thuyloitiengiang/chi-tiet-tin-tuc?id=464851" TargetMode="External"/><Relationship Id="rId111" Type="http://schemas.openxmlformats.org/officeDocument/2006/relationships/hyperlink" Target="http://thuyloitiengiang.vn/web/thuyloitiengiang/chi-tiet-tin-tuc?id=464851" TargetMode="External"/><Relationship Id="rId112" Type="http://schemas.openxmlformats.org/officeDocument/2006/relationships/hyperlink" Target="http://thuyloitiengiang.vn/web/thuyloitiengiang/chi-tiet-tin-tuc?id=464851" TargetMode="External"/><Relationship Id="rId113" Type="http://schemas.openxmlformats.org/officeDocument/2006/relationships/hyperlink" Target="http://thuyloitiengiang.vn/web/thuyloitiengiang/chi-tiet-tin-tuc?id=464851" TargetMode="External"/><Relationship Id="rId114" Type="http://schemas.openxmlformats.org/officeDocument/2006/relationships/hyperlink" Target="http://thuyloitiengiang.vn/web/thuyloitiengiang/chi-tiet-tin-tuc?id=464851" TargetMode="External"/><Relationship Id="rId115" Type="http://schemas.openxmlformats.org/officeDocument/2006/relationships/hyperlink" Target="http://thuyloitiengiang.vn/web/thuyloitiengiang/chi-tiet-tin-tuc?id=464851" TargetMode="External"/><Relationship Id="rId116" Type="http://schemas.openxmlformats.org/officeDocument/2006/relationships/hyperlink" Target="http://thuyloitiengiang.vn/web/thuyloitiengiang/chi-tiet-tin-tuc?id=464851" TargetMode="External"/><Relationship Id="rId117" Type="http://schemas.openxmlformats.org/officeDocument/2006/relationships/hyperlink" Target="http://thuyloitiengiang.vn/web/thuyloitiengiang/chi-tiet-tin-tuc?id=464851" TargetMode="External"/><Relationship Id="rId118" Type="http://schemas.openxmlformats.org/officeDocument/2006/relationships/hyperlink" Target="http://thuyloitiengiang.vn/web/thuyloitiengiang/chi-tiet-tin-tuc?id=464854" TargetMode="External"/><Relationship Id="rId119" Type="http://schemas.openxmlformats.org/officeDocument/2006/relationships/hyperlink" Target="http://thuyloitiengiang.vn/web/thuyloitiengiang/chi-tiet-tin-tuc?id=464854" TargetMode="External"/><Relationship Id="rId120" Type="http://schemas.openxmlformats.org/officeDocument/2006/relationships/hyperlink" Target="http://thuyloitiengiang.vn/web/thuyloitiengiang/chi-tiet-tin-tuc?id=464854" TargetMode="External"/><Relationship Id="rId121" Type="http://schemas.openxmlformats.org/officeDocument/2006/relationships/hyperlink" Target="http://thuyloitiengiang.vn/web/thuyloitiengiang/chi-tiet-tin-tuc?id=464854" TargetMode="External"/><Relationship Id="rId122" Type="http://schemas.openxmlformats.org/officeDocument/2006/relationships/hyperlink" Target="http://thuyloitiengiang.vn/web/thuyloitiengiang/chi-tiet-tin-tuc?id=464854" TargetMode="External"/><Relationship Id="rId123" Type="http://schemas.openxmlformats.org/officeDocument/2006/relationships/hyperlink" Target="http://thuyloitiengiang.vn/web/thuyloitiengiang/chi-tiet-tin-tuc?id=464854" TargetMode="External"/><Relationship Id="rId124" Type="http://schemas.openxmlformats.org/officeDocument/2006/relationships/hyperlink" Target="http://thuyloitiengiang.vn/web/thuyloitiengiang/chi-tiet-tin-tuc?id=464854" TargetMode="External"/><Relationship Id="rId125" Type="http://schemas.openxmlformats.org/officeDocument/2006/relationships/hyperlink" Target="http://thuyloitiengiang.vn/web/thuyloitiengiang/chi-tiet-tin-tuc?id=464854" TargetMode="External"/><Relationship Id="rId126" Type="http://schemas.openxmlformats.org/officeDocument/2006/relationships/hyperlink" Target="http://thuyloitiengiang.vn/web/thuyloitiengiang/chi-tiet-tin-tuc?id=464854" TargetMode="External"/><Relationship Id="rId127" Type="http://schemas.openxmlformats.org/officeDocument/2006/relationships/hyperlink" Target="http://thuyloitiengiang.vn/web/thuyloitiengiang/chi-tiet-tin-tuc?id=464854" TargetMode="External"/><Relationship Id="rId128" Type="http://schemas.openxmlformats.org/officeDocument/2006/relationships/hyperlink" Target="http://thuyloitiengiang.vn/web/thuyloitiengiang/chi-tiet-tin-tuc?id=464854" TargetMode="External"/><Relationship Id="rId129" Type="http://schemas.openxmlformats.org/officeDocument/2006/relationships/hyperlink" Target="http://thuyloitiengiang.vn/web/thuyloitiengiang/chi-tiet-tin-tuc?id=464854" TargetMode="External"/><Relationship Id="rId130" Type="http://schemas.openxmlformats.org/officeDocument/2006/relationships/hyperlink" Target="http://thuyloitiengiang.vn/web/thuyloitiengiang/chi-tiet-tin-tuc?id=464854" TargetMode="External"/><Relationship Id="rId131" Type="http://schemas.openxmlformats.org/officeDocument/2006/relationships/hyperlink" Target="http://thuyloitiengiang.vn/web/thuyloitiengiang/chi-tiet-tin-tuc?id=464854" TargetMode="External"/><Relationship Id="rId132" Type="http://schemas.openxmlformats.org/officeDocument/2006/relationships/hyperlink" Target="http://thuyloitiengiang.vn/web/thuyloitiengiang/chi-tiet-tin-tuc?id=464854" TargetMode="External"/><Relationship Id="rId133" Type="http://schemas.openxmlformats.org/officeDocument/2006/relationships/hyperlink" Target="http://thuyloitiengiang.vn/web/thuyloitiengiang/chi-tiet-tin-tuc?id=464854" TargetMode="External"/><Relationship Id="rId134" Type="http://schemas.openxmlformats.org/officeDocument/2006/relationships/hyperlink" Target="http://thuyloitiengiang.vn/web/thuyloitiengiang/chi-tiet-tin-tuc?id=464854" TargetMode="External"/><Relationship Id="rId135" Type="http://schemas.openxmlformats.org/officeDocument/2006/relationships/hyperlink" Target="http://thuyloitiengiang.vn/web/thuyloitiengiang/chi-tiet-tin-tuc?id=464854" TargetMode="External"/><Relationship Id="rId136" Type="http://schemas.openxmlformats.org/officeDocument/2006/relationships/hyperlink" Target="http://thuyloitiengiang.vn/web/thuyloitiengiang/chi-tiet-tin-tuc?id=464854" TargetMode="External"/><Relationship Id="rId137" Type="http://schemas.openxmlformats.org/officeDocument/2006/relationships/hyperlink" Target="http://thuyloitiengiang.vn/web/thuyloitiengiang/chi-tiet-tin-tuc?id=464854" TargetMode="External"/><Relationship Id="rId138" Type="http://schemas.openxmlformats.org/officeDocument/2006/relationships/hyperlink" Target="http://thuyloitiengiang.vn/web/thuyloitiengiang/chi-tiet-tin-tuc?id=464854" TargetMode="External"/><Relationship Id="rId139" Type="http://schemas.openxmlformats.org/officeDocument/2006/relationships/hyperlink" Target="http://thuyloitiengiang.vn/web/thuyloitiengiang/chi-tiet-tin-tuc?id=464854" TargetMode="External"/><Relationship Id="rId140" Type="http://schemas.openxmlformats.org/officeDocument/2006/relationships/hyperlink" Target="http://thuyloitiengiang.vn/web/thuyloitiengiang/chi-tiet-tin-tuc?id=464854" TargetMode="External"/><Relationship Id="rId141" Type="http://schemas.openxmlformats.org/officeDocument/2006/relationships/hyperlink" Target="http://thuyloitiengiang.vn/web/thuyloitiengiang/chi-tiet-tin-tuc?id=464854" TargetMode="External"/><Relationship Id="rId142" Type="http://schemas.openxmlformats.org/officeDocument/2006/relationships/hyperlink" Target="http://thuyloitiengiang.vn/web/thuyloitiengiang/chi-tiet-tin-tuc?id=464854" TargetMode="External"/><Relationship Id="rId143" Type="http://schemas.openxmlformats.org/officeDocument/2006/relationships/hyperlink" Target="http://thuyloitiengiang.vn/web/thuyloitiengiang/chi-tiet-tin-tuc?id=464854" TargetMode="External"/><Relationship Id="rId144" Type="http://schemas.openxmlformats.org/officeDocument/2006/relationships/hyperlink" Target="http://thuyloitiengiang.vn/web/thuyloitiengiang/chi-tiet-tin-tuc?id=464854" TargetMode="External"/><Relationship Id="rId145" Type="http://schemas.openxmlformats.org/officeDocument/2006/relationships/hyperlink" Target="http://thuyloitiengiang.vn/web/thuyloitiengiang/chi-tiet-tin-tuc?id=464854" TargetMode="External"/><Relationship Id="rId146" Type="http://schemas.openxmlformats.org/officeDocument/2006/relationships/hyperlink" Target="http://thuyloitiengiang.vn/web/thuyloitiengiang/chi-tiet-tin-tuc?id=464854" TargetMode="External"/><Relationship Id="rId147" Type="http://schemas.openxmlformats.org/officeDocument/2006/relationships/hyperlink" Target="http://thuyloitiengiang.vn/ja/web/thuyloitiengiang/chi-tiet-tin-tuc?id=520619" TargetMode="External"/><Relationship Id="rId148" Type="http://schemas.openxmlformats.org/officeDocument/2006/relationships/hyperlink" Target="http://thuyloitiengiang.vn/ja/web/thuyloitiengiang/chi-tiet-tin-tuc?id=520619" TargetMode="External"/><Relationship Id="rId149" Type="http://schemas.openxmlformats.org/officeDocument/2006/relationships/hyperlink" Target="http://thuyloitiengiang.vn/ja/web/thuyloitiengiang/chi-tiet-tin-tuc?id=520619" TargetMode="External"/><Relationship Id="rId150" Type="http://schemas.openxmlformats.org/officeDocument/2006/relationships/hyperlink" Target="http://thuyloitiengiang.vn/ja/web/thuyloitiengiang/chi-tiet-tin-tuc?id=520619" TargetMode="External"/><Relationship Id="rId151" Type="http://schemas.openxmlformats.org/officeDocument/2006/relationships/hyperlink" Target="http://thuyloitiengiang.vn/ja/web/thuyloitiengiang/chi-tiet-tin-tuc?id=520619" TargetMode="External"/><Relationship Id="rId152" Type="http://schemas.openxmlformats.org/officeDocument/2006/relationships/hyperlink" Target="http://thuyloitiengiang.vn/ja/web/thuyloitiengiang/chi-tiet-tin-tuc?id=520619" TargetMode="External"/><Relationship Id="rId153" Type="http://schemas.openxmlformats.org/officeDocument/2006/relationships/hyperlink" Target="http://thuyloitiengiang.vn/ja/web/thuyloitiengiang/chi-tiet-tin-tuc?id=520619" TargetMode="External"/><Relationship Id="rId154" Type="http://schemas.openxmlformats.org/officeDocument/2006/relationships/hyperlink" Target="http://thuyloitiengiang.vn/ja/web/thuyloitiengiang/chi-tiet-tin-tuc?id=520619" TargetMode="External"/><Relationship Id="rId155" Type="http://schemas.openxmlformats.org/officeDocument/2006/relationships/hyperlink" Target="http://thuyloitiengiang.vn/ja/web/thuyloitiengiang/chi-tiet-tin-tuc?id=520619" TargetMode="External"/><Relationship Id="rId156" Type="http://schemas.openxmlformats.org/officeDocument/2006/relationships/hyperlink" Target="http://thuyloitiengiang.vn/ja/web/thuyloitiengiang/chi-tiet-tin-tuc?id=520619" TargetMode="External"/><Relationship Id="rId157" Type="http://schemas.openxmlformats.org/officeDocument/2006/relationships/hyperlink" Target="http://thuyloitiengiang.vn/ja/web/thuyloitiengiang/chi-tiet-tin-tuc?id=520619" TargetMode="External"/><Relationship Id="rId158" Type="http://schemas.openxmlformats.org/officeDocument/2006/relationships/hyperlink" Target="http://thuyloitiengiang.vn/ja/web/thuyloitiengiang/chi-tiet-tin-tuc?id=520619" TargetMode="External"/><Relationship Id="rId159" Type="http://schemas.openxmlformats.org/officeDocument/2006/relationships/hyperlink" Target="http://thuyloitiengiang.vn/ja/web/thuyloitiengiang/chi-tiet-tin-tuc?id=520619" TargetMode="External"/><Relationship Id="rId160" Type="http://schemas.openxmlformats.org/officeDocument/2006/relationships/hyperlink" Target="http://thuyloitiengiang.vn/ja/web/thuyloitiengiang/chi-tiet-tin-tuc?id=520619" TargetMode="External"/><Relationship Id="rId161" Type="http://schemas.openxmlformats.org/officeDocument/2006/relationships/hyperlink" Target="http://thuyloitiengiang.vn/ja/web/thuyloitiengiang/chi-tiet-tin-tuc?id=520619" TargetMode="External"/><Relationship Id="rId162" Type="http://schemas.openxmlformats.org/officeDocument/2006/relationships/hyperlink" Target="http://thuyloitiengiang.vn/ja/web/thuyloitiengiang/chi-tiet-tin-tuc?id=520619" TargetMode="External"/><Relationship Id="rId163" Type="http://schemas.openxmlformats.org/officeDocument/2006/relationships/hyperlink" Target="http://thuyloitiengiang.vn/ja/web/thuyloitiengiang/chi-tiet-tin-tuc?id=520619" TargetMode="External"/><Relationship Id="rId164" Type="http://schemas.openxmlformats.org/officeDocument/2006/relationships/hyperlink" Target="http://thuyloitiengiang.vn/ja/web/thuyloitiengiang/chi-tiet-tin-tuc?id=520619" TargetMode="External"/><Relationship Id="rId165" Type="http://schemas.openxmlformats.org/officeDocument/2006/relationships/hyperlink" Target="http://thuyloitiengiang.vn/ja/web/thuyloitiengiang/chi-tiet-tin-tuc?id=520619" TargetMode="External"/><Relationship Id="rId166" Type="http://schemas.openxmlformats.org/officeDocument/2006/relationships/hyperlink" Target="http://thuyloitiengiang.vn/ja/web/thuyloitiengiang/chi-tiet-tin-tuc?id=520619" TargetMode="External"/><Relationship Id="rId167" Type="http://schemas.openxmlformats.org/officeDocument/2006/relationships/hyperlink" Target="http://thuyloitiengiang.vn/ja/web/thuyloitiengiang/chi-tiet-tin-tuc?id=520619" TargetMode="External"/><Relationship Id="rId168" Type="http://schemas.openxmlformats.org/officeDocument/2006/relationships/hyperlink" Target="http://thuyloitiengiang.vn/ja/web/thuyloitiengiang/chi-tiet-tin-tuc?id=520619" TargetMode="External"/><Relationship Id="rId169" Type="http://schemas.openxmlformats.org/officeDocument/2006/relationships/hyperlink" Target="http://thuyloitiengiang.vn/ja/web/thuyloitiengiang/chi-tiet-tin-tuc?id=520619" TargetMode="External"/><Relationship Id="rId170" Type="http://schemas.openxmlformats.org/officeDocument/2006/relationships/hyperlink" Target="http://thuyloitiengiang.vn/ja/web/thuyloitiengiang/chi-tiet-tin-tuc?id=520619" TargetMode="External"/><Relationship Id="rId171" Type="http://schemas.openxmlformats.org/officeDocument/2006/relationships/hyperlink" Target="http://thuyloitiengiang.vn/ja/web/thuyloitiengiang/chi-tiet-tin-tuc?id=520619" TargetMode="External"/><Relationship Id="rId172" Type="http://schemas.openxmlformats.org/officeDocument/2006/relationships/hyperlink" Target="http://thuyloitiengiang.vn/ja/web/thuyloitiengiang/chi-tiet-tin-tuc?id=520619" TargetMode="External"/><Relationship Id="rId173" Type="http://schemas.openxmlformats.org/officeDocument/2006/relationships/hyperlink" Target="http://thuyloitiengiang.vn/ja/web/thuyloitiengiang/chi-tiet-tin-tuc?id=520619" TargetMode="External"/><Relationship Id="rId174" Type="http://schemas.openxmlformats.org/officeDocument/2006/relationships/hyperlink" Target="http://thuyloitiengiang.vn/ja/web/thuyloitiengiang/chi-tiet-tin-tuc?id=520619" TargetMode="External"/><Relationship Id="rId175" Type="http://schemas.openxmlformats.org/officeDocument/2006/relationships/hyperlink" Target="http://thuyloitiengiang.vn/ja/web/thuyloitiengiang/chi-tiet-tin-tuc?id=520619" TargetMode="External"/><Relationship Id="rId176" Type="http://schemas.openxmlformats.org/officeDocument/2006/relationships/hyperlink" Target="http://thuyloitiengiang.vn/ja/web/thuyloitiengiang/chi-tiet-tin-tuc?id=520621" TargetMode="External"/><Relationship Id="rId177" Type="http://schemas.openxmlformats.org/officeDocument/2006/relationships/hyperlink" Target="http://thuyloitiengiang.vn/ja/web/thuyloitiengiang/chi-tiet-tin-tuc?id=520621" TargetMode="External"/><Relationship Id="rId178" Type="http://schemas.openxmlformats.org/officeDocument/2006/relationships/hyperlink" Target="http://thuyloitiengiang.vn/ja/web/thuyloitiengiang/chi-tiet-tin-tuc?id=520621" TargetMode="External"/><Relationship Id="rId179" Type="http://schemas.openxmlformats.org/officeDocument/2006/relationships/hyperlink" Target="http://thuyloitiengiang.vn/ja/web/thuyloitiengiang/chi-tiet-tin-tuc?id=520621" TargetMode="External"/><Relationship Id="rId180" Type="http://schemas.openxmlformats.org/officeDocument/2006/relationships/hyperlink" Target="http://thuyloitiengiang.vn/ja/web/thuyloitiengiang/chi-tiet-tin-tuc?id=520621" TargetMode="External"/><Relationship Id="rId181" Type="http://schemas.openxmlformats.org/officeDocument/2006/relationships/hyperlink" Target="http://thuyloitiengiang.vn/ja/web/thuyloitiengiang/chi-tiet-tin-tuc?id=520621" TargetMode="External"/><Relationship Id="rId182" Type="http://schemas.openxmlformats.org/officeDocument/2006/relationships/hyperlink" Target="http://thuyloitiengiang.vn/ja/web/thuyloitiengiang/chi-tiet-tin-tuc?id=520621" TargetMode="External"/><Relationship Id="rId183" Type="http://schemas.openxmlformats.org/officeDocument/2006/relationships/hyperlink" Target="http://thuyloitiengiang.vn/ja/web/thuyloitiengiang/chi-tiet-tin-tuc?id=520621" TargetMode="External"/><Relationship Id="rId184" Type="http://schemas.openxmlformats.org/officeDocument/2006/relationships/hyperlink" Target="http://thuyloitiengiang.vn/ja/web/thuyloitiengiang/chi-tiet-tin-tuc?id=520621" TargetMode="External"/><Relationship Id="rId185" Type="http://schemas.openxmlformats.org/officeDocument/2006/relationships/hyperlink" Target="http://thuyloitiengiang.vn/ja/web/thuyloitiengiang/chi-tiet-tin-tuc?id=520621" TargetMode="External"/><Relationship Id="rId186" Type="http://schemas.openxmlformats.org/officeDocument/2006/relationships/hyperlink" Target="http://thuyloitiengiang.vn/ja/web/thuyloitiengiang/chi-tiet-tin-tuc?id=520621" TargetMode="External"/><Relationship Id="rId187" Type="http://schemas.openxmlformats.org/officeDocument/2006/relationships/hyperlink" Target="http://thuyloitiengiang.vn/ja/web/thuyloitiengiang/chi-tiet-tin-tuc?id=520621" TargetMode="External"/><Relationship Id="rId188" Type="http://schemas.openxmlformats.org/officeDocument/2006/relationships/hyperlink" Target="http://thuyloitiengiang.vn/ja/web/thuyloitiengiang/chi-tiet-tin-tuc?id=520621" TargetMode="External"/><Relationship Id="rId189" Type="http://schemas.openxmlformats.org/officeDocument/2006/relationships/hyperlink" Target="http://thuyloitiengiang.vn/ja/web/thuyloitiengiang/chi-tiet-tin-tuc?id=520621" TargetMode="External"/><Relationship Id="rId190" Type="http://schemas.openxmlformats.org/officeDocument/2006/relationships/hyperlink" Target="http://thuyloitiengiang.vn/ja/web/thuyloitiengiang/chi-tiet-tin-tuc?id=520621" TargetMode="External"/><Relationship Id="rId191" Type="http://schemas.openxmlformats.org/officeDocument/2006/relationships/hyperlink" Target="http://thuyloitiengiang.vn/ja/web/thuyloitiengiang/chi-tiet-tin-tuc?id=520621" TargetMode="External"/><Relationship Id="rId192" Type="http://schemas.openxmlformats.org/officeDocument/2006/relationships/hyperlink" Target="http://thuyloitiengiang.vn/ja/web/thuyloitiengiang/chi-tiet-tin-tuc?id=520621" TargetMode="External"/><Relationship Id="rId193" Type="http://schemas.openxmlformats.org/officeDocument/2006/relationships/hyperlink" Target="http://thuyloitiengiang.vn/ja/web/thuyloitiengiang/chi-tiet-tin-tuc?id=520621" TargetMode="External"/><Relationship Id="rId194" Type="http://schemas.openxmlformats.org/officeDocument/2006/relationships/hyperlink" Target="http://thuyloitiengiang.vn/ja/web/thuyloitiengiang/chi-tiet-tin-tuc?id=520621" TargetMode="External"/><Relationship Id="rId195" Type="http://schemas.openxmlformats.org/officeDocument/2006/relationships/hyperlink" Target="http://thuyloitiengiang.vn/ja/web/thuyloitiengiang/chi-tiet-tin-tuc?id=520621" TargetMode="External"/><Relationship Id="rId196" Type="http://schemas.openxmlformats.org/officeDocument/2006/relationships/hyperlink" Target="http://thuyloitiengiang.vn/ja/web/thuyloitiengiang/chi-tiet-tin-tuc?id=520621" TargetMode="External"/><Relationship Id="rId197" Type="http://schemas.openxmlformats.org/officeDocument/2006/relationships/hyperlink" Target="http://thuyloitiengiang.vn/ja/web/thuyloitiengiang/chi-tiet-tin-tuc?id=520621" TargetMode="External"/><Relationship Id="rId198" Type="http://schemas.openxmlformats.org/officeDocument/2006/relationships/hyperlink" Target="http://thuyloitiengiang.vn/ja/web/thuyloitiengiang/chi-tiet-tin-tuc?id=520621" TargetMode="External"/><Relationship Id="rId199" Type="http://schemas.openxmlformats.org/officeDocument/2006/relationships/hyperlink" Target="http://thuyloitiengiang.vn/ja/web/thuyloitiengiang/chi-tiet-tin-tuc?id=520621" TargetMode="External"/><Relationship Id="rId200" Type="http://schemas.openxmlformats.org/officeDocument/2006/relationships/hyperlink" Target="http://thuyloitiengiang.vn/ja/web/thuyloitiengiang/chi-tiet-tin-tuc?id=520621" TargetMode="External"/><Relationship Id="rId201" Type="http://schemas.openxmlformats.org/officeDocument/2006/relationships/hyperlink" Target="http://thuyloitiengiang.vn/ja/web/thuyloitiengiang/chi-tiet-tin-tuc?id=520621" TargetMode="External"/><Relationship Id="rId202" Type="http://schemas.openxmlformats.org/officeDocument/2006/relationships/hyperlink" Target="http://thuyloitiengiang.vn/ja/web/thuyloitiengiang/chi-tiet-tin-tuc?id=520621" TargetMode="External"/><Relationship Id="rId203" Type="http://schemas.openxmlformats.org/officeDocument/2006/relationships/hyperlink" Target="http://thuyloitiengiang.vn/ja/web/thuyloitiengiang/chi-tiet-tin-tuc?id=520621" TargetMode="External"/><Relationship Id="rId204" Type="http://schemas.openxmlformats.org/officeDocument/2006/relationships/hyperlink" Target="http://thuyloitiengiang.vn/ja/web/thuyloitiengiang/chi-tiet-tin-tuc?id=520621" TargetMode="External"/><Relationship Id="rId205" Type="http://schemas.openxmlformats.org/officeDocument/2006/relationships/hyperlink" Target="http://thuyloitiengiang.vn/ja/web/thuyloitiengiang/chi-tiet-tin-tuc?id=520623" TargetMode="External"/><Relationship Id="rId206" Type="http://schemas.openxmlformats.org/officeDocument/2006/relationships/hyperlink" Target="http://thuyloitiengiang.vn/ja/web/thuyloitiengiang/chi-tiet-tin-tuc?id=520623" TargetMode="External"/><Relationship Id="rId207" Type="http://schemas.openxmlformats.org/officeDocument/2006/relationships/hyperlink" Target="http://thuyloitiengiang.vn/ja/web/thuyloitiengiang/chi-tiet-tin-tuc?id=520623" TargetMode="External"/><Relationship Id="rId208" Type="http://schemas.openxmlformats.org/officeDocument/2006/relationships/hyperlink" Target="http://thuyloitiengiang.vn/ja/web/thuyloitiengiang/chi-tiet-tin-tuc?id=520623" TargetMode="External"/><Relationship Id="rId209" Type="http://schemas.openxmlformats.org/officeDocument/2006/relationships/hyperlink" Target="http://thuyloitiengiang.vn/ja/web/thuyloitiengiang/chi-tiet-tin-tuc?id=520623" TargetMode="External"/><Relationship Id="rId210" Type="http://schemas.openxmlformats.org/officeDocument/2006/relationships/hyperlink" Target="http://thuyloitiengiang.vn/ja/web/thuyloitiengiang/chi-tiet-tin-tuc?id=520623" TargetMode="External"/><Relationship Id="rId211" Type="http://schemas.openxmlformats.org/officeDocument/2006/relationships/hyperlink" Target="http://thuyloitiengiang.vn/ja/web/thuyloitiengiang/chi-tiet-tin-tuc?id=520623" TargetMode="External"/><Relationship Id="rId212" Type="http://schemas.openxmlformats.org/officeDocument/2006/relationships/hyperlink" Target="http://thuyloitiengiang.vn/ja/web/thuyloitiengiang/chi-tiet-tin-tuc?id=520623" TargetMode="External"/><Relationship Id="rId213" Type="http://schemas.openxmlformats.org/officeDocument/2006/relationships/hyperlink" Target="http://thuyloitiengiang.vn/ja/web/thuyloitiengiang/chi-tiet-tin-tuc?id=520623" TargetMode="External"/><Relationship Id="rId214" Type="http://schemas.openxmlformats.org/officeDocument/2006/relationships/hyperlink" Target="http://thuyloitiengiang.vn/ja/web/thuyloitiengiang/chi-tiet-tin-tuc?id=520623" TargetMode="External"/><Relationship Id="rId215" Type="http://schemas.openxmlformats.org/officeDocument/2006/relationships/hyperlink" Target="http://thuyloitiengiang.vn/ja/web/thuyloitiengiang/chi-tiet-tin-tuc?id=520623" TargetMode="External"/><Relationship Id="rId216" Type="http://schemas.openxmlformats.org/officeDocument/2006/relationships/hyperlink" Target="http://thuyloitiengiang.vn/ja/web/thuyloitiengiang/chi-tiet-tin-tuc?id=520623" TargetMode="External"/><Relationship Id="rId217" Type="http://schemas.openxmlformats.org/officeDocument/2006/relationships/hyperlink" Target="http://thuyloitiengiang.vn/ja/web/thuyloitiengiang/chi-tiet-tin-tuc?id=520623" TargetMode="External"/><Relationship Id="rId218" Type="http://schemas.openxmlformats.org/officeDocument/2006/relationships/hyperlink" Target="http://thuyloitiengiang.vn/ja/web/thuyloitiengiang/chi-tiet-tin-tuc?id=520623" TargetMode="External"/><Relationship Id="rId219" Type="http://schemas.openxmlformats.org/officeDocument/2006/relationships/hyperlink" Target="http://thuyloitiengiang.vn/ja/web/thuyloitiengiang/chi-tiet-tin-tuc?id=520623" TargetMode="External"/><Relationship Id="rId220" Type="http://schemas.openxmlformats.org/officeDocument/2006/relationships/hyperlink" Target="http://thuyloitiengiang.vn/ja/web/thuyloitiengiang/chi-tiet-tin-tuc?id=520623" TargetMode="External"/><Relationship Id="rId221" Type="http://schemas.openxmlformats.org/officeDocument/2006/relationships/hyperlink" Target="http://thuyloitiengiang.vn/ja/web/thuyloitiengiang/chi-tiet-tin-tuc?id=520623" TargetMode="External"/><Relationship Id="rId222" Type="http://schemas.openxmlformats.org/officeDocument/2006/relationships/hyperlink" Target="http://thuyloitiengiang.vn/ja/web/thuyloitiengiang/chi-tiet-tin-tuc?id=520623" TargetMode="External"/><Relationship Id="rId223" Type="http://schemas.openxmlformats.org/officeDocument/2006/relationships/hyperlink" Target="http://thuyloitiengiang.vn/ja/web/thuyloitiengiang/chi-tiet-tin-tuc?id=520623" TargetMode="External"/><Relationship Id="rId224" Type="http://schemas.openxmlformats.org/officeDocument/2006/relationships/hyperlink" Target="http://thuyloitiengiang.vn/ja/web/thuyloitiengiang/chi-tiet-tin-tuc?id=520623" TargetMode="External"/><Relationship Id="rId225" Type="http://schemas.openxmlformats.org/officeDocument/2006/relationships/hyperlink" Target="http://thuyloitiengiang.vn/ja/web/thuyloitiengiang/chi-tiet-tin-tuc?id=520623" TargetMode="External"/><Relationship Id="rId226" Type="http://schemas.openxmlformats.org/officeDocument/2006/relationships/hyperlink" Target="http://thuyloitiengiang.vn/ja/web/thuyloitiengiang/chi-tiet-tin-tuc?id=520623" TargetMode="External"/><Relationship Id="rId227" Type="http://schemas.openxmlformats.org/officeDocument/2006/relationships/hyperlink" Target="http://thuyloitiengiang.vn/ja/web/thuyloitiengiang/chi-tiet-tin-tuc?id=520623" TargetMode="External"/><Relationship Id="rId228" Type="http://schemas.openxmlformats.org/officeDocument/2006/relationships/hyperlink" Target="http://thuyloitiengiang.vn/ja/web/thuyloitiengiang/chi-tiet-tin-tuc?id=520623" TargetMode="External"/><Relationship Id="rId229" Type="http://schemas.openxmlformats.org/officeDocument/2006/relationships/hyperlink" Target="http://thuyloitiengiang.vn/ja/web/thuyloitiengiang/chi-tiet-tin-tuc?id=520623" TargetMode="External"/><Relationship Id="rId230" Type="http://schemas.openxmlformats.org/officeDocument/2006/relationships/hyperlink" Target="http://thuyloitiengiang.vn/ja/web/thuyloitiengiang/chi-tiet-tin-tuc?id=520623" TargetMode="External"/><Relationship Id="rId231" Type="http://schemas.openxmlformats.org/officeDocument/2006/relationships/hyperlink" Target="http://thuyloitiengiang.vn/en/web/thuyloitiengiang/chi-tiet-tin-tuc?id=520630" TargetMode="External"/><Relationship Id="rId232" Type="http://schemas.openxmlformats.org/officeDocument/2006/relationships/hyperlink" Target="http://thuyloitiengiang.vn/en/web/thuyloitiengiang/chi-tiet-tin-tuc?id=520630" TargetMode="External"/><Relationship Id="rId233" Type="http://schemas.openxmlformats.org/officeDocument/2006/relationships/hyperlink" Target="http://thuyloitiengiang.vn/en/web/thuyloitiengiang/chi-tiet-tin-tuc?id=520630" TargetMode="External"/><Relationship Id="rId234" Type="http://schemas.openxmlformats.org/officeDocument/2006/relationships/hyperlink" Target="http://thuyloitiengiang.vn/en/web/thuyloitiengiang/chi-tiet-tin-tuc?id=520630" TargetMode="External"/><Relationship Id="rId235" Type="http://schemas.openxmlformats.org/officeDocument/2006/relationships/hyperlink" Target="http://thuyloitiengiang.vn/en/web/thuyloitiengiang/chi-tiet-tin-tuc?id=520630" TargetMode="External"/><Relationship Id="rId236" Type="http://schemas.openxmlformats.org/officeDocument/2006/relationships/hyperlink" Target="http://thuyloitiengiang.vn/en/web/thuyloitiengiang/chi-tiet-tin-tuc?id=520630" TargetMode="External"/><Relationship Id="rId237" Type="http://schemas.openxmlformats.org/officeDocument/2006/relationships/hyperlink" Target="http://thuyloitiengiang.vn/en/web/thuyloitiengiang/chi-tiet-tin-tuc?id=520630" TargetMode="External"/><Relationship Id="rId238" Type="http://schemas.openxmlformats.org/officeDocument/2006/relationships/hyperlink" Target="http://thuyloitiengiang.vn/en/web/thuyloitiengiang/chi-tiet-tin-tuc?id=520630" TargetMode="External"/><Relationship Id="rId239" Type="http://schemas.openxmlformats.org/officeDocument/2006/relationships/hyperlink" Target="http://thuyloitiengiang.vn/en/web/thuyloitiengiang/chi-tiet-tin-tuc?id=520630" TargetMode="External"/><Relationship Id="rId240" Type="http://schemas.openxmlformats.org/officeDocument/2006/relationships/hyperlink" Target="http://thuyloitiengiang.vn/en/web/thuyloitiengiang/chi-tiet-tin-tuc?id=520630" TargetMode="External"/><Relationship Id="rId241" Type="http://schemas.openxmlformats.org/officeDocument/2006/relationships/hyperlink" Target="http://thuyloitiengiang.vn/en/web/thuyloitiengiang/chi-tiet-tin-tuc?id=520630" TargetMode="External"/><Relationship Id="rId242" Type="http://schemas.openxmlformats.org/officeDocument/2006/relationships/hyperlink" Target="http://thuyloitiengiang.vn/en/web/thuyloitiengiang/chi-tiet-tin-tuc?id=520630" TargetMode="External"/><Relationship Id="rId243" Type="http://schemas.openxmlformats.org/officeDocument/2006/relationships/hyperlink" Target="http://thuyloitiengiang.vn/en/web/thuyloitiengiang/chi-tiet-tin-tuc?id=520630" TargetMode="External"/><Relationship Id="rId244" Type="http://schemas.openxmlformats.org/officeDocument/2006/relationships/hyperlink" Target="http://thuyloitiengiang.vn/en/web/thuyloitiengiang/chi-tiet-tin-tuc?id=520630" TargetMode="External"/><Relationship Id="rId245" Type="http://schemas.openxmlformats.org/officeDocument/2006/relationships/hyperlink" Target="http://thuyloitiengiang.vn/en/web/thuyloitiengiang/chi-tiet-tin-tuc?id=520630" TargetMode="External"/><Relationship Id="rId246" Type="http://schemas.openxmlformats.org/officeDocument/2006/relationships/hyperlink" Target="http://thuyloitiengiang.vn/en/web/thuyloitiengiang/chi-tiet-tin-tuc?id=520630" TargetMode="External"/><Relationship Id="rId247" Type="http://schemas.openxmlformats.org/officeDocument/2006/relationships/hyperlink" Target="http://thuyloitiengiang.vn/en/web/thuyloitiengiang/chi-tiet-tin-tuc?id=520630" TargetMode="External"/><Relationship Id="rId248" Type="http://schemas.openxmlformats.org/officeDocument/2006/relationships/hyperlink" Target="http://thuyloitiengiang.vn/en/web/thuyloitiengiang/chi-tiet-tin-tuc?id=520630" TargetMode="External"/><Relationship Id="rId249" Type="http://schemas.openxmlformats.org/officeDocument/2006/relationships/hyperlink" Target="http://thuyloitiengiang.vn/en/web/thuyloitiengiang/chi-tiet-tin-tuc?id=520630" TargetMode="External"/><Relationship Id="rId250" Type="http://schemas.openxmlformats.org/officeDocument/2006/relationships/hyperlink" Target="http://thuyloitiengiang.vn/en/web/thuyloitiengiang/chi-tiet-tin-tuc?id=520630" TargetMode="External"/><Relationship Id="rId251" Type="http://schemas.openxmlformats.org/officeDocument/2006/relationships/hyperlink" Target="http://thuyloitiengiang.vn/en/web/thuyloitiengiang/chi-tiet-tin-tuc?id=520630" TargetMode="External"/><Relationship Id="rId252" Type="http://schemas.openxmlformats.org/officeDocument/2006/relationships/hyperlink" Target="http://thuyloitiengiang.vn/en/web/thuyloitiengiang/chi-tiet-tin-tuc?id=520630" TargetMode="External"/><Relationship Id="rId253" Type="http://schemas.openxmlformats.org/officeDocument/2006/relationships/hyperlink" Target="http://thuyloitiengiang.vn/en/web/thuyloitiengiang/chi-tiet-tin-tuc?id=520630" TargetMode="External"/><Relationship Id="rId254" Type="http://schemas.openxmlformats.org/officeDocument/2006/relationships/hyperlink" Target="http://thuyloitiengiang.vn/en/web/thuyloitiengiang/chi-tiet-tin-tuc?id=520630" TargetMode="External"/><Relationship Id="rId255" Type="http://schemas.openxmlformats.org/officeDocument/2006/relationships/hyperlink" Target="http://thuyloitiengiang.vn/en/web/thuyloitiengiang/chi-tiet-tin-tuc?id=520630" TargetMode="External"/><Relationship Id="rId256" Type="http://schemas.openxmlformats.org/officeDocument/2006/relationships/hyperlink" Target="http://thuyloitiengiang.vn/en/web/thuyloitiengiang/chi-tiet-tin-tuc?id=520630" TargetMode="External"/><Relationship Id="rId257" Type="http://schemas.openxmlformats.org/officeDocument/2006/relationships/hyperlink" Target="http://thuyloitiengiang.vn/en/web/thuyloitiengiang/chi-tiet-tin-tuc?id=520630" TargetMode="External"/><Relationship Id="rId258" Type="http://schemas.openxmlformats.org/officeDocument/2006/relationships/hyperlink" Target="http://thuyloitiengiang.vn/en/web/thuyloitiengiang/chi-tiet-tin-tuc?id=520630" TargetMode="External"/><Relationship Id="rId259" Type="http://schemas.openxmlformats.org/officeDocument/2006/relationships/hyperlink" Target="http://thuyloitiengiang.vn/en/web/thuyloitiengiang/chi-tiet-tin-tuc?id=520630" TargetMode="External"/><Relationship Id="rId260" Type="http://schemas.openxmlformats.org/officeDocument/2006/relationships/hyperlink" Target="http://thuyloitiengiang.vn/en/web/thuyloitiengiang/chi-tiet-tin-tuc?id=522066" TargetMode="External"/><Relationship Id="rId261" Type="http://schemas.openxmlformats.org/officeDocument/2006/relationships/hyperlink" Target="http://thuyloitiengiang.vn/en/web/thuyloitiengiang/chi-tiet-tin-tuc?id=522066" TargetMode="External"/><Relationship Id="rId262" Type="http://schemas.openxmlformats.org/officeDocument/2006/relationships/hyperlink" Target="http://thuyloitiengiang.vn/en/web/thuyloitiengiang/chi-tiet-tin-tuc?id=522066" TargetMode="External"/><Relationship Id="rId263" Type="http://schemas.openxmlformats.org/officeDocument/2006/relationships/hyperlink" Target="http://thuyloitiengiang.vn/en/web/thuyloitiengiang/chi-tiet-tin-tuc?id=522066" TargetMode="External"/><Relationship Id="rId264" Type="http://schemas.openxmlformats.org/officeDocument/2006/relationships/hyperlink" Target="http://thuyloitiengiang.vn/en/web/thuyloitiengiang/chi-tiet-tin-tuc?id=522066" TargetMode="External"/><Relationship Id="rId265" Type="http://schemas.openxmlformats.org/officeDocument/2006/relationships/hyperlink" Target="http://thuyloitiengiang.vn/en/web/thuyloitiengiang/chi-tiet-tin-tuc?id=522066" TargetMode="External"/><Relationship Id="rId266" Type="http://schemas.openxmlformats.org/officeDocument/2006/relationships/hyperlink" Target="http://thuyloitiengiang.vn/en/web/thuyloitiengiang/chi-tiet-tin-tuc?id=522066" TargetMode="External"/><Relationship Id="rId267" Type="http://schemas.openxmlformats.org/officeDocument/2006/relationships/hyperlink" Target="http://thuyloitiengiang.vn/en/web/thuyloitiengiang/chi-tiet-tin-tuc?id=522066" TargetMode="External"/><Relationship Id="rId268" Type="http://schemas.openxmlformats.org/officeDocument/2006/relationships/hyperlink" Target="http://thuyloitiengiang.vn/en/web/thuyloitiengiang/chi-tiet-tin-tuc?id=522066" TargetMode="External"/><Relationship Id="rId269" Type="http://schemas.openxmlformats.org/officeDocument/2006/relationships/hyperlink" Target="http://thuyloitiengiang.vn/en/web/thuyloitiengiang/chi-tiet-tin-tuc?id=522066" TargetMode="External"/><Relationship Id="rId270" Type="http://schemas.openxmlformats.org/officeDocument/2006/relationships/hyperlink" Target="http://thuyloitiengiang.vn/en/web/thuyloitiengiang/chi-tiet-tin-tuc?id=522066" TargetMode="External"/><Relationship Id="rId271" Type="http://schemas.openxmlformats.org/officeDocument/2006/relationships/hyperlink" Target="http://thuyloitiengiang.vn/en/web/thuyloitiengiang/chi-tiet-tin-tuc?id=522066" TargetMode="External"/><Relationship Id="rId272" Type="http://schemas.openxmlformats.org/officeDocument/2006/relationships/hyperlink" Target="http://thuyloitiengiang.vn/en/web/thuyloitiengiang/chi-tiet-tin-tuc?id=522066" TargetMode="External"/><Relationship Id="rId273" Type="http://schemas.openxmlformats.org/officeDocument/2006/relationships/hyperlink" Target="http://thuyloitiengiang.vn/en/web/thuyloitiengiang/chi-tiet-tin-tuc?id=522066" TargetMode="External"/><Relationship Id="rId274" Type="http://schemas.openxmlformats.org/officeDocument/2006/relationships/hyperlink" Target="http://thuyloitiengiang.vn/en/web/thuyloitiengiang/chi-tiet-tin-tuc?id=522066" TargetMode="External"/><Relationship Id="rId275" Type="http://schemas.openxmlformats.org/officeDocument/2006/relationships/hyperlink" Target="http://thuyloitiengiang.vn/en/web/thuyloitiengiang/chi-tiet-tin-tuc?id=522066" TargetMode="External"/><Relationship Id="rId276" Type="http://schemas.openxmlformats.org/officeDocument/2006/relationships/hyperlink" Target="http://thuyloitiengiang.vn/en/web/thuyloitiengiang/chi-tiet-tin-tuc?id=522066" TargetMode="External"/><Relationship Id="rId277" Type="http://schemas.openxmlformats.org/officeDocument/2006/relationships/hyperlink" Target="http://thuyloitiengiang.vn/en/web/thuyloitiengiang/chi-tiet-tin-tuc?id=522066" TargetMode="External"/><Relationship Id="rId278" Type="http://schemas.openxmlformats.org/officeDocument/2006/relationships/hyperlink" Target="http://thuyloitiengiang.vn/en/web/thuyloitiengiang/chi-tiet-tin-tuc?id=522066" TargetMode="External"/><Relationship Id="rId279" Type="http://schemas.openxmlformats.org/officeDocument/2006/relationships/hyperlink" Target="http://thuyloitiengiang.vn/en/web/thuyloitiengiang/chi-tiet-tin-tuc?id=522066" TargetMode="External"/><Relationship Id="rId280" Type="http://schemas.openxmlformats.org/officeDocument/2006/relationships/hyperlink" Target="http://thuyloitiengiang.vn/en/web/thuyloitiengiang/chi-tiet-tin-tuc?id=522066" TargetMode="External"/><Relationship Id="rId281" Type="http://schemas.openxmlformats.org/officeDocument/2006/relationships/hyperlink" Target="http://thuyloitiengiang.vn/en/web/thuyloitiengiang/chi-tiet-tin-tuc?id=522066" TargetMode="External"/><Relationship Id="rId282" Type="http://schemas.openxmlformats.org/officeDocument/2006/relationships/hyperlink" Target="http://thuyloitiengiang.vn/en/web/thuyloitiengiang/chi-tiet-tin-tuc?id=522066" TargetMode="External"/><Relationship Id="rId283" Type="http://schemas.openxmlformats.org/officeDocument/2006/relationships/hyperlink" Target="http://thuyloitiengiang.vn/en/web/thuyloitiengiang/chi-tiet-tin-tuc?id=522066" TargetMode="External"/><Relationship Id="rId284" Type="http://schemas.openxmlformats.org/officeDocument/2006/relationships/hyperlink" Target="http://thuyloitiengiang.vn/en/web/thuyloitiengiang/chi-tiet-tin-tuc?id=522066" TargetMode="External"/><Relationship Id="rId285" Type="http://schemas.openxmlformats.org/officeDocument/2006/relationships/hyperlink" Target="http://thuyloitiengiang.vn/en/web/thuyloitiengiang/chi-tiet-tin-tuc?id=522066" TargetMode="External"/><Relationship Id="rId286" Type="http://schemas.openxmlformats.org/officeDocument/2006/relationships/hyperlink" Target="http://thuyloitiengiang.vn/en/web/thuyloitiengiang/chi-tiet-tin-tuc?id=522066" TargetMode="External"/><Relationship Id="rId287" Type="http://schemas.openxmlformats.org/officeDocument/2006/relationships/hyperlink" Target="http://thuyloitiengiang.vn/en/web/thuyloitiengiang/chi-tiet-tin-tuc?id=522066" TargetMode="External"/><Relationship Id="rId288" Type="http://schemas.openxmlformats.org/officeDocument/2006/relationships/hyperlink" Target="http://thuyloitiengiang.vn/en/web/thuyloitiengiang/chi-tiet-tin-tuc?id=522066" TargetMode="External"/><Relationship Id="rId289" Type="http://schemas.openxmlformats.org/officeDocument/2006/relationships/hyperlink" Target="https://baodongthap.vn/tien-giang-man-xam-nhap-den-khu-vuc-cau-phu-phong-huyen-chau-thanh-a57394.html" TargetMode="External"/><Relationship Id="rId290" Type="http://schemas.openxmlformats.org/officeDocument/2006/relationships/hyperlink" Target="https://baodongthap.vn/tien-giang-man-xam-nhap-den-khu-vuc-cau-phu-phong-huyen-chau-thanh-a57394.html" TargetMode="External"/><Relationship Id="rId291" Type="http://schemas.openxmlformats.org/officeDocument/2006/relationships/hyperlink" Target="https://baodongthap.vn/tien-giang-man-xam-nhap-den-khu-vuc-cau-phu-phong-huyen-chau-thanh-a57394.html" TargetMode="External"/><Relationship Id="rId292" Type="http://schemas.openxmlformats.org/officeDocument/2006/relationships/hyperlink" Target="https://baodongthap.vn/tien-giang-chu-dong-quyet-liet-voi-xam-nhap-man-a58212.html" TargetMode="External"/><Relationship Id="rId293" Type="http://schemas.openxmlformats.org/officeDocument/2006/relationships/hyperlink" Target="https://dantri.com.vn/thoi-su/vi-sao-cong-ngan-man-lon-thu-2-mien-tay-mo-chua-lau-lai-dong-20240508151519524.htm" TargetMode="External"/><Relationship Id="rId294" Type="http://schemas.openxmlformats.org/officeDocument/2006/relationships/hyperlink" Target="https://baodongthap.vn/dong-thap-chu-dong-van-hanh-cong-trinh-thuy-loi-phong-chong-trieu-cuong-xam-nhap-man-dau-thang-2--a238315.html" TargetMode="External"/><Relationship Id="rId295" Type="http://schemas.openxmlformats.org/officeDocument/2006/relationships/hyperlink" Target="https://drive.google.com/file/d/1jy4qNGTUyO5zFyLGqwi0B16K1XHlZehY/view?usp=drivesdk" TargetMode="External"/><Relationship Id="rId296" Type="http://schemas.openxmlformats.org/officeDocument/2006/relationships/hyperlink" Target="https://baodongthap.vn/du-bao-xam-nhap-man-tren-dia-ban-tien-giang-tu-ngay-11-den-ngay-20-4-a67825.html" TargetMode="External"/><Relationship Id="rId297" Type="http://schemas.openxmlformats.org/officeDocument/2006/relationships/hyperlink" Target="https://baodongthap.vn/du-bao-xam-nhap-man-tren-dia-ban-tien-giang-tu-ngay-11-den-ngay-20-4-a67825.html" TargetMode="External"/><Relationship Id="rId298" Type="http://schemas.openxmlformats.org/officeDocument/2006/relationships/hyperlink" Target="https://baodongthap.vn/du-bao-xam-nhap-man-tren-dia-ban-tien-giang-tu-ngay-11-den-ngay-20-4-a67825.html" TargetMode="External"/><Relationship Id="rId299" Type="http://schemas.openxmlformats.org/officeDocument/2006/relationships/hyperlink" Target="https://nhandan.vn/xam-nhap-man-co-xu-the-tang-nhanh-tai-tien-giang-post852937.html" TargetMode="External"/><Relationship Id="rId300" Type="http://schemas.openxmlformats.org/officeDocument/2006/relationships/hyperlink" Target="https://baodongthap.vn/tien-giang-xam-nhap-man-tang-tro-lai-a34313.html" TargetMode="External"/><Relationship Id="rId301" Type="http://schemas.openxmlformats.org/officeDocument/2006/relationships/hyperlink" Target="https://nhandan.vn/man-xam-nhap-sau-vao-noi-dong-o-dong-thap-post943395.html" TargetMode="External"/><Relationship Id="rId302" Type="http://schemas.openxmlformats.org/officeDocument/2006/relationships/hyperlink" Target="https://baodongthap.vn/xam-nhap-man-o-dong-bang-song-cuu-long-thap-hon-trung-binh-nhieu-nam-a237975.html" TargetMode="External"/>
</Relationships>
</file>

<file path=xl/worksheets/_rels/sheet12.xml.rels><?xml version="1.0" encoding="UTF-8"?>
<Relationships xmlns="http://schemas.openxmlformats.org/package/2006/relationships"><Relationship Id="rId1" Type="http://schemas.openxmlformats.org/officeDocument/2006/relationships/hyperlink" Target="http://thuyloitiengiang.vn/web/thuyloitiengiang/chi-tiet-tin-tuc?id=464847" TargetMode="External"/><Relationship Id="rId2" Type="http://schemas.openxmlformats.org/officeDocument/2006/relationships/hyperlink" Target="http://thuyloitiengiang.vn/web/thuyloitiengiang/chi-tiet-tin-tuc?id=464847" TargetMode="External"/><Relationship Id="rId3" Type="http://schemas.openxmlformats.org/officeDocument/2006/relationships/hyperlink" Target="http://thuyloitiengiang.vn/web/thuyloitiengiang/chi-tiet-tin-tuc?id=464847" TargetMode="External"/><Relationship Id="rId4" Type="http://schemas.openxmlformats.org/officeDocument/2006/relationships/hyperlink" Target="http://thuyloitiengiang.vn/web/thuyloitiengiang/chi-tiet-tin-tuc?id=464847" TargetMode="External"/><Relationship Id="rId5" Type="http://schemas.openxmlformats.org/officeDocument/2006/relationships/hyperlink" Target="http://thuyloitiengiang.vn/web/thuyloitiengiang/chi-tiet-tin-tuc?id=464847" TargetMode="External"/><Relationship Id="rId6" Type="http://schemas.openxmlformats.org/officeDocument/2006/relationships/hyperlink" Target="http://thuyloitiengiang.vn/web/thuyloitiengiang/chi-tiet-tin-tuc?id=464847" TargetMode="External"/><Relationship Id="rId7" Type="http://schemas.openxmlformats.org/officeDocument/2006/relationships/hyperlink" Target="http://thuyloitiengiang.vn/web/thuyloitiengiang/chi-tiet-tin-tuc?id=464847" TargetMode="External"/><Relationship Id="rId8" Type="http://schemas.openxmlformats.org/officeDocument/2006/relationships/hyperlink" Target="http://thuyloitiengiang.vn/web/thuyloitiengiang/chi-tiet-tin-tuc?id=464847" TargetMode="External"/><Relationship Id="rId9" Type="http://schemas.openxmlformats.org/officeDocument/2006/relationships/hyperlink" Target="http://thuyloitiengiang.vn/web/thuyloitiengiang/chi-tiet-tin-tuc?id=464847" TargetMode="External"/><Relationship Id="rId10" Type="http://schemas.openxmlformats.org/officeDocument/2006/relationships/hyperlink" Target="http://thuyloitiengiang.vn/web/thuyloitiengiang/chi-tiet-tin-tuc?id=464847" TargetMode="External"/><Relationship Id="rId11" Type="http://schemas.openxmlformats.org/officeDocument/2006/relationships/hyperlink" Target="http://thuyloitiengiang.vn/web/thuyloitiengiang/chi-tiet-tin-tuc?id=464847" TargetMode="External"/><Relationship Id="rId12" Type="http://schemas.openxmlformats.org/officeDocument/2006/relationships/hyperlink" Target="http://thuyloitiengiang.vn/web/thuyloitiengiang/chi-tiet-tin-tuc?id=464847" TargetMode="External"/><Relationship Id="rId13" Type="http://schemas.openxmlformats.org/officeDocument/2006/relationships/hyperlink" Target="http://thuyloitiengiang.vn/web/thuyloitiengiang/chi-tiet-tin-tuc?id=464847" TargetMode="External"/><Relationship Id="rId14" Type="http://schemas.openxmlformats.org/officeDocument/2006/relationships/hyperlink" Target="http://thuyloitiengiang.vn/web/thuyloitiengiang/chi-tiet-tin-tuc?id=464847" TargetMode="External"/><Relationship Id="rId15" Type="http://schemas.openxmlformats.org/officeDocument/2006/relationships/hyperlink" Target="http://thuyloitiengiang.vn/web/thuyloitiengiang/chi-tiet-tin-tuc?id=464847" TargetMode="External"/><Relationship Id="rId16" Type="http://schemas.openxmlformats.org/officeDocument/2006/relationships/hyperlink" Target="http://thuyloitiengiang.vn/web/thuyloitiengiang/chi-tiet-tin-tuc?id=464847" TargetMode="External"/><Relationship Id="rId17" Type="http://schemas.openxmlformats.org/officeDocument/2006/relationships/hyperlink" Target="http://thuyloitiengiang.vn/web/thuyloitiengiang/chi-tiet-tin-tuc?id=464847" TargetMode="External"/><Relationship Id="rId18" Type="http://schemas.openxmlformats.org/officeDocument/2006/relationships/hyperlink" Target="http://thuyloitiengiang.vn/web/thuyloitiengiang/chi-tiet-tin-tuc?id=464847" TargetMode="External"/><Relationship Id="rId19" Type="http://schemas.openxmlformats.org/officeDocument/2006/relationships/hyperlink" Target="http://thuyloitiengiang.vn/web/thuyloitiengiang/chi-tiet-tin-tuc?id=464847" TargetMode="External"/><Relationship Id="rId20" Type="http://schemas.openxmlformats.org/officeDocument/2006/relationships/hyperlink" Target="http://thuyloitiengiang.vn/web/thuyloitiengiang/chi-tiet-tin-tuc?id=464847" TargetMode="External"/><Relationship Id="rId21" Type="http://schemas.openxmlformats.org/officeDocument/2006/relationships/hyperlink" Target="http://thuyloitiengiang.vn/web/thuyloitiengiang/chi-tiet-tin-tuc?id=464847" TargetMode="External"/><Relationship Id="rId22" Type="http://schemas.openxmlformats.org/officeDocument/2006/relationships/hyperlink" Target="http://thuyloitiengiang.vn/web/thuyloitiengiang/chi-tiet-tin-tuc?id=464847" TargetMode="External"/><Relationship Id="rId23" Type="http://schemas.openxmlformats.org/officeDocument/2006/relationships/hyperlink" Target="http://thuyloitiengiang.vn/web/thuyloitiengiang/chi-tiet-tin-tuc?id=464847" TargetMode="External"/><Relationship Id="rId24" Type="http://schemas.openxmlformats.org/officeDocument/2006/relationships/hyperlink" Target="http://thuyloitiengiang.vn/web/thuyloitiengiang/chi-tiet-tin-tuc?id=464847" TargetMode="External"/><Relationship Id="rId25" Type="http://schemas.openxmlformats.org/officeDocument/2006/relationships/hyperlink" Target="http://thuyloitiengiang.vn/web/thuyloitiengiang/chi-tiet-tin-tuc?id=464847" TargetMode="External"/><Relationship Id="rId26" Type="http://schemas.openxmlformats.org/officeDocument/2006/relationships/hyperlink" Target="http://thuyloitiengiang.vn/web/thuyloitiengiang/chi-tiet-tin-tuc?id=464847" TargetMode="External"/><Relationship Id="rId27" Type="http://schemas.openxmlformats.org/officeDocument/2006/relationships/hyperlink" Target="http://thuyloitiengiang.vn/web/thuyloitiengiang/chi-tiet-tin-tuc?id=464847" TargetMode="External"/><Relationship Id="rId28" Type="http://schemas.openxmlformats.org/officeDocument/2006/relationships/hyperlink" Target="http://thuyloitiengiang.vn/web/thuyloitiengiang/chi-tiet-tin-tuc?id=464847" TargetMode="External"/><Relationship Id="rId29" Type="http://schemas.openxmlformats.org/officeDocument/2006/relationships/hyperlink" Target="http://thuyloitiengiang.vn/web/thuyloitiengiang/chi-tiet-tin-tuc?id=464847" TargetMode="External"/><Relationship Id="rId30" Type="http://schemas.openxmlformats.org/officeDocument/2006/relationships/hyperlink" Target="http://thuyloitiengiang.vn/web/thuyloitiengiang/chi-tiet-tin-tuc?id=464851" TargetMode="External"/><Relationship Id="rId31" Type="http://schemas.openxmlformats.org/officeDocument/2006/relationships/hyperlink" Target="http://thuyloitiengiang.vn/web/thuyloitiengiang/chi-tiet-tin-tuc?id=464851" TargetMode="External"/><Relationship Id="rId32" Type="http://schemas.openxmlformats.org/officeDocument/2006/relationships/hyperlink" Target="http://thuyloitiengiang.vn/web/thuyloitiengiang/chi-tiet-tin-tuc?id=464851" TargetMode="External"/><Relationship Id="rId33" Type="http://schemas.openxmlformats.org/officeDocument/2006/relationships/hyperlink" Target="http://thuyloitiengiang.vn/web/thuyloitiengiang/chi-tiet-tin-tuc?id=464851" TargetMode="External"/><Relationship Id="rId34" Type="http://schemas.openxmlformats.org/officeDocument/2006/relationships/hyperlink" Target="http://thuyloitiengiang.vn/web/thuyloitiengiang/chi-tiet-tin-tuc?id=464851" TargetMode="External"/><Relationship Id="rId35" Type="http://schemas.openxmlformats.org/officeDocument/2006/relationships/hyperlink" Target="http://thuyloitiengiang.vn/web/thuyloitiengiang/chi-tiet-tin-tuc?id=464851" TargetMode="External"/><Relationship Id="rId36" Type="http://schemas.openxmlformats.org/officeDocument/2006/relationships/hyperlink" Target="http://thuyloitiengiang.vn/web/thuyloitiengiang/chi-tiet-tin-tuc?id=464851" TargetMode="External"/><Relationship Id="rId37" Type="http://schemas.openxmlformats.org/officeDocument/2006/relationships/hyperlink" Target="http://thuyloitiengiang.vn/web/thuyloitiengiang/chi-tiet-tin-tuc?id=464851" TargetMode="External"/><Relationship Id="rId38" Type="http://schemas.openxmlformats.org/officeDocument/2006/relationships/hyperlink" Target="http://thuyloitiengiang.vn/web/thuyloitiengiang/chi-tiet-tin-tuc?id=464851" TargetMode="External"/><Relationship Id="rId39" Type="http://schemas.openxmlformats.org/officeDocument/2006/relationships/hyperlink" Target="http://thuyloitiengiang.vn/web/thuyloitiengiang/chi-tiet-tin-tuc?id=464851" TargetMode="External"/><Relationship Id="rId40" Type="http://schemas.openxmlformats.org/officeDocument/2006/relationships/hyperlink" Target="http://thuyloitiengiang.vn/web/thuyloitiengiang/chi-tiet-tin-tuc?id=464851" TargetMode="External"/><Relationship Id="rId41" Type="http://schemas.openxmlformats.org/officeDocument/2006/relationships/hyperlink" Target="http://thuyloitiengiang.vn/web/thuyloitiengiang/chi-tiet-tin-tuc?id=464851" TargetMode="External"/><Relationship Id="rId42" Type="http://schemas.openxmlformats.org/officeDocument/2006/relationships/hyperlink" Target="http://thuyloitiengiang.vn/web/thuyloitiengiang/chi-tiet-tin-tuc?id=464851" TargetMode="External"/><Relationship Id="rId43" Type="http://schemas.openxmlformats.org/officeDocument/2006/relationships/hyperlink" Target="http://thuyloitiengiang.vn/web/thuyloitiengiang/chi-tiet-tin-tuc?id=464851" TargetMode="External"/><Relationship Id="rId44" Type="http://schemas.openxmlformats.org/officeDocument/2006/relationships/hyperlink" Target="http://thuyloitiengiang.vn/web/thuyloitiengiang/chi-tiet-tin-tuc?id=464851" TargetMode="External"/><Relationship Id="rId45" Type="http://schemas.openxmlformats.org/officeDocument/2006/relationships/hyperlink" Target="http://thuyloitiengiang.vn/web/thuyloitiengiang/chi-tiet-tin-tuc?id=464851" TargetMode="External"/><Relationship Id="rId46" Type="http://schemas.openxmlformats.org/officeDocument/2006/relationships/hyperlink" Target="http://thuyloitiengiang.vn/web/thuyloitiengiang/chi-tiet-tin-tuc?id=464851" TargetMode="External"/><Relationship Id="rId47" Type="http://schemas.openxmlformats.org/officeDocument/2006/relationships/hyperlink" Target="http://thuyloitiengiang.vn/web/thuyloitiengiang/chi-tiet-tin-tuc?id=464851" TargetMode="External"/><Relationship Id="rId48" Type="http://schemas.openxmlformats.org/officeDocument/2006/relationships/hyperlink" Target="http://thuyloitiengiang.vn/web/thuyloitiengiang/chi-tiet-tin-tuc?id=464851" TargetMode="External"/><Relationship Id="rId49" Type="http://schemas.openxmlformats.org/officeDocument/2006/relationships/hyperlink" Target="http://thuyloitiengiang.vn/web/thuyloitiengiang/chi-tiet-tin-tuc?id=464851" TargetMode="External"/><Relationship Id="rId50" Type="http://schemas.openxmlformats.org/officeDocument/2006/relationships/hyperlink" Target="http://thuyloitiengiang.vn/web/thuyloitiengiang/chi-tiet-tin-tuc?id=464851" TargetMode="External"/><Relationship Id="rId51" Type="http://schemas.openxmlformats.org/officeDocument/2006/relationships/hyperlink" Target="http://thuyloitiengiang.vn/web/thuyloitiengiang/chi-tiet-tin-tuc?id=464851" TargetMode="External"/><Relationship Id="rId52" Type="http://schemas.openxmlformats.org/officeDocument/2006/relationships/hyperlink" Target="http://thuyloitiengiang.vn/web/thuyloitiengiang/chi-tiet-tin-tuc?id=464851" TargetMode="External"/><Relationship Id="rId53" Type="http://schemas.openxmlformats.org/officeDocument/2006/relationships/hyperlink" Target="http://thuyloitiengiang.vn/web/thuyloitiengiang/chi-tiet-tin-tuc?id=464851" TargetMode="External"/><Relationship Id="rId54" Type="http://schemas.openxmlformats.org/officeDocument/2006/relationships/hyperlink" Target="http://thuyloitiengiang.vn/web/thuyloitiengiang/chi-tiet-tin-tuc?id=464851" TargetMode="External"/><Relationship Id="rId55" Type="http://schemas.openxmlformats.org/officeDocument/2006/relationships/hyperlink" Target="http://thuyloitiengiang.vn/web/thuyloitiengiang/chi-tiet-tin-tuc?id=464851" TargetMode="External"/><Relationship Id="rId56" Type="http://schemas.openxmlformats.org/officeDocument/2006/relationships/hyperlink" Target="http://thuyloitiengiang.vn/web/thuyloitiengiang/chi-tiet-tin-tuc?id=464851" TargetMode="External"/><Relationship Id="rId57" Type="http://schemas.openxmlformats.org/officeDocument/2006/relationships/hyperlink" Target="http://thuyloitiengiang.vn/web/thuyloitiengiang/chi-tiet-tin-tuc?id=464851" TargetMode="External"/><Relationship Id="rId58" Type="http://schemas.openxmlformats.org/officeDocument/2006/relationships/hyperlink" Target="http://thuyloitiengiang.vn/web/thuyloitiengiang/chi-tiet-tin-tuc?id=464851" TargetMode="External"/><Relationship Id="rId59" Type="http://schemas.openxmlformats.org/officeDocument/2006/relationships/hyperlink" Target="http://thuyloitiengiang.vn/web/thuyloitiengiang/chi-tiet-tin-tuc?id=464854" TargetMode="External"/><Relationship Id="rId60" Type="http://schemas.openxmlformats.org/officeDocument/2006/relationships/hyperlink" Target="http://thuyloitiengiang.vn/web/thuyloitiengiang/chi-tiet-tin-tuc?id=464854" TargetMode="External"/><Relationship Id="rId61" Type="http://schemas.openxmlformats.org/officeDocument/2006/relationships/hyperlink" Target="http://thuyloitiengiang.vn/web/thuyloitiengiang/chi-tiet-tin-tuc?id=464854" TargetMode="External"/><Relationship Id="rId62" Type="http://schemas.openxmlformats.org/officeDocument/2006/relationships/hyperlink" Target="http://thuyloitiengiang.vn/web/thuyloitiengiang/chi-tiet-tin-tuc?id=464854" TargetMode="External"/><Relationship Id="rId63" Type="http://schemas.openxmlformats.org/officeDocument/2006/relationships/hyperlink" Target="http://thuyloitiengiang.vn/web/thuyloitiengiang/chi-tiet-tin-tuc?id=464854" TargetMode="External"/><Relationship Id="rId64" Type="http://schemas.openxmlformats.org/officeDocument/2006/relationships/hyperlink" Target="http://thuyloitiengiang.vn/web/thuyloitiengiang/chi-tiet-tin-tuc?id=464854" TargetMode="External"/><Relationship Id="rId65" Type="http://schemas.openxmlformats.org/officeDocument/2006/relationships/hyperlink" Target="http://thuyloitiengiang.vn/web/thuyloitiengiang/chi-tiet-tin-tuc?id=464854" TargetMode="External"/><Relationship Id="rId66" Type="http://schemas.openxmlformats.org/officeDocument/2006/relationships/hyperlink" Target="http://thuyloitiengiang.vn/web/thuyloitiengiang/chi-tiet-tin-tuc?id=464854" TargetMode="External"/><Relationship Id="rId67" Type="http://schemas.openxmlformats.org/officeDocument/2006/relationships/hyperlink" Target="http://thuyloitiengiang.vn/web/thuyloitiengiang/chi-tiet-tin-tuc?id=464854" TargetMode="External"/><Relationship Id="rId68" Type="http://schemas.openxmlformats.org/officeDocument/2006/relationships/hyperlink" Target="http://thuyloitiengiang.vn/web/thuyloitiengiang/chi-tiet-tin-tuc?id=464854" TargetMode="External"/><Relationship Id="rId69" Type="http://schemas.openxmlformats.org/officeDocument/2006/relationships/hyperlink" Target="http://thuyloitiengiang.vn/web/thuyloitiengiang/chi-tiet-tin-tuc?id=464854" TargetMode="External"/><Relationship Id="rId70" Type="http://schemas.openxmlformats.org/officeDocument/2006/relationships/hyperlink" Target="http://thuyloitiengiang.vn/web/thuyloitiengiang/chi-tiet-tin-tuc?id=464854" TargetMode="External"/><Relationship Id="rId71" Type="http://schemas.openxmlformats.org/officeDocument/2006/relationships/hyperlink" Target="http://thuyloitiengiang.vn/web/thuyloitiengiang/chi-tiet-tin-tuc?id=464854" TargetMode="External"/><Relationship Id="rId72" Type="http://schemas.openxmlformats.org/officeDocument/2006/relationships/hyperlink" Target="http://thuyloitiengiang.vn/web/thuyloitiengiang/chi-tiet-tin-tuc?id=464854" TargetMode="External"/><Relationship Id="rId73" Type="http://schemas.openxmlformats.org/officeDocument/2006/relationships/hyperlink" Target="http://thuyloitiengiang.vn/web/thuyloitiengiang/chi-tiet-tin-tuc?id=464854" TargetMode="External"/><Relationship Id="rId74" Type="http://schemas.openxmlformats.org/officeDocument/2006/relationships/hyperlink" Target="http://thuyloitiengiang.vn/web/thuyloitiengiang/chi-tiet-tin-tuc?id=464854" TargetMode="External"/><Relationship Id="rId75" Type="http://schemas.openxmlformats.org/officeDocument/2006/relationships/hyperlink" Target="http://thuyloitiengiang.vn/web/thuyloitiengiang/chi-tiet-tin-tuc?id=464854" TargetMode="External"/><Relationship Id="rId76" Type="http://schemas.openxmlformats.org/officeDocument/2006/relationships/hyperlink" Target="http://thuyloitiengiang.vn/web/thuyloitiengiang/chi-tiet-tin-tuc?id=464854" TargetMode="External"/><Relationship Id="rId77" Type="http://schemas.openxmlformats.org/officeDocument/2006/relationships/hyperlink" Target="http://thuyloitiengiang.vn/web/thuyloitiengiang/chi-tiet-tin-tuc?id=464854" TargetMode="External"/><Relationship Id="rId78" Type="http://schemas.openxmlformats.org/officeDocument/2006/relationships/hyperlink" Target="http://thuyloitiengiang.vn/web/thuyloitiengiang/chi-tiet-tin-tuc?id=464854" TargetMode="External"/><Relationship Id="rId79" Type="http://schemas.openxmlformats.org/officeDocument/2006/relationships/hyperlink" Target="http://thuyloitiengiang.vn/web/thuyloitiengiang/chi-tiet-tin-tuc?id=464854" TargetMode="External"/><Relationship Id="rId80" Type="http://schemas.openxmlformats.org/officeDocument/2006/relationships/hyperlink" Target="http://thuyloitiengiang.vn/web/thuyloitiengiang/chi-tiet-tin-tuc?id=464854" TargetMode="External"/><Relationship Id="rId81" Type="http://schemas.openxmlformats.org/officeDocument/2006/relationships/hyperlink" Target="http://thuyloitiengiang.vn/web/thuyloitiengiang/chi-tiet-tin-tuc?id=464854" TargetMode="External"/><Relationship Id="rId82" Type="http://schemas.openxmlformats.org/officeDocument/2006/relationships/hyperlink" Target="http://thuyloitiengiang.vn/web/thuyloitiengiang/chi-tiet-tin-tuc?id=464854" TargetMode="External"/><Relationship Id="rId83" Type="http://schemas.openxmlformats.org/officeDocument/2006/relationships/hyperlink" Target="http://thuyloitiengiang.vn/web/thuyloitiengiang/chi-tiet-tin-tuc?id=464854" TargetMode="External"/><Relationship Id="rId84" Type="http://schemas.openxmlformats.org/officeDocument/2006/relationships/hyperlink" Target="http://thuyloitiengiang.vn/web/thuyloitiengiang/chi-tiet-tin-tuc?id=464854" TargetMode="External"/><Relationship Id="rId85" Type="http://schemas.openxmlformats.org/officeDocument/2006/relationships/hyperlink" Target="http://thuyloitiengiang.vn/web/thuyloitiengiang/chi-tiet-tin-tuc?id=464854" TargetMode="External"/><Relationship Id="rId86" Type="http://schemas.openxmlformats.org/officeDocument/2006/relationships/hyperlink" Target="http://thuyloitiengiang.vn/web/thuyloitiengiang/chi-tiet-tin-tuc?id=464854" TargetMode="External"/><Relationship Id="rId87" Type="http://schemas.openxmlformats.org/officeDocument/2006/relationships/hyperlink" Target="http://thuyloitiengiang.vn/web/thuyloitiengiang/chi-tiet-tin-tuc?id=464854" TargetMode="External"/><Relationship Id="rId88" Type="http://schemas.openxmlformats.org/officeDocument/2006/relationships/hyperlink" Target="http://thuyloitiengiang.vn/ja/web/thuyloitiengiang/chi-tiet-tin-tuc?id=520619" TargetMode="External"/><Relationship Id="rId89" Type="http://schemas.openxmlformats.org/officeDocument/2006/relationships/hyperlink" Target="http://thuyloitiengiang.vn/ja/web/thuyloitiengiang/chi-tiet-tin-tuc?id=520619" TargetMode="External"/><Relationship Id="rId90" Type="http://schemas.openxmlformats.org/officeDocument/2006/relationships/hyperlink" Target="http://thuyloitiengiang.vn/ja/web/thuyloitiengiang/chi-tiet-tin-tuc?id=520619" TargetMode="External"/><Relationship Id="rId91" Type="http://schemas.openxmlformats.org/officeDocument/2006/relationships/hyperlink" Target="http://thuyloitiengiang.vn/ja/web/thuyloitiengiang/chi-tiet-tin-tuc?id=520619" TargetMode="External"/><Relationship Id="rId92" Type="http://schemas.openxmlformats.org/officeDocument/2006/relationships/hyperlink" Target="http://thuyloitiengiang.vn/ja/web/thuyloitiengiang/chi-tiet-tin-tuc?id=520619" TargetMode="External"/><Relationship Id="rId93" Type="http://schemas.openxmlformats.org/officeDocument/2006/relationships/hyperlink" Target="http://thuyloitiengiang.vn/ja/web/thuyloitiengiang/chi-tiet-tin-tuc?id=520619" TargetMode="External"/><Relationship Id="rId94" Type="http://schemas.openxmlformats.org/officeDocument/2006/relationships/hyperlink" Target="http://thuyloitiengiang.vn/ja/web/thuyloitiengiang/chi-tiet-tin-tuc?id=520619" TargetMode="External"/><Relationship Id="rId95" Type="http://schemas.openxmlformats.org/officeDocument/2006/relationships/hyperlink" Target="http://thuyloitiengiang.vn/ja/web/thuyloitiengiang/chi-tiet-tin-tuc?id=520619" TargetMode="External"/><Relationship Id="rId96" Type="http://schemas.openxmlformats.org/officeDocument/2006/relationships/hyperlink" Target="http://thuyloitiengiang.vn/ja/web/thuyloitiengiang/chi-tiet-tin-tuc?id=520619" TargetMode="External"/><Relationship Id="rId97" Type="http://schemas.openxmlformats.org/officeDocument/2006/relationships/hyperlink" Target="http://thuyloitiengiang.vn/ja/web/thuyloitiengiang/chi-tiet-tin-tuc?id=520619" TargetMode="External"/><Relationship Id="rId98" Type="http://schemas.openxmlformats.org/officeDocument/2006/relationships/hyperlink" Target="http://thuyloitiengiang.vn/ja/web/thuyloitiengiang/chi-tiet-tin-tuc?id=520619" TargetMode="External"/><Relationship Id="rId99" Type="http://schemas.openxmlformats.org/officeDocument/2006/relationships/hyperlink" Target="http://thuyloitiengiang.vn/ja/web/thuyloitiengiang/chi-tiet-tin-tuc?id=520619" TargetMode="External"/><Relationship Id="rId100" Type="http://schemas.openxmlformats.org/officeDocument/2006/relationships/hyperlink" Target="http://thuyloitiengiang.vn/ja/web/thuyloitiengiang/chi-tiet-tin-tuc?id=520619" TargetMode="External"/><Relationship Id="rId101" Type="http://schemas.openxmlformats.org/officeDocument/2006/relationships/hyperlink" Target="http://thuyloitiengiang.vn/ja/web/thuyloitiengiang/chi-tiet-tin-tuc?id=520619" TargetMode="External"/><Relationship Id="rId102" Type="http://schemas.openxmlformats.org/officeDocument/2006/relationships/hyperlink" Target="http://thuyloitiengiang.vn/ja/web/thuyloitiengiang/chi-tiet-tin-tuc?id=520619" TargetMode="External"/><Relationship Id="rId103" Type="http://schemas.openxmlformats.org/officeDocument/2006/relationships/hyperlink" Target="http://thuyloitiengiang.vn/ja/web/thuyloitiengiang/chi-tiet-tin-tuc?id=520619" TargetMode="External"/><Relationship Id="rId104" Type="http://schemas.openxmlformats.org/officeDocument/2006/relationships/hyperlink" Target="http://thuyloitiengiang.vn/ja/web/thuyloitiengiang/chi-tiet-tin-tuc?id=520619" TargetMode="External"/><Relationship Id="rId105" Type="http://schemas.openxmlformats.org/officeDocument/2006/relationships/hyperlink" Target="http://thuyloitiengiang.vn/ja/web/thuyloitiengiang/chi-tiet-tin-tuc?id=520619" TargetMode="External"/><Relationship Id="rId106" Type="http://schemas.openxmlformats.org/officeDocument/2006/relationships/hyperlink" Target="http://thuyloitiengiang.vn/ja/web/thuyloitiengiang/chi-tiet-tin-tuc?id=520619" TargetMode="External"/><Relationship Id="rId107" Type="http://schemas.openxmlformats.org/officeDocument/2006/relationships/hyperlink" Target="http://thuyloitiengiang.vn/ja/web/thuyloitiengiang/chi-tiet-tin-tuc?id=520619" TargetMode="External"/><Relationship Id="rId108" Type="http://schemas.openxmlformats.org/officeDocument/2006/relationships/hyperlink" Target="http://thuyloitiengiang.vn/ja/web/thuyloitiengiang/chi-tiet-tin-tuc?id=520619" TargetMode="External"/><Relationship Id="rId109" Type="http://schemas.openxmlformats.org/officeDocument/2006/relationships/hyperlink" Target="http://thuyloitiengiang.vn/ja/web/thuyloitiengiang/chi-tiet-tin-tuc?id=520619" TargetMode="External"/><Relationship Id="rId110" Type="http://schemas.openxmlformats.org/officeDocument/2006/relationships/hyperlink" Target="http://thuyloitiengiang.vn/ja/web/thuyloitiengiang/chi-tiet-tin-tuc?id=520619" TargetMode="External"/><Relationship Id="rId111" Type="http://schemas.openxmlformats.org/officeDocument/2006/relationships/hyperlink" Target="http://thuyloitiengiang.vn/ja/web/thuyloitiengiang/chi-tiet-tin-tuc?id=520619" TargetMode="External"/><Relationship Id="rId112" Type="http://schemas.openxmlformats.org/officeDocument/2006/relationships/hyperlink" Target="http://thuyloitiengiang.vn/ja/web/thuyloitiengiang/chi-tiet-tin-tuc?id=520619" TargetMode="External"/><Relationship Id="rId113" Type="http://schemas.openxmlformats.org/officeDocument/2006/relationships/hyperlink" Target="http://thuyloitiengiang.vn/ja/web/thuyloitiengiang/chi-tiet-tin-tuc?id=520619" TargetMode="External"/><Relationship Id="rId114" Type="http://schemas.openxmlformats.org/officeDocument/2006/relationships/hyperlink" Target="http://thuyloitiengiang.vn/ja/web/thuyloitiengiang/chi-tiet-tin-tuc?id=520619" TargetMode="External"/><Relationship Id="rId115" Type="http://schemas.openxmlformats.org/officeDocument/2006/relationships/hyperlink" Target="http://thuyloitiengiang.vn/ja/web/thuyloitiengiang/chi-tiet-tin-tuc?id=520619" TargetMode="External"/><Relationship Id="rId116" Type="http://schemas.openxmlformats.org/officeDocument/2006/relationships/hyperlink" Target="http://thuyloitiengiang.vn/ja/web/thuyloitiengiang/chi-tiet-tin-tuc?id=520619" TargetMode="External"/><Relationship Id="rId117" Type="http://schemas.openxmlformats.org/officeDocument/2006/relationships/hyperlink" Target="http://thuyloitiengiang.vn/ja/web/thuyloitiengiang/chi-tiet-tin-tuc?id=520621" TargetMode="External"/><Relationship Id="rId118" Type="http://schemas.openxmlformats.org/officeDocument/2006/relationships/hyperlink" Target="http://thuyloitiengiang.vn/ja/web/thuyloitiengiang/chi-tiet-tin-tuc?id=520621" TargetMode="External"/><Relationship Id="rId119" Type="http://schemas.openxmlformats.org/officeDocument/2006/relationships/hyperlink" Target="http://thuyloitiengiang.vn/ja/web/thuyloitiengiang/chi-tiet-tin-tuc?id=520621" TargetMode="External"/><Relationship Id="rId120" Type="http://schemas.openxmlformats.org/officeDocument/2006/relationships/hyperlink" Target="http://thuyloitiengiang.vn/ja/web/thuyloitiengiang/chi-tiet-tin-tuc?id=520621" TargetMode="External"/><Relationship Id="rId121" Type="http://schemas.openxmlformats.org/officeDocument/2006/relationships/hyperlink" Target="http://thuyloitiengiang.vn/ja/web/thuyloitiengiang/chi-tiet-tin-tuc?id=520621" TargetMode="External"/><Relationship Id="rId122" Type="http://schemas.openxmlformats.org/officeDocument/2006/relationships/hyperlink" Target="http://thuyloitiengiang.vn/ja/web/thuyloitiengiang/chi-tiet-tin-tuc?id=520621" TargetMode="External"/><Relationship Id="rId123" Type="http://schemas.openxmlformats.org/officeDocument/2006/relationships/hyperlink" Target="http://thuyloitiengiang.vn/ja/web/thuyloitiengiang/chi-tiet-tin-tuc?id=520621" TargetMode="External"/><Relationship Id="rId124" Type="http://schemas.openxmlformats.org/officeDocument/2006/relationships/hyperlink" Target="http://thuyloitiengiang.vn/ja/web/thuyloitiengiang/chi-tiet-tin-tuc?id=520621" TargetMode="External"/><Relationship Id="rId125" Type="http://schemas.openxmlformats.org/officeDocument/2006/relationships/hyperlink" Target="http://thuyloitiengiang.vn/ja/web/thuyloitiengiang/chi-tiet-tin-tuc?id=520621" TargetMode="External"/><Relationship Id="rId126" Type="http://schemas.openxmlformats.org/officeDocument/2006/relationships/hyperlink" Target="http://thuyloitiengiang.vn/ja/web/thuyloitiengiang/chi-tiet-tin-tuc?id=520621" TargetMode="External"/><Relationship Id="rId127" Type="http://schemas.openxmlformats.org/officeDocument/2006/relationships/hyperlink" Target="http://thuyloitiengiang.vn/ja/web/thuyloitiengiang/chi-tiet-tin-tuc?id=520621" TargetMode="External"/><Relationship Id="rId128" Type="http://schemas.openxmlformats.org/officeDocument/2006/relationships/hyperlink" Target="http://thuyloitiengiang.vn/ja/web/thuyloitiengiang/chi-tiet-tin-tuc?id=520621" TargetMode="External"/><Relationship Id="rId129" Type="http://schemas.openxmlformats.org/officeDocument/2006/relationships/hyperlink" Target="http://thuyloitiengiang.vn/ja/web/thuyloitiengiang/chi-tiet-tin-tuc?id=520621" TargetMode="External"/><Relationship Id="rId130" Type="http://schemas.openxmlformats.org/officeDocument/2006/relationships/hyperlink" Target="http://thuyloitiengiang.vn/ja/web/thuyloitiengiang/chi-tiet-tin-tuc?id=520621" TargetMode="External"/><Relationship Id="rId131" Type="http://schemas.openxmlformats.org/officeDocument/2006/relationships/hyperlink" Target="http://thuyloitiengiang.vn/ja/web/thuyloitiengiang/chi-tiet-tin-tuc?id=520621" TargetMode="External"/><Relationship Id="rId132" Type="http://schemas.openxmlformats.org/officeDocument/2006/relationships/hyperlink" Target="http://thuyloitiengiang.vn/ja/web/thuyloitiengiang/chi-tiet-tin-tuc?id=520621" TargetMode="External"/><Relationship Id="rId133" Type="http://schemas.openxmlformats.org/officeDocument/2006/relationships/hyperlink" Target="http://thuyloitiengiang.vn/ja/web/thuyloitiengiang/chi-tiet-tin-tuc?id=520621" TargetMode="External"/><Relationship Id="rId134" Type="http://schemas.openxmlformats.org/officeDocument/2006/relationships/hyperlink" Target="http://thuyloitiengiang.vn/ja/web/thuyloitiengiang/chi-tiet-tin-tuc?id=520621" TargetMode="External"/><Relationship Id="rId135" Type="http://schemas.openxmlformats.org/officeDocument/2006/relationships/hyperlink" Target="http://thuyloitiengiang.vn/ja/web/thuyloitiengiang/chi-tiet-tin-tuc?id=520621" TargetMode="External"/><Relationship Id="rId136" Type="http://schemas.openxmlformats.org/officeDocument/2006/relationships/hyperlink" Target="http://thuyloitiengiang.vn/ja/web/thuyloitiengiang/chi-tiet-tin-tuc?id=520621" TargetMode="External"/><Relationship Id="rId137" Type="http://schemas.openxmlformats.org/officeDocument/2006/relationships/hyperlink" Target="http://thuyloitiengiang.vn/ja/web/thuyloitiengiang/chi-tiet-tin-tuc?id=520621" TargetMode="External"/><Relationship Id="rId138" Type="http://schemas.openxmlformats.org/officeDocument/2006/relationships/hyperlink" Target="http://thuyloitiengiang.vn/ja/web/thuyloitiengiang/chi-tiet-tin-tuc?id=520621" TargetMode="External"/><Relationship Id="rId139" Type="http://schemas.openxmlformats.org/officeDocument/2006/relationships/hyperlink" Target="http://thuyloitiengiang.vn/ja/web/thuyloitiengiang/chi-tiet-tin-tuc?id=520621" TargetMode="External"/><Relationship Id="rId140" Type="http://schemas.openxmlformats.org/officeDocument/2006/relationships/hyperlink" Target="http://thuyloitiengiang.vn/ja/web/thuyloitiengiang/chi-tiet-tin-tuc?id=520621" TargetMode="External"/><Relationship Id="rId141" Type="http://schemas.openxmlformats.org/officeDocument/2006/relationships/hyperlink" Target="http://thuyloitiengiang.vn/ja/web/thuyloitiengiang/chi-tiet-tin-tuc?id=520621" TargetMode="External"/><Relationship Id="rId142" Type="http://schemas.openxmlformats.org/officeDocument/2006/relationships/hyperlink" Target="http://thuyloitiengiang.vn/ja/web/thuyloitiengiang/chi-tiet-tin-tuc?id=520621" TargetMode="External"/><Relationship Id="rId143" Type="http://schemas.openxmlformats.org/officeDocument/2006/relationships/hyperlink" Target="http://thuyloitiengiang.vn/ja/web/thuyloitiengiang/chi-tiet-tin-tuc?id=520621" TargetMode="External"/><Relationship Id="rId144" Type="http://schemas.openxmlformats.org/officeDocument/2006/relationships/hyperlink" Target="http://thuyloitiengiang.vn/ja/web/thuyloitiengiang/chi-tiet-tin-tuc?id=520621" TargetMode="External"/><Relationship Id="rId145" Type="http://schemas.openxmlformats.org/officeDocument/2006/relationships/hyperlink" Target="http://thuyloitiengiang.vn/ja/web/thuyloitiengiang/chi-tiet-tin-tuc?id=520621" TargetMode="External"/><Relationship Id="rId146" Type="http://schemas.openxmlformats.org/officeDocument/2006/relationships/hyperlink" Target="http://thuyloitiengiang.vn/ja/web/thuyloitiengiang/chi-tiet-tin-tuc?id=520623" TargetMode="External"/><Relationship Id="rId147" Type="http://schemas.openxmlformats.org/officeDocument/2006/relationships/hyperlink" Target="http://thuyloitiengiang.vn/ja/web/thuyloitiengiang/chi-tiet-tin-tuc?id=520623" TargetMode="External"/><Relationship Id="rId148" Type="http://schemas.openxmlformats.org/officeDocument/2006/relationships/hyperlink" Target="http://thuyloitiengiang.vn/ja/web/thuyloitiengiang/chi-tiet-tin-tuc?id=520623" TargetMode="External"/><Relationship Id="rId149" Type="http://schemas.openxmlformats.org/officeDocument/2006/relationships/hyperlink" Target="http://thuyloitiengiang.vn/ja/web/thuyloitiengiang/chi-tiet-tin-tuc?id=520623" TargetMode="External"/><Relationship Id="rId150" Type="http://schemas.openxmlformats.org/officeDocument/2006/relationships/hyperlink" Target="http://thuyloitiengiang.vn/ja/web/thuyloitiengiang/chi-tiet-tin-tuc?id=520623" TargetMode="External"/><Relationship Id="rId151" Type="http://schemas.openxmlformats.org/officeDocument/2006/relationships/hyperlink" Target="http://thuyloitiengiang.vn/ja/web/thuyloitiengiang/chi-tiet-tin-tuc?id=520623" TargetMode="External"/><Relationship Id="rId152" Type="http://schemas.openxmlformats.org/officeDocument/2006/relationships/hyperlink" Target="http://thuyloitiengiang.vn/ja/web/thuyloitiengiang/chi-tiet-tin-tuc?id=520623" TargetMode="External"/><Relationship Id="rId153" Type="http://schemas.openxmlformats.org/officeDocument/2006/relationships/hyperlink" Target="http://thuyloitiengiang.vn/ja/web/thuyloitiengiang/chi-tiet-tin-tuc?id=520623" TargetMode="External"/><Relationship Id="rId154" Type="http://schemas.openxmlformats.org/officeDocument/2006/relationships/hyperlink" Target="http://thuyloitiengiang.vn/ja/web/thuyloitiengiang/chi-tiet-tin-tuc?id=520623" TargetMode="External"/><Relationship Id="rId155" Type="http://schemas.openxmlformats.org/officeDocument/2006/relationships/hyperlink" Target="http://thuyloitiengiang.vn/ja/web/thuyloitiengiang/chi-tiet-tin-tuc?id=520623" TargetMode="External"/><Relationship Id="rId156" Type="http://schemas.openxmlformats.org/officeDocument/2006/relationships/hyperlink" Target="http://thuyloitiengiang.vn/ja/web/thuyloitiengiang/chi-tiet-tin-tuc?id=520623" TargetMode="External"/><Relationship Id="rId157" Type="http://schemas.openxmlformats.org/officeDocument/2006/relationships/hyperlink" Target="http://thuyloitiengiang.vn/ja/web/thuyloitiengiang/chi-tiet-tin-tuc?id=520623" TargetMode="External"/><Relationship Id="rId158" Type="http://schemas.openxmlformats.org/officeDocument/2006/relationships/hyperlink" Target="http://thuyloitiengiang.vn/ja/web/thuyloitiengiang/chi-tiet-tin-tuc?id=520623" TargetMode="External"/><Relationship Id="rId159" Type="http://schemas.openxmlformats.org/officeDocument/2006/relationships/hyperlink" Target="http://thuyloitiengiang.vn/ja/web/thuyloitiengiang/chi-tiet-tin-tuc?id=520623" TargetMode="External"/><Relationship Id="rId160" Type="http://schemas.openxmlformats.org/officeDocument/2006/relationships/hyperlink" Target="http://thuyloitiengiang.vn/ja/web/thuyloitiengiang/chi-tiet-tin-tuc?id=520623" TargetMode="External"/><Relationship Id="rId161" Type="http://schemas.openxmlformats.org/officeDocument/2006/relationships/hyperlink" Target="http://thuyloitiengiang.vn/ja/web/thuyloitiengiang/chi-tiet-tin-tuc?id=520623" TargetMode="External"/><Relationship Id="rId162" Type="http://schemas.openxmlformats.org/officeDocument/2006/relationships/hyperlink" Target="http://thuyloitiengiang.vn/ja/web/thuyloitiengiang/chi-tiet-tin-tuc?id=520623" TargetMode="External"/><Relationship Id="rId163" Type="http://schemas.openxmlformats.org/officeDocument/2006/relationships/hyperlink" Target="http://thuyloitiengiang.vn/ja/web/thuyloitiengiang/chi-tiet-tin-tuc?id=520623" TargetMode="External"/><Relationship Id="rId164" Type="http://schemas.openxmlformats.org/officeDocument/2006/relationships/hyperlink" Target="http://thuyloitiengiang.vn/ja/web/thuyloitiengiang/chi-tiet-tin-tuc?id=520623" TargetMode="External"/><Relationship Id="rId165" Type="http://schemas.openxmlformats.org/officeDocument/2006/relationships/hyperlink" Target="http://thuyloitiengiang.vn/ja/web/thuyloitiengiang/chi-tiet-tin-tuc?id=520623" TargetMode="External"/><Relationship Id="rId166" Type="http://schemas.openxmlformats.org/officeDocument/2006/relationships/hyperlink" Target="http://thuyloitiengiang.vn/ja/web/thuyloitiengiang/chi-tiet-tin-tuc?id=520623" TargetMode="External"/><Relationship Id="rId167" Type="http://schemas.openxmlformats.org/officeDocument/2006/relationships/hyperlink" Target="http://thuyloitiengiang.vn/ja/web/thuyloitiengiang/chi-tiet-tin-tuc?id=520623" TargetMode="External"/><Relationship Id="rId168" Type="http://schemas.openxmlformats.org/officeDocument/2006/relationships/hyperlink" Target="http://thuyloitiengiang.vn/ja/web/thuyloitiengiang/chi-tiet-tin-tuc?id=520623" TargetMode="External"/><Relationship Id="rId169" Type="http://schemas.openxmlformats.org/officeDocument/2006/relationships/hyperlink" Target="http://thuyloitiengiang.vn/ja/web/thuyloitiengiang/chi-tiet-tin-tuc?id=520623" TargetMode="External"/><Relationship Id="rId170" Type="http://schemas.openxmlformats.org/officeDocument/2006/relationships/hyperlink" Target="http://thuyloitiengiang.vn/ja/web/thuyloitiengiang/chi-tiet-tin-tuc?id=520623" TargetMode="External"/><Relationship Id="rId171" Type="http://schemas.openxmlformats.org/officeDocument/2006/relationships/hyperlink" Target="http://thuyloitiengiang.vn/ja/web/thuyloitiengiang/chi-tiet-tin-tuc?id=520623" TargetMode="External"/><Relationship Id="rId172" Type="http://schemas.openxmlformats.org/officeDocument/2006/relationships/hyperlink" Target="http://thuyloitiengiang.vn/en/web/thuyloitiengiang/chi-tiet-tin-tuc?id=520630" TargetMode="External"/><Relationship Id="rId173" Type="http://schemas.openxmlformats.org/officeDocument/2006/relationships/hyperlink" Target="http://thuyloitiengiang.vn/en/web/thuyloitiengiang/chi-tiet-tin-tuc?id=520630" TargetMode="External"/><Relationship Id="rId174" Type="http://schemas.openxmlformats.org/officeDocument/2006/relationships/hyperlink" Target="http://thuyloitiengiang.vn/en/web/thuyloitiengiang/chi-tiet-tin-tuc?id=520630" TargetMode="External"/><Relationship Id="rId175" Type="http://schemas.openxmlformats.org/officeDocument/2006/relationships/hyperlink" Target="http://thuyloitiengiang.vn/en/web/thuyloitiengiang/chi-tiet-tin-tuc?id=520630" TargetMode="External"/><Relationship Id="rId176" Type="http://schemas.openxmlformats.org/officeDocument/2006/relationships/hyperlink" Target="http://thuyloitiengiang.vn/en/web/thuyloitiengiang/chi-tiet-tin-tuc?id=520630" TargetMode="External"/><Relationship Id="rId177" Type="http://schemas.openxmlformats.org/officeDocument/2006/relationships/hyperlink" Target="http://thuyloitiengiang.vn/en/web/thuyloitiengiang/chi-tiet-tin-tuc?id=520630" TargetMode="External"/><Relationship Id="rId178" Type="http://schemas.openxmlformats.org/officeDocument/2006/relationships/hyperlink" Target="http://thuyloitiengiang.vn/en/web/thuyloitiengiang/chi-tiet-tin-tuc?id=520630" TargetMode="External"/><Relationship Id="rId179" Type="http://schemas.openxmlformats.org/officeDocument/2006/relationships/hyperlink" Target="http://thuyloitiengiang.vn/en/web/thuyloitiengiang/chi-tiet-tin-tuc?id=520630" TargetMode="External"/><Relationship Id="rId180" Type="http://schemas.openxmlformats.org/officeDocument/2006/relationships/hyperlink" Target="http://thuyloitiengiang.vn/en/web/thuyloitiengiang/chi-tiet-tin-tuc?id=520630" TargetMode="External"/><Relationship Id="rId181" Type="http://schemas.openxmlformats.org/officeDocument/2006/relationships/hyperlink" Target="http://thuyloitiengiang.vn/en/web/thuyloitiengiang/chi-tiet-tin-tuc?id=520630" TargetMode="External"/><Relationship Id="rId182" Type="http://schemas.openxmlformats.org/officeDocument/2006/relationships/hyperlink" Target="http://thuyloitiengiang.vn/en/web/thuyloitiengiang/chi-tiet-tin-tuc?id=520630" TargetMode="External"/><Relationship Id="rId183" Type="http://schemas.openxmlformats.org/officeDocument/2006/relationships/hyperlink" Target="http://thuyloitiengiang.vn/en/web/thuyloitiengiang/chi-tiet-tin-tuc?id=520630" TargetMode="External"/><Relationship Id="rId184" Type="http://schemas.openxmlformats.org/officeDocument/2006/relationships/hyperlink" Target="http://thuyloitiengiang.vn/en/web/thuyloitiengiang/chi-tiet-tin-tuc?id=520630" TargetMode="External"/><Relationship Id="rId185" Type="http://schemas.openxmlformats.org/officeDocument/2006/relationships/hyperlink" Target="http://thuyloitiengiang.vn/en/web/thuyloitiengiang/chi-tiet-tin-tuc?id=520630" TargetMode="External"/><Relationship Id="rId186" Type="http://schemas.openxmlformats.org/officeDocument/2006/relationships/hyperlink" Target="http://thuyloitiengiang.vn/en/web/thuyloitiengiang/chi-tiet-tin-tuc?id=520630" TargetMode="External"/><Relationship Id="rId187" Type="http://schemas.openxmlformats.org/officeDocument/2006/relationships/hyperlink" Target="http://thuyloitiengiang.vn/en/web/thuyloitiengiang/chi-tiet-tin-tuc?id=520630" TargetMode="External"/><Relationship Id="rId188" Type="http://schemas.openxmlformats.org/officeDocument/2006/relationships/hyperlink" Target="http://thuyloitiengiang.vn/en/web/thuyloitiengiang/chi-tiet-tin-tuc?id=520630" TargetMode="External"/><Relationship Id="rId189" Type="http://schemas.openxmlformats.org/officeDocument/2006/relationships/hyperlink" Target="http://thuyloitiengiang.vn/en/web/thuyloitiengiang/chi-tiet-tin-tuc?id=520630" TargetMode="External"/><Relationship Id="rId190" Type="http://schemas.openxmlformats.org/officeDocument/2006/relationships/hyperlink" Target="http://thuyloitiengiang.vn/en/web/thuyloitiengiang/chi-tiet-tin-tuc?id=520630" TargetMode="External"/><Relationship Id="rId191" Type="http://schemas.openxmlformats.org/officeDocument/2006/relationships/hyperlink" Target="http://thuyloitiengiang.vn/en/web/thuyloitiengiang/chi-tiet-tin-tuc?id=520630" TargetMode="External"/><Relationship Id="rId192" Type="http://schemas.openxmlformats.org/officeDocument/2006/relationships/hyperlink" Target="http://thuyloitiengiang.vn/en/web/thuyloitiengiang/chi-tiet-tin-tuc?id=520630" TargetMode="External"/><Relationship Id="rId193" Type="http://schemas.openxmlformats.org/officeDocument/2006/relationships/hyperlink" Target="http://thuyloitiengiang.vn/en/web/thuyloitiengiang/chi-tiet-tin-tuc?id=520630" TargetMode="External"/><Relationship Id="rId194" Type="http://schemas.openxmlformats.org/officeDocument/2006/relationships/hyperlink" Target="http://thuyloitiengiang.vn/en/web/thuyloitiengiang/chi-tiet-tin-tuc?id=520630" TargetMode="External"/><Relationship Id="rId195" Type="http://schemas.openxmlformats.org/officeDocument/2006/relationships/hyperlink" Target="http://thuyloitiengiang.vn/en/web/thuyloitiengiang/chi-tiet-tin-tuc?id=520630" TargetMode="External"/><Relationship Id="rId196" Type="http://schemas.openxmlformats.org/officeDocument/2006/relationships/hyperlink" Target="http://thuyloitiengiang.vn/en/web/thuyloitiengiang/chi-tiet-tin-tuc?id=520630" TargetMode="External"/><Relationship Id="rId197" Type="http://schemas.openxmlformats.org/officeDocument/2006/relationships/hyperlink" Target="http://thuyloitiengiang.vn/en/web/thuyloitiengiang/chi-tiet-tin-tuc?id=520630" TargetMode="External"/><Relationship Id="rId198" Type="http://schemas.openxmlformats.org/officeDocument/2006/relationships/hyperlink" Target="http://thuyloitiengiang.vn/en/web/thuyloitiengiang/chi-tiet-tin-tuc?id=520630" TargetMode="External"/><Relationship Id="rId199" Type="http://schemas.openxmlformats.org/officeDocument/2006/relationships/hyperlink" Target="http://thuyloitiengiang.vn/en/web/thuyloitiengiang/chi-tiet-tin-tuc?id=520630" TargetMode="External"/><Relationship Id="rId200" Type="http://schemas.openxmlformats.org/officeDocument/2006/relationships/hyperlink" Target="http://thuyloitiengiang.vn/en/web/thuyloitiengiang/chi-tiet-tin-tuc?id=520630" TargetMode="External"/><Relationship Id="rId201" Type="http://schemas.openxmlformats.org/officeDocument/2006/relationships/hyperlink" Target="http://thuyloitiengiang.vn/en/web/thuyloitiengiang/chi-tiet-tin-tuc?id=522066" TargetMode="External"/><Relationship Id="rId202" Type="http://schemas.openxmlformats.org/officeDocument/2006/relationships/hyperlink" Target="http://thuyloitiengiang.vn/en/web/thuyloitiengiang/chi-tiet-tin-tuc?id=522066" TargetMode="External"/><Relationship Id="rId203" Type="http://schemas.openxmlformats.org/officeDocument/2006/relationships/hyperlink" Target="http://thuyloitiengiang.vn/en/web/thuyloitiengiang/chi-tiet-tin-tuc?id=522066" TargetMode="External"/><Relationship Id="rId204" Type="http://schemas.openxmlformats.org/officeDocument/2006/relationships/hyperlink" Target="http://thuyloitiengiang.vn/en/web/thuyloitiengiang/chi-tiet-tin-tuc?id=522066" TargetMode="External"/><Relationship Id="rId205" Type="http://schemas.openxmlformats.org/officeDocument/2006/relationships/hyperlink" Target="http://thuyloitiengiang.vn/en/web/thuyloitiengiang/chi-tiet-tin-tuc?id=522066" TargetMode="External"/><Relationship Id="rId206" Type="http://schemas.openxmlformats.org/officeDocument/2006/relationships/hyperlink" Target="http://thuyloitiengiang.vn/en/web/thuyloitiengiang/chi-tiet-tin-tuc?id=522066" TargetMode="External"/><Relationship Id="rId207" Type="http://schemas.openxmlformats.org/officeDocument/2006/relationships/hyperlink" Target="http://thuyloitiengiang.vn/en/web/thuyloitiengiang/chi-tiet-tin-tuc?id=522066" TargetMode="External"/><Relationship Id="rId208" Type="http://schemas.openxmlformats.org/officeDocument/2006/relationships/hyperlink" Target="http://thuyloitiengiang.vn/en/web/thuyloitiengiang/chi-tiet-tin-tuc?id=522066" TargetMode="External"/><Relationship Id="rId209" Type="http://schemas.openxmlformats.org/officeDocument/2006/relationships/hyperlink" Target="http://thuyloitiengiang.vn/en/web/thuyloitiengiang/chi-tiet-tin-tuc?id=522066" TargetMode="External"/><Relationship Id="rId210" Type="http://schemas.openxmlformats.org/officeDocument/2006/relationships/hyperlink" Target="http://thuyloitiengiang.vn/en/web/thuyloitiengiang/chi-tiet-tin-tuc?id=522066" TargetMode="External"/><Relationship Id="rId211" Type="http://schemas.openxmlformats.org/officeDocument/2006/relationships/hyperlink" Target="http://thuyloitiengiang.vn/en/web/thuyloitiengiang/chi-tiet-tin-tuc?id=522066" TargetMode="External"/><Relationship Id="rId212" Type="http://schemas.openxmlformats.org/officeDocument/2006/relationships/hyperlink" Target="http://thuyloitiengiang.vn/en/web/thuyloitiengiang/chi-tiet-tin-tuc?id=522066" TargetMode="External"/><Relationship Id="rId213" Type="http://schemas.openxmlformats.org/officeDocument/2006/relationships/hyperlink" Target="http://thuyloitiengiang.vn/en/web/thuyloitiengiang/chi-tiet-tin-tuc?id=522066" TargetMode="External"/><Relationship Id="rId214" Type="http://schemas.openxmlformats.org/officeDocument/2006/relationships/hyperlink" Target="http://thuyloitiengiang.vn/en/web/thuyloitiengiang/chi-tiet-tin-tuc?id=522066" TargetMode="External"/><Relationship Id="rId215" Type="http://schemas.openxmlformats.org/officeDocument/2006/relationships/hyperlink" Target="http://thuyloitiengiang.vn/en/web/thuyloitiengiang/chi-tiet-tin-tuc?id=522066" TargetMode="External"/><Relationship Id="rId216" Type="http://schemas.openxmlformats.org/officeDocument/2006/relationships/hyperlink" Target="http://thuyloitiengiang.vn/en/web/thuyloitiengiang/chi-tiet-tin-tuc?id=522066" TargetMode="External"/><Relationship Id="rId217" Type="http://schemas.openxmlformats.org/officeDocument/2006/relationships/hyperlink" Target="http://thuyloitiengiang.vn/en/web/thuyloitiengiang/chi-tiet-tin-tuc?id=522066" TargetMode="External"/><Relationship Id="rId218" Type="http://schemas.openxmlformats.org/officeDocument/2006/relationships/hyperlink" Target="http://thuyloitiengiang.vn/en/web/thuyloitiengiang/chi-tiet-tin-tuc?id=522066" TargetMode="External"/><Relationship Id="rId219" Type="http://schemas.openxmlformats.org/officeDocument/2006/relationships/hyperlink" Target="http://thuyloitiengiang.vn/en/web/thuyloitiengiang/chi-tiet-tin-tuc?id=522066" TargetMode="External"/><Relationship Id="rId220" Type="http://schemas.openxmlformats.org/officeDocument/2006/relationships/hyperlink" Target="http://thuyloitiengiang.vn/en/web/thuyloitiengiang/chi-tiet-tin-tuc?id=522066" TargetMode="External"/><Relationship Id="rId221" Type="http://schemas.openxmlformats.org/officeDocument/2006/relationships/hyperlink" Target="http://thuyloitiengiang.vn/en/web/thuyloitiengiang/chi-tiet-tin-tuc?id=522066" TargetMode="External"/><Relationship Id="rId222" Type="http://schemas.openxmlformats.org/officeDocument/2006/relationships/hyperlink" Target="http://thuyloitiengiang.vn/en/web/thuyloitiengiang/chi-tiet-tin-tuc?id=522066" TargetMode="External"/><Relationship Id="rId223" Type="http://schemas.openxmlformats.org/officeDocument/2006/relationships/hyperlink" Target="http://thuyloitiengiang.vn/en/web/thuyloitiengiang/chi-tiet-tin-tuc?id=522066" TargetMode="External"/><Relationship Id="rId224" Type="http://schemas.openxmlformats.org/officeDocument/2006/relationships/hyperlink" Target="http://thuyloitiengiang.vn/en/web/thuyloitiengiang/chi-tiet-tin-tuc?id=522066" TargetMode="External"/><Relationship Id="rId225" Type="http://schemas.openxmlformats.org/officeDocument/2006/relationships/hyperlink" Target="http://thuyloitiengiang.vn/en/web/thuyloitiengiang/chi-tiet-tin-tuc?id=522066" TargetMode="External"/><Relationship Id="rId226" Type="http://schemas.openxmlformats.org/officeDocument/2006/relationships/hyperlink" Target="http://thuyloitiengiang.vn/en/web/thuyloitiengiang/chi-tiet-tin-tuc?id=522066" TargetMode="External"/><Relationship Id="rId227" Type="http://schemas.openxmlformats.org/officeDocument/2006/relationships/hyperlink" Target="http://thuyloitiengiang.vn/en/web/thuyloitiengiang/chi-tiet-tin-tuc?id=522066" TargetMode="External"/><Relationship Id="rId228" Type="http://schemas.openxmlformats.org/officeDocument/2006/relationships/hyperlink" Target="http://thuyloitiengiang.vn/en/web/thuyloitiengiang/chi-tiet-tin-tuc?id=522066" TargetMode="External"/><Relationship Id="rId229" Type="http://schemas.openxmlformats.org/officeDocument/2006/relationships/hyperlink" Target="http://thuyloitiengiang.vn/en/web/thuyloitiengiang/chi-tiet-tin-tuc?id=522066" TargetMode="External"/><Relationship Id="rId230" Type="http://schemas.openxmlformats.org/officeDocument/2006/relationships/hyperlink" Target="https://drive.google.com/file/d/1c0Atuxq2PA3DFAdzF08leVgVOPoynN-I/view?usp=drivesdk" TargetMode="External"/><Relationship Id="rId231" Type="http://schemas.openxmlformats.org/officeDocument/2006/relationships/hyperlink" Target="https://drive.google.com/file/d/1c0Atuxq2PA3DFAdzF08leVgVOPoynN-I/view?usp=drivesdk" TargetMode="External"/>
</Relationships>
</file>

<file path=xl/worksheets/_rels/sheet14.xml.rels><?xml version="1.0" encoding="UTF-8"?>
<Relationships xmlns="http://schemas.openxmlformats.org/package/2006/relationships"><Relationship Id="rId1" Type="http://schemas.openxmlformats.org/officeDocument/2006/relationships/hyperlink" Target="http://thuyloitiengiang.vn/web/thuyloitiengiang/chi-tiet-tin-tuc?id=464847" TargetMode="External"/><Relationship Id="rId2" Type="http://schemas.openxmlformats.org/officeDocument/2006/relationships/hyperlink" Target="http://thuyloitiengiang.vn/web/thuyloitiengiang/chi-tiet-tin-tuc?id=464851" TargetMode="External"/><Relationship Id="rId3" Type="http://schemas.openxmlformats.org/officeDocument/2006/relationships/hyperlink" Target="http://thuyloitiengiang.vn/web/thuyloitiengiang/chi-tiet-tin-tuc?id=464854" TargetMode="External"/><Relationship Id="rId4" Type="http://schemas.openxmlformats.org/officeDocument/2006/relationships/hyperlink" Target="http://thuyloitiengiang.vn/ja/web/thuyloitiengiang/chi-tiet-tin-tuc?id=520619" TargetMode="External"/><Relationship Id="rId5" Type="http://schemas.openxmlformats.org/officeDocument/2006/relationships/hyperlink" Target="http://thuyloitiengiang.vn/ja/web/thuyloitiengiang/chi-tiet-tin-tuc?id=520621" TargetMode="External"/><Relationship Id="rId6" Type="http://schemas.openxmlformats.org/officeDocument/2006/relationships/hyperlink" Target="http://thuyloitiengiang.vn/ja/web/thuyloitiengiang/chi-tiet-tin-tuc?id=520623" TargetMode="External"/><Relationship Id="rId7" Type="http://schemas.openxmlformats.org/officeDocument/2006/relationships/hyperlink" Target="http://thuyloitiengiang.vn/en/web/thuyloitiengiang/chi-tiet-tin-tuc?id=520630" TargetMode="External"/><Relationship Id="rId8" Type="http://schemas.openxmlformats.org/officeDocument/2006/relationships/hyperlink" Target="http://thuyloitiengiang.vn/en/web/thuyloitiengiang/chi-tiet-tin-tuc?id=522066" TargetMode="External"/><Relationship Id="rId9" Type="http://schemas.openxmlformats.org/officeDocument/2006/relationships/hyperlink" Target="http://thuyloitiengiang.vn/web/thuyloitiengiang/chi-tiet-tin-tuc?id=464847" TargetMode="External"/><Relationship Id="rId10" Type="http://schemas.openxmlformats.org/officeDocument/2006/relationships/hyperlink" Target="http://thuyloitiengiang.vn/web/thuyloitiengiang/chi-tiet-tin-tuc?id=464851" TargetMode="External"/><Relationship Id="rId11" Type="http://schemas.openxmlformats.org/officeDocument/2006/relationships/hyperlink" Target="http://thuyloitiengiang.vn/web/thuyloitiengiang/chi-tiet-tin-tuc?id=464854" TargetMode="External"/><Relationship Id="rId12" Type="http://schemas.openxmlformats.org/officeDocument/2006/relationships/hyperlink" Target="http://thuyloitiengiang.vn/ja/web/thuyloitiengiang/chi-tiet-tin-tuc?id=520619" TargetMode="External"/><Relationship Id="rId13" Type="http://schemas.openxmlformats.org/officeDocument/2006/relationships/hyperlink" Target="http://thuyloitiengiang.vn/ja/web/thuyloitiengiang/chi-tiet-tin-tuc?id=520621" TargetMode="External"/><Relationship Id="rId14" Type="http://schemas.openxmlformats.org/officeDocument/2006/relationships/hyperlink" Target="http://thuyloitiengiang.vn/ja/web/thuyloitiengiang/chi-tiet-tin-tuc?id=520623" TargetMode="External"/><Relationship Id="rId15" Type="http://schemas.openxmlformats.org/officeDocument/2006/relationships/hyperlink" Target="http://thuyloitiengiang.vn/en/web/thuyloitiengiang/chi-tiet-tin-tuc?id=520630" TargetMode="External"/><Relationship Id="rId16" Type="http://schemas.openxmlformats.org/officeDocument/2006/relationships/hyperlink" Target="http://thuyloitiengiang.vn/en/web/thuyloitiengiang/chi-tiet-tin-tuc?id=522066" TargetMode="External"/><Relationship Id="rId17" Type="http://schemas.openxmlformats.org/officeDocument/2006/relationships/hyperlink" Target="http://thuyloitiengiang.vn/web/thuyloitiengiang/chi-tiet-tin-tuc?id=464847" TargetMode="External"/><Relationship Id="rId18" Type="http://schemas.openxmlformats.org/officeDocument/2006/relationships/hyperlink" Target="http://thuyloitiengiang.vn/web/thuyloitiengiang/chi-tiet-tin-tuc?id=464851" TargetMode="External"/><Relationship Id="rId19" Type="http://schemas.openxmlformats.org/officeDocument/2006/relationships/hyperlink" Target="http://thuyloitiengiang.vn/web/thuyloitiengiang/chi-tiet-tin-tuc?id=464854" TargetMode="External"/><Relationship Id="rId20" Type="http://schemas.openxmlformats.org/officeDocument/2006/relationships/hyperlink" Target="http://thuyloitiengiang.vn/ja/web/thuyloitiengiang/chi-tiet-tin-tuc?id=520619" TargetMode="External"/><Relationship Id="rId21" Type="http://schemas.openxmlformats.org/officeDocument/2006/relationships/hyperlink" Target="http://thuyloitiengiang.vn/ja/web/thuyloitiengiang/chi-tiet-tin-tuc?id=520621" TargetMode="External"/><Relationship Id="rId22" Type="http://schemas.openxmlformats.org/officeDocument/2006/relationships/hyperlink" Target="http://thuyloitiengiang.vn/ja/web/thuyloitiengiang/chi-tiet-tin-tuc?id=520623" TargetMode="External"/><Relationship Id="rId23" Type="http://schemas.openxmlformats.org/officeDocument/2006/relationships/hyperlink" Target="http://thuyloitiengiang.vn/en/web/thuyloitiengiang/chi-tiet-tin-tuc?id=520630" TargetMode="External"/><Relationship Id="rId24" Type="http://schemas.openxmlformats.org/officeDocument/2006/relationships/hyperlink" Target="http://thuyloitiengiang.vn/en/web/thuyloitiengiang/chi-tiet-tin-tuc?id=522066" TargetMode="External"/><Relationship Id="rId25" Type="http://schemas.openxmlformats.org/officeDocument/2006/relationships/hyperlink" Target="http://thuyloitiengiang.vn/web/thuyloitiengiang/chi-tiet-tin-tuc?id=464847" TargetMode="External"/><Relationship Id="rId26" Type="http://schemas.openxmlformats.org/officeDocument/2006/relationships/hyperlink" Target="http://thuyloitiengiang.vn/web/thuyloitiengiang/chi-tiet-tin-tuc?id=464851" TargetMode="External"/><Relationship Id="rId27" Type="http://schemas.openxmlformats.org/officeDocument/2006/relationships/hyperlink" Target="http://thuyloitiengiang.vn/web/thuyloitiengiang/chi-tiet-tin-tuc?id=464854" TargetMode="External"/><Relationship Id="rId28" Type="http://schemas.openxmlformats.org/officeDocument/2006/relationships/hyperlink" Target="http://thuyloitiengiang.vn/ja/web/thuyloitiengiang/chi-tiet-tin-tuc?id=520619" TargetMode="External"/><Relationship Id="rId29" Type="http://schemas.openxmlformats.org/officeDocument/2006/relationships/hyperlink" Target="http://thuyloitiengiang.vn/ja/web/thuyloitiengiang/chi-tiet-tin-tuc?id=520621" TargetMode="External"/><Relationship Id="rId30" Type="http://schemas.openxmlformats.org/officeDocument/2006/relationships/hyperlink" Target="http://thuyloitiengiang.vn/ja/web/thuyloitiengiang/chi-tiet-tin-tuc?id=520623" TargetMode="External"/><Relationship Id="rId31" Type="http://schemas.openxmlformats.org/officeDocument/2006/relationships/hyperlink" Target="http://thuyloitiengiang.vn/en/web/thuyloitiengiang/chi-tiet-tin-tuc?id=520630" TargetMode="External"/><Relationship Id="rId32" Type="http://schemas.openxmlformats.org/officeDocument/2006/relationships/hyperlink" Target="http://thuyloitiengiang.vn/en/web/thuyloitiengiang/chi-tiet-tin-tuc?id=522066" TargetMode="External"/><Relationship Id="rId33" Type="http://schemas.openxmlformats.org/officeDocument/2006/relationships/hyperlink" Target="http://thuyloitiengiang.vn/web/thuyloitiengiang/chi-tiet-tin-tuc?id=464847" TargetMode="External"/><Relationship Id="rId34" Type="http://schemas.openxmlformats.org/officeDocument/2006/relationships/hyperlink" Target="http://thuyloitiengiang.vn/web/thuyloitiengiang/chi-tiet-tin-tuc?id=464851" TargetMode="External"/><Relationship Id="rId35" Type="http://schemas.openxmlformats.org/officeDocument/2006/relationships/hyperlink" Target="http://thuyloitiengiang.vn/web/thuyloitiengiang/chi-tiet-tin-tuc?id=464854" TargetMode="External"/><Relationship Id="rId36" Type="http://schemas.openxmlformats.org/officeDocument/2006/relationships/hyperlink" Target="http://thuyloitiengiang.vn/ja/web/thuyloitiengiang/chi-tiet-tin-tuc?id=520619" TargetMode="External"/><Relationship Id="rId37" Type="http://schemas.openxmlformats.org/officeDocument/2006/relationships/hyperlink" Target="http://thuyloitiengiang.vn/ja/web/thuyloitiengiang/chi-tiet-tin-tuc?id=520621" TargetMode="External"/><Relationship Id="rId38" Type="http://schemas.openxmlformats.org/officeDocument/2006/relationships/hyperlink" Target="http://thuyloitiengiang.vn/ja/web/thuyloitiengiang/chi-tiet-tin-tuc?id=520623" TargetMode="External"/><Relationship Id="rId39" Type="http://schemas.openxmlformats.org/officeDocument/2006/relationships/hyperlink" Target="http://thuyloitiengiang.vn/en/web/thuyloitiengiang/chi-tiet-tin-tuc?id=520630" TargetMode="External"/><Relationship Id="rId40" Type="http://schemas.openxmlformats.org/officeDocument/2006/relationships/hyperlink" Target="http://thuyloitiengiang.vn/en/web/thuyloitiengiang/chi-tiet-tin-tuc?id=522066" TargetMode="External"/><Relationship Id="rId41" Type="http://schemas.openxmlformats.org/officeDocument/2006/relationships/hyperlink" Target="http://thuyloitiengiang.vn/web/thuyloitiengiang/chi-tiet-tin-tuc?id=464847" TargetMode="External"/><Relationship Id="rId42" Type="http://schemas.openxmlformats.org/officeDocument/2006/relationships/hyperlink" Target="http://thuyloitiengiang.vn/web/thuyloitiengiang/chi-tiet-tin-tuc?id=464851" TargetMode="External"/><Relationship Id="rId43" Type="http://schemas.openxmlformats.org/officeDocument/2006/relationships/hyperlink" Target="http://thuyloitiengiang.vn/web/thuyloitiengiang/chi-tiet-tin-tuc?id=464854" TargetMode="External"/><Relationship Id="rId44" Type="http://schemas.openxmlformats.org/officeDocument/2006/relationships/hyperlink" Target="http://thuyloitiengiang.vn/ja/web/thuyloitiengiang/chi-tiet-tin-tuc?id=520619" TargetMode="External"/><Relationship Id="rId45" Type="http://schemas.openxmlformats.org/officeDocument/2006/relationships/hyperlink" Target="http://thuyloitiengiang.vn/ja/web/thuyloitiengiang/chi-tiet-tin-tuc?id=520621" TargetMode="External"/><Relationship Id="rId46" Type="http://schemas.openxmlformats.org/officeDocument/2006/relationships/hyperlink" Target="http://thuyloitiengiang.vn/ja/web/thuyloitiengiang/chi-tiet-tin-tuc?id=520623" TargetMode="External"/><Relationship Id="rId47" Type="http://schemas.openxmlformats.org/officeDocument/2006/relationships/hyperlink" Target="http://thuyloitiengiang.vn/en/web/thuyloitiengiang/chi-tiet-tin-tuc?id=520630" TargetMode="External"/><Relationship Id="rId48" Type="http://schemas.openxmlformats.org/officeDocument/2006/relationships/hyperlink" Target="http://thuyloitiengiang.vn/en/web/thuyloitiengiang/chi-tiet-tin-tuc?id=522066" TargetMode="External"/><Relationship Id="rId49" Type="http://schemas.openxmlformats.org/officeDocument/2006/relationships/hyperlink" Target="https://phongchongthientaitiengiang.vn/?p=7360" TargetMode="External"/><Relationship Id="rId50" Type="http://schemas.openxmlformats.org/officeDocument/2006/relationships/hyperlink" Target="http://thuyloitiengiang.vn/web/thuyloitiengiang/chi-tiet-tin-tuc?id=455328" TargetMode="External"/><Relationship Id="rId51" Type="http://schemas.openxmlformats.org/officeDocument/2006/relationships/hyperlink" Target="http://thuyloitiengiang.vn/web/thuyloitiengiang/chi-tiet-tin-tuc?id=455332" TargetMode="External"/><Relationship Id="rId52" Type="http://schemas.openxmlformats.org/officeDocument/2006/relationships/hyperlink" Target="http://thuyloitiengiang.vn/web/thuyloitiengiang/chi-tiet-tin-tuc?id=455336" TargetMode="External"/><Relationship Id="rId53" Type="http://schemas.openxmlformats.org/officeDocument/2006/relationships/hyperlink" Target="http://thuyloitiengiang.vn/web/thuyloitiengiang/chi-tiet-tin-tuc?id=455412" TargetMode="External"/><Relationship Id="rId54" Type="http://schemas.openxmlformats.org/officeDocument/2006/relationships/hyperlink" Target="http://thuyloitiengiang.vn/web/thuyloitiengiang/chi-tiet-tin-tuc?id=455416" TargetMode="External"/><Relationship Id="rId55" Type="http://schemas.openxmlformats.org/officeDocument/2006/relationships/hyperlink" Target="https://phongchongthientaitiengiang.vn/?p=7360" TargetMode="External"/><Relationship Id="rId56" Type="http://schemas.openxmlformats.org/officeDocument/2006/relationships/hyperlink" Target="http://thuyloitiengiang.vn/web/thuyloitiengiang/chi-tiet-tin-tuc?id=455328" TargetMode="External"/><Relationship Id="rId57" Type="http://schemas.openxmlformats.org/officeDocument/2006/relationships/hyperlink" Target="http://thuyloitiengiang.vn/web/thuyloitiengiang/chi-tiet-tin-tuc?id=455332" TargetMode="External"/><Relationship Id="rId58" Type="http://schemas.openxmlformats.org/officeDocument/2006/relationships/hyperlink" Target="http://thuyloitiengiang.vn/web/thuyloitiengiang/chi-tiet-tin-tuc?id=455336" TargetMode="External"/><Relationship Id="rId59" Type="http://schemas.openxmlformats.org/officeDocument/2006/relationships/hyperlink" Target="http://thuyloitiengiang.vn/web/thuyloitiengiang/chi-tiet-tin-tuc?id=455412" TargetMode="External"/><Relationship Id="rId60" Type="http://schemas.openxmlformats.org/officeDocument/2006/relationships/hyperlink" Target="http://thuyloitiengiang.vn/web/thuyloitiengiang/chi-tiet-tin-tuc?id=455416" TargetMode="External"/><Relationship Id="rId61" Type="http://schemas.openxmlformats.org/officeDocument/2006/relationships/hyperlink" Target="https://phongchongthientaitiengiang.vn/?p=7360" TargetMode="External"/><Relationship Id="rId62" Type="http://schemas.openxmlformats.org/officeDocument/2006/relationships/hyperlink" Target="https://phongchongthientaitiengiang.vn/?p=7360" TargetMode="External"/><Relationship Id="rId63" Type="http://schemas.openxmlformats.org/officeDocument/2006/relationships/hyperlink" Target="http://thuyloitiengiang.vn/web/thuyloitiengiang/chi-tiet-tin-tuc?id=455328" TargetMode="External"/><Relationship Id="rId64" Type="http://schemas.openxmlformats.org/officeDocument/2006/relationships/hyperlink" Target="http://thuyloitiengiang.vn/web/thuyloitiengiang/chi-tiet-tin-tuc?id=455328" TargetMode="External"/><Relationship Id="rId65" Type="http://schemas.openxmlformats.org/officeDocument/2006/relationships/hyperlink" Target="http://thuyloitiengiang.vn/web/thuyloitiengiang/chi-tiet-tin-tuc?id=455332" TargetMode="External"/><Relationship Id="rId66" Type="http://schemas.openxmlformats.org/officeDocument/2006/relationships/hyperlink" Target="http://thuyloitiengiang.vn/web/thuyloitiengiang/chi-tiet-tin-tuc?id=455336" TargetMode="External"/><Relationship Id="rId67" Type="http://schemas.openxmlformats.org/officeDocument/2006/relationships/hyperlink" Target="http://thuyloitiengiang.vn/web/thuyloitiengiang/chi-tiet-tin-tuc?id=455412" TargetMode="External"/><Relationship Id="rId68" Type="http://schemas.openxmlformats.org/officeDocument/2006/relationships/hyperlink" Target="http://thuyloitiengiang.vn/web/thuyloitiengiang/chi-tiet-tin-tuc?id=455416" TargetMode="External"/><Relationship Id="rId69" Type="http://schemas.openxmlformats.org/officeDocument/2006/relationships/hyperlink" Target="https://phongchongthientaitiengiang.vn/?p=7360" TargetMode="External"/><Relationship Id="rId70" Type="http://schemas.openxmlformats.org/officeDocument/2006/relationships/hyperlink" Target="http://thuyloitiengiang.vn/web/thuyloitiengiang/chi-tiet-tin-tuc?id=455328" TargetMode="External"/><Relationship Id="rId71" Type="http://schemas.openxmlformats.org/officeDocument/2006/relationships/hyperlink" Target="http://thuyloitiengiang.vn/web/thuyloitiengiang/chi-tiet-tin-tuc?id=455332" TargetMode="External"/><Relationship Id="rId72" Type="http://schemas.openxmlformats.org/officeDocument/2006/relationships/hyperlink" Target="http://thuyloitiengiang.vn/web/thuyloitiengiang/chi-tiet-tin-tuc?id=455336" TargetMode="External"/><Relationship Id="rId73" Type="http://schemas.openxmlformats.org/officeDocument/2006/relationships/hyperlink" Target="http://thuyloitiengiang.vn/web/thuyloitiengiang/chi-tiet-tin-tuc?id=455412" TargetMode="External"/><Relationship Id="rId74" Type="http://schemas.openxmlformats.org/officeDocument/2006/relationships/hyperlink" Target="http://thuyloitiengiang.vn/web/thuyloitiengiang/chi-tiet-tin-tuc?id=455416" TargetMode="External"/><Relationship Id="rId75" Type="http://schemas.openxmlformats.org/officeDocument/2006/relationships/hyperlink" Target="http://thuyloitiengiang.vn/web/thuyloitiengiang/chi-tiet-tin-tuc?id=455328" TargetMode="External"/><Relationship Id="rId76" Type="http://schemas.openxmlformats.org/officeDocument/2006/relationships/hyperlink" Target="http://thuyloitiengiang.vn/web/thuyloitiengiang/chi-tiet-tin-tuc?id=455332" TargetMode="External"/><Relationship Id="rId77" Type="http://schemas.openxmlformats.org/officeDocument/2006/relationships/hyperlink" Target="http://thuyloitiengiang.vn/web/thuyloitiengiang/chi-tiet-tin-tuc?id=455336" TargetMode="External"/><Relationship Id="rId78" Type="http://schemas.openxmlformats.org/officeDocument/2006/relationships/hyperlink" Target="http://thuyloitiengiang.vn/web/thuyloitiengiang/chi-tiet-tin-tuc?id=455412" TargetMode="External"/><Relationship Id="rId79" Type="http://schemas.openxmlformats.org/officeDocument/2006/relationships/hyperlink" Target="http://thuyloitiengiang.vn/web/thuyloitiengiang/chi-tiet-tin-tuc?id=455416" TargetMode="External"/><Relationship Id="rId80" Type="http://schemas.openxmlformats.org/officeDocument/2006/relationships/hyperlink" Target="https://phongchongthientaitiengiang.vn/?p=7360" TargetMode="External"/><Relationship Id="rId81" Type="http://schemas.openxmlformats.org/officeDocument/2006/relationships/hyperlink" Target="http://thuyloitiengiang.vn/web/thuyloitiengiang/chi-tiet-tin-tuc?id=455328" TargetMode="External"/><Relationship Id="rId82" Type="http://schemas.openxmlformats.org/officeDocument/2006/relationships/hyperlink" Target="http://thuyloitiengiang.vn/web/thuyloitiengiang/chi-tiet-tin-tuc?id=455332" TargetMode="External"/><Relationship Id="rId83" Type="http://schemas.openxmlformats.org/officeDocument/2006/relationships/hyperlink" Target="http://thuyloitiengiang.vn/web/thuyloitiengiang/chi-tiet-tin-tuc?id=455336" TargetMode="External"/><Relationship Id="rId84" Type="http://schemas.openxmlformats.org/officeDocument/2006/relationships/hyperlink" Target="http://thuyloitiengiang.vn/web/thuyloitiengiang/chi-tiet-tin-tuc?id=455412" TargetMode="External"/><Relationship Id="rId85" Type="http://schemas.openxmlformats.org/officeDocument/2006/relationships/hyperlink" Target="http://thuyloitiengiang.vn/web/thuyloitiengiang/chi-tiet-tin-tuc?id=455416" TargetMode="External"/><Relationship Id="rId86" Type="http://schemas.openxmlformats.org/officeDocument/2006/relationships/hyperlink" Target="https://phongchongthientaitiengiang.vn/?p=7360" TargetMode="External"/><Relationship Id="rId87" Type="http://schemas.openxmlformats.org/officeDocument/2006/relationships/hyperlink" Target="https://phongchongthientaitiengiang.vn/?p=7360" TargetMode="External"/><Relationship Id="rId88" Type="http://schemas.openxmlformats.org/officeDocument/2006/relationships/hyperlink" Target="http://thuyloitiengiang.vn/web/thuyloitiengiang/chi-tiet-tin-tuc?id=455328" TargetMode="External"/><Relationship Id="rId89" Type="http://schemas.openxmlformats.org/officeDocument/2006/relationships/hyperlink" Target="http://thuyloitiengiang.vn/web/thuyloitiengiang/chi-tiet-tin-tuc?id=455328" TargetMode="External"/><Relationship Id="rId90" Type="http://schemas.openxmlformats.org/officeDocument/2006/relationships/hyperlink" Target="http://thuyloitiengiang.vn/web/thuyloitiengiang/chi-tiet-tin-tuc?id=455332" TargetMode="External"/><Relationship Id="rId91" Type="http://schemas.openxmlformats.org/officeDocument/2006/relationships/hyperlink" Target="http://thuyloitiengiang.vn/web/thuyloitiengiang/chi-tiet-tin-tuc?id=455336" TargetMode="External"/><Relationship Id="rId92" Type="http://schemas.openxmlformats.org/officeDocument/2006/relationships/hyperlink" Target="http://thuyloitiengiang.vn/web/thuyloitiengiang/chi-tiet-tin-tuc?id=455412" TargetMode="External"/><Relationship Id="rId93" Type="http://schemas.openxmlformats.org/officeDocument/2006/relationships/hyperlink" Target="http://thuyloitiengiang.vn/web/thuyloitiengiang/chi-tiet-tin-tuc?id=455416" TargetMode="External"/><Relationship Id="rId94" Type="http://schemas.openxmlformats.org/officeDocument/2006/relationships/hyperlink" Target="http://thuyloitiengiang.vn/web/thuyloitiengiang/chi-tiet-tin-tuc?id=464847" TargetMode="External"/><Relationship Id="rId95" Type="http://schemas.openxmlformats.org/officeDocument/2006/relationships/hyperlink" Target="http://thuyloitiengiang.vn/web/thuyloitiengiang/chi-tiet-tin-tuc?id=464847" TargetMode="External"/><Relationship Id="rId96" Type="http://schemas.openxmlformats.org/officeDocument/2006/relationships/hyperlink" Target="http://thuyloitiengiang.vn/web/thuyloitiengiang/chi-tiet-tin-tuc?id=464851" TargetMode="External"/><Relationship Id="rId97" Type="http://schemas.openxmlformats.org/officeDocument/2006/relationships/hyperlink" Target="http://thuyloitiengiang.vn/web/thuyloitiengiang/chi-tiet-tin-tuc?id=464851" TargetMode="External"/><Relationship Id="rId98" Type="http://schemas.openxmlformats.org/officeDocument/2006/relationships/hyperlink" Target="http://thuyloitiengiang.vn/web/thuyloitiengiang/chi-tiet-tin-tuc?id=464854" TargetMode="External"/><Relationship Id="rId99" Type="http://schemas.openxmlformats.org/officeDocument/2006/relationships/hyperlink" Target="http://thuyloitiengiang.vn/ja/web/thuyloitiengiang/chi-tiet-tin-tuc?id=520619" TargetMode="External"/><Relationship Id="rId100" Type="http://schemas.openxmlformats.org/officeDocument/2006/relationships/hyperlink" Target="http://thuyloitiengiang.vn/ja/web/thuyloitiengiang/chi-tiet-tin-tuc?id=520619" TargetMode="External"/><Relationship Id="rId101" Type="http://schemas.openxmlformats.org/officeDocument/2006/relationships/hyperlink" Target="http://thuyloitiengiang.vn/ja/web/thuyloitiengiang/chi-tiet-tin-tuc?id=520621" TargetMode="External"/><Relationship Id="rId102" Type="http://schemas.openxmlformats.org/officeDocument/2006/relationships/hyperlink" Target="http://thuyloitiengiang.vn/ja/web/thuyloitiengiang/chi-tiet-tin-tuc?id=520623" TargetMode="External"/><Relationship Id="rId103" Type="http://schemas.openxmlformats.org/officeDocument/2006/relationships/hyperlink" Target="http://thuyloitiengiang.vn/en/web/thuyloitiengiang/chi-tiet-tin-tuc?id=520630" TargetMode="External"/><Relationship Id="rId104" Type="http://schemas.openxmlformats.org/officeDocument/2006/relationships/hyperlink" Target="http://thuyloitiengiang.vn/en/web/thuyloitiengiang/chi-tiet-tin-tuc?id=522066" TargetMode="External"/><Relationship Id="rId105" Type="http://schemas.openxmlformats.org/officeDocument/2006/relationships/hyperlink" Target="http://thuyloitiengiang.vn/en/web/thuyloitiengiang/chi-tiet-tin-tuc?id=522066" TargetMode="External"/><Relationship Id="rId106" Type="http://schemas.openxmlformats.org/officeDocument/2006/relationships/hyperlink" Target="http://thuyloitiengiang.vn/web/thuyloitiengiang/chi-tiet-tin-tuc?id=464847" TargetMode="External"/><Relationship Id="rId107" Type="http://schemas.openxmlformats.org/officeDocument/2006/relationships/hyperlink" Target="http://thuyloitiengiang.vn/web/thuyloitiengiang/chi-tiet-tin-tuc?id=464851" TargetMode="External"/><Relationship Id="rId108" Type="http://schemas.openxmlformats.org/officeDocument/2006/relationships/hyperlink" Target="http://thuyloitiengiang.vn/web/thuyloitiengiang/chi-tiet-tin-tuc?id=464854" TargetMode="External"/><Relationship Id="rId109" Type="http://schemas.openxmlformats.org/officeDocument/2006/relationships/hyperlink" Target="http://thuyloitiengiang.vn/ja/web/thuyloitiengiang/chi-tiet-tin-tuc?id=520619" TargetMode="External"/><Relationship Id="rId110" Type="http://schemas.openxmlformats.org/officeDocument/2006/relationships/hyperlink" Target="http://thuyloitiengiang.vn/ja/web/thuyloitiengiang/chi-tiet-tin-tuc?id=520621" TargetMode="External"/><Relationship Id="rId111" Type="http://schemas.openxmlformats.org/officeDocument/2006/relationships/hyperlink" Target="http://thuyloitiengiang.vn/en/web/thuyloitiengiang/chi-tiet-tin-tuc?id=520630" TargetMode="External"/><Relationship Id="rId112" Type="http://schemas.openxmlformats.org/officeDocument/2006/relationships/hyperlink" Target="http://thuyloitiengiang.vn/en/web/thuyloitiengiang/chi-tiet-tin-tuc?id=522066" TargetMode="External"/><Relationship Id="rId113" Type="http://schemas.openxmlformats.org/officeDocument/2006/relationships/hyperlink" Target="http://thuyloitiengiang.vn/web/thuyloitiengiang/chi-tiet-tin-tuc?id=464847" TargetMode="External"/><Relationship Id="rId114" Type="http://schemas.openxmlformats.org/officeDocument/2006/relationships/hyperlink" Target="http://thuyloitiengiang.vn/web/thuyloitiengiang/chi-tiet-tin-tuc?id=464851" TargetMode="External"/><Relationship Id="rId115" Type="http://schemas.openxmlformats.org/officeDocument/2006/relationships/hyperlink" Target="http://thuyloitiengiang.vn/web/thuyloitiengiang/chi-tiet-tin-tuc?id=464854" TargetMode="External"/><Relationship Id="rId116" Type="http://schemas.openxmlformats.org/officeDocument/2006/relationships/hyperlink" Target="http://thuyloitiengiang.vn/ja/web/thuyloitiengiang/chi-tiet-tin-tuc?id=520619" TargetMode="External"/><Relationship Id="rId117" Type="http://schemas.openxmlformats.org/officeDocument/2006/relationships/hyperlink" Target="http://thuyloitiengiang.vn/ja/web/thuyloitiengiang/chi-tiet-tin-tuc?id=520621" TargetMode="External"/><Relationship Id="rId118" Type="http://schemas.openxmlformats.org/officeDocument/2006/relationships/hyperlink" Target="http://thuyloitiengiang.vn/en/web/thuyloitiengiang/chi-tiet-tin-tuc?id=520630" TargetMode="External"/><Relationship Id="rId119" Type="http://schemas.openxmlformats.org/officeDocument/2006/relationships/hyperlink" Target="http://thuyloitiengiang.vn/en/web/thuyloitiengiang/chi-tiet-tin-tuc?id=522066" TargetMode="External"/><Relationship Id="rId120" Type="http://schemas.openxmlformats.org/officeDocument/2006/relationships/hyperlink" Target="http://thuyloitiengiang.vn/web/thuyloitiengiang/chi-tiet-tin-tuc?id=464847" TargetMode="External"/><Relationship Id="rId121" Type="http://schemas.openxmlformats.org/officeDocument/2006/relationships/hyperlink" Target="http://thuyloitiengiang.vn/web/thuyloitiengiang/chi-tiet-tin-tuc?id=464851" TargetMode="External"/><Relationship Id="rId122" Type="http://schemas.openxmlformats.org/officeDocument/2006/relationships/hyperlink" Target="http://thuyloitiengiang.vn/web/thuyloitiengiang/chi-tiet-tin-tuc?id=464854" TargetMode="External"/><Relationship Id="rId123" Type="http://schemas.openxmlformats.org/officeDocument/2006/relationships/hyperlink" Target="http://thuyloitiengiang.vn/ja/web/thuyloitiengiang/chi-tiet-tin-tuc?id=520619" TargetMode="External"/><Relationship Id="rId124" Type="http://schemas.openxmlformats.org/officeDocument/2006/relationships/hyperlink" Target="http://thuyloitiengiang.vn/ja/web/thuyloitiengiang/chi-tiet-tin-tuc?id=520621" TargetMode="External"/><Relationship Id="rId125" Type="http://schemas.openxmlformats.org/officeDocument/2006/relationships/hyperlink" Target="http://thuyloitiengiang.vn/en/web/thuyloitiengiang/chi-tiet-tin-tuc?id=520630" TargetMode="External"/><Relationship Id="rId126" Type="http://schemas.openxmlformats.org/officeDocument/2006/relationships/hyperlink" Target="http://thuyloitiengiang.vn/en/web/thuyloitiengiang/chi-tiet-tin-tuc?id=522066" TargetMode="External"/><Relationship Id="rId127" Type="http://schemas.openxmlformats.org/officeDocument/2006/relationships/hyperlink" Target="http://thuyloitiengiang.vn/web/thuyloitiengiang/chi-tiet-tin-tuc?id=464847" TargetMode="External"/><Relationship Id="rId128" Type="http://schemas.openxmlformats.org/officeDocument/2006/relationships/hyperlink" Target="http://thuyloitiengiang.vn/web/thuyloitiengiang/chi-tiet-tin-tuc?id=464851" TargetMode="External"/><Relationship Id="rId129" Type="http://schemas.openxmlformats.org/officeDocument/2006/relationships/hyperlink" Target="http://thuyloitiengiang.vn/web/thuyloitiengiang/chi-tiet-tin-tuc?id=464854" TargetMode="External"/><Relationship Id="rId130" Type="http://schemas.openxmlformats.org/officeDocument/2006/relationships/hyperlink" Target="http://thuyloitiengiang.vn/ja/web/thuyloitiengiang/chi-tiet-tin-tuc?id=520619" TargetMode="External"/><Relationship Id="rId131" Type="http://schemas.openxmlformats.org/officeDocument/2006/relationships/hyperlink" Target="http://thuyloitiengiang.vn/ja/web/thuyloitiengiang/chi-tiet-tin-tuc?id=520621" TargetMode="External"/><Relationship Id="rId132" Type="http://schemas.openxmlformats.org/officeDocument/2006/relationships/hyperlink" Target="http://thuyloitiengiang.vn/ja/web/thuyloitiengiang/chi-tiet-tin-tuc?id=520623" TargetMode="External"/><Relationship Id="rId133" Type="http://schemas.openxmlformats.org/officeDocument/2006/relationships/hyperlink" Target="http://thuyloitiengiang.vn/en/web/thuyloitiengiang/chi-tiet-tin-tuc?id=520630" TargetMode="External"/><Relationship Id="rId134" Type="http://schemas.openxmlformats.org/officeDocument/2006/relationships/hyperlink" Target="http://thuyloitiengiang.vn/en/web/thuyloitiengiang/chi-tiet-tin-tuc?id=522066" TargetMode="External"/><Relationship Id="rId135" Type="http://schemas.openxmlformats.org/officeDocument/2006/relationships/hyperlink" Target="http://thuyloitiengiang.vn/web/thuyloitiengiang/chi-tiet-tin-tuc?id=464847" TargetMode="External"/><Relationship Id="rId136" Type="http://schemas.openxmlformats.org/officeDocument/2006/relationships/hyperlink" Target="http://thuyloitiengiang.vn/web/thuyloitiengiang/chi-tiet-tin-tuc?id=464851" TargetMode="External"/><Relationship Id="rId137" Type="http://schemas.openxmlformats.org/officeDocument/2006/relationships/hyperlink" Target="http://thuyloitiengiang.vn/web/thuyloitiengiang/chi-tiet-tin-tuc?id=464854" TargetMode="External"/><Relationship Id="rId138" Type="http://schemas.openxmlformats.org/officeDocument/2006/relationships/hyperlink" Target="http://thuyloitiengiang.vn/ja/web/thuyloitiengiang/chi-tiet-tin-tuc?id=520619" TargetMode="External"/><Relationship Id="rId139" Type="http://schemas.openxmlformats.org/officeDocument/2006/relationships/hyperlink" Target="http://thuyloitiengiang.vn/ja/web/thuyloitiengiang/chi-tiet-tin-tuc?id=520621" TargetMode="External"/><Relationship Id="rId140" Type="http://schemas.openxmlformats.org/officeDocument/2006/relationships/hyperlink" Target="http://thuyloitiengiang.vn/ja/web/thuyloitiengiang/chi-tiet-tin-tuc?id=520623" TargetMode="External"/><Relationship Id="rId141" Type="http://schemas.openxmlformats.org/officeDocument/2006/relationships/hyperlink" Target="http://thuyloitiengiang.vn/en/web/thuyloitiengiang/chi-tiet-tin-tuc?id=520630" TargetMode="External"/><Relationship Id="rId142" Type="http://schemas.openxmlformats.org/officeDocument/2006/relationships/hyperlink" Target="http://thuyloitiengiang.vn/en/web/thuyloitiengiang/chi-tiet-tin-tuc?id=522066" TargetMode="External"/><Relationship Id="rId143" Type="http://schemas.openxmlformats.org/officeDocument/2006/relationships/hyperlink" Target="http://thuyloitiengiang.vn/web/thuyloitiengiang/chi-tiet-tin-tuc?id=464847" TargetMode="External"/><Relationship Id="rId144" Type="http://schemas.openxmlformats.org/officeDocument/2006/relationships/hyperlink" Target="http://thuyloitiengiang.vn/web/thuyloitiengiang/chi-tiet-tin-tuc?id=464851" TargetMode="External"/><Relationship Id="rId145" Type="http://schemas.openxmlformats.org/officeDocument/2006/relationships/hyperlink" Target="http://thuyloitiengiang.vn/web/thuyloitiengiang/chi-tiet-tin-tuc?id=464854" TargetMode="External"/><Relationship Id="rId146" Type="http://schemas.openxmlformats.org/officeDocument/2006/relationships/hyperlink" Target="http://thuyloitiengiang.vn/ja/web/thuyloitiengiang/chi-tiet-tin-tuc?id=520619" TargetMode="External"/><Relationship Id="rId147" Type="http://schemas.openxmlformats.org/officeDocument/2006/relationships/hyperlink" Target="http://thuyloitiengiang.vn/ja/web/thuyloitiengiang/chi-tiet-tin-tuc?id=520621" TargetMode="External"/><Relationship Id="rId148" Type="http://schemas.openxmlformats.org/officeDocument/2006/relationships/hyperlink" Target="http://thuyloitiengiang.vn/ja/web/thuyloitiengiang/chi-tiet-tin-tuc?id=520623" TargetMode="External"/><Relationship Id="rId149" Type="http://schemas.openxmlformats.org/officeDocument/2006/relationships/hyperlink" Target="http://thuyloitiengiang.vn/en/web/thuyloitiengiang/chi-tiet-tin-tuc?id=520630" TargetMode="External"/><Relationship Id="rId150" Type="http://schemas.openxmlformats.org/officeDocument/2006/relationships/hyperlink" Target="http://thuyloitiengiang.vn/en/web/thuyloitiengiang/chi-tiet-tin-tuc?id=522066" TargetMode="External"/><Relationship Id="rId151" Type="http://schemas.openxmlformats.org/officeDocument/2006/relationships/hyperlink" Target="http://thuyloitiengiang.vn/web/thuyloitiengiang/chi-tiet-tin-tuc?id=464847" TargetMode="External"/><Relationship Id="rId152" Type="http://schemas.openxmlformats.org/officeDocument/2006/relationships/hyperlink" Target="http://thuyloitiengiang.vn/web/thuyloitiengiang/chi-tiet-tin-tuc?id=464851" TargetMode="External"/><Relationship Id="rId153" Type="http://schemas.openxmlformats.org/officeDocument/2006/relationships/hyperlink" Target="http://thuyloitiengiang.vn/web/thuyloitiengiang/chi-tiet-tin-tuc?id=464854" TargetMode="External"/><Relationship Id="rId154" Type="http://schemas.openxmlformats.org/officeDocument/2006/relationships/hyperlink" Target="http://thuyloitiengiang.vn/ja/web/thuyloitiengiang/chi-tiet-tin-tuc?id=520619" TargetMode="External"/><Relationship Id="rId155" Type="http://schemas.openxmlformats.org/officeDocument/2006/relationships/hyperlink" Target="http://thuyloitiengiang.vn/ja/web/thuyloitiengiang/chi-tiet-tin-tuc?id=520621" TargetMode="External"/><Relationship Id="rId156" Type="http://schemas.openxmlformats.org/officeDocument/2006/relationships/hyperlink" Target="http://thuyloitiengiang.vn/ja/web/thuyloitiengiang/chi-tiet-tin-tuc?id=520623" TargetMode="External"/><Relationship Id="rId157" Type="http://schemas.openxmlformats.org/officeDocument/2006/relationships/hyperlink" Target="http://thuyloitiengiang.vn/en/web/thuyloitiengiang/chi-tiet-tin-tuc?id=520630" TargetMode="External"/><Relationship Id="rId158" Type="http://schemas.openxmlformats.org/officeDocument/2006/relationships/hyperlink" Target="http://thuyloitiengiang.vn/en/web/thuyloitiengiang/chi-tiet-tin-tuc?id=522066" TargetMode="External"/><Relationship Id="rId159" Type="http://schemas.openxmlformats.org/officeDocument/2006/relationships/hyperlink" Target="http://thuyloitiengiang.vn/web/thuyloitiengiang/chi-tiet-tin-tuc?id=464847" TargetMode="External"/><Relationship Id="rId160" Type="http://schemas.openxmlformats.org/officeDocument/2006/relationships/hyperlink" Target="http://thuyloitiengiang.vn/web/thuyloitiengiang/chi-tiet-tin-tuc?id=464851" TargetMode="External"/><Relationship Id="rId161" Type="http://schemas.openxmlformats.org/officeDocument/2006/relationships/hyperlink" Target="http://thuyloitiengiang.vn/web/thuyloitiengiang/chi-tiet-tin-tuc?id=464854" TargetMode="External"/><Relationship Id="rId162" Type="http://schemas.openxmlformats.org/officeDocument/2006/relationships/hyperlink" Target="http://thuyloitiengiang.vn/ja/web/thuyloitiengiang/chi-tiet-tin-tuc?id=520619" TargetMode="External"/><Relationship Id="rId163" Type="http://schemas.openxmlformats.org/officeDocument/2006/relationships/hyperlink" Target="http://thuyloitiengiang.vn/ja/web/thuyloitiengiang/chi-tiet-tin-tuc?id=520621" TargetMode="External"/><Relationship Id="rId164" Type="http://schemas.openxmlformats.org/officeDocument/2006/relationships/hyperlink" Target="http://thuyloitiengiang.vn/ja/web/thuyloitiengiang/chi-tiet-tin-tuc?id=520623" TargetMode="External"/><Relationship Id="rId165" Type="http://schemas.openxmlformats.org/officeDocument/2006/relationships/hyperlink" Target="http://thuyloitiengiang.vn/en/web/thuyloitiengiang/chi-tiet-tin-tuc?id=520630" TargetMode="External"/><Relationship Id="rId166" Type="http://schemas.openxmlformats.org/officeDocument/2006/relationships/hyperlink" Target="http://thuyloitiengiang.vn/en/web/thuyloitiengiang/chi-tiet-tin-tuc?id=522066" TargetMode="External"/><Relationship Id="rId167" Type="http://schemas.openxmlformats.org/officeDocument/2006/relationships/hyperlink" Target="http://thuyloitiengiang.vn/web/thuyloitiengiang/chi-tiet-tin-tuc?id=464847" TargetMode="External"/><Relationship Id="rId168" Type="http://schemas.openxmlformats.org/officeDocument/2006/relationships/hyperlink" Target="http://thuyloitiengiang.vn/web/thuyloitiengiang/chi-tiet-tin-tuc?id=464851" TargetMode="External"/><Relationship Id="rId169" Type="http://schemas.openxmlformats.org/officeDocument/2006/relationships/hyperlink" Target="http://thuyloitiengiang.vn/web/thuyloitiengiang/chi-tiet-tin-tuc?id=464854" TargetMode="External"/><Relationship Id="rId170" Type="http://schemas.openxmlformats.org/officeDocument/2006/relationships/hyperlink" Target="http://thuyloitiengiang.vn/ja/web/thuyloitiengiang/chi-tiet-tin-tuc?id=520619" TargetMode="External"/><Relationship Id="rId171" Type="http://schemas.openxmlformats.org/officeDocument/2006/relationships/hyperlink" Target="http://thuyloitiengiang.vn/ja/web/thuyloitiengiang/chi-tiet-tin-tuc?id=520621" TargetMode="External"/><Relationship Id="rId172" Type="http://schemas.openxmlformats.org/officeDocument/2006/relationships/hyperlink" Target="http://thuyloitiengiang.vn/ja/web/thuyloitiengiang/chi-tiet-tin-tuc?id=520623" TargetMode="External"/><Relationship Id="rId173" Type="http://schemas.openxmlformats.org/officeDocument/2006/relationships/hyperlink" Target="http://thuyloitiengiang.vn/en/web/thuyloitiengiang/chi-tiet-tin-tuc?id=520630" TargetMode="External"/><Relationship Id="rId174" Type="http://schemas.openxmlformats.org/officeDocument/2006/relationships/hyperlink" Target="http://thuyloitiengiang.vn/en/web/thuyloitiengiang/chi-tiet-tin-tuc?id=522066" TargetMode="External"/><Relationship Id="rId175" Type="http://schemas.openxmlformats.org/officeDocument/2006/relationships/hyperlink" Target="https://phongchongthientaitiengiang.vn/?p=7360" TargetMode="External"/><Relationship Id="rId176" Type="http://schemas.openxmlformats.org/officeDocument/2006/relationships/hyperlink" Target="http://thuyloitiengiang.vn/web/thuyloitiengiang/chi-tiet-tin-tuc?id=455328" TargetMode="External"/><Relationship Id="rId177" Type="http://schemas.openxmlformats.org/officeDocument/2006/relationships/hyperlink" Target="http://thuyloitiengiang.vn/web/thuyloitiengiang/chi-tiet-tin-tuc?id=455332" TargetMode="External"/><Relationship Id="rId178" Type="http://schemas.openxmlformats.org/officeDocument/2006/relationships/hyperlink" Target="http://thuyloitiengiang.vn/web/thuyloitiengiang/chi-tiet-tin-tuc?id=455336" TargetMode="External"/><Relationship Id="rId179" Type="http://schemas.openxmlformats.org/officeDocument/2006/relationships/hyperlink" Target="http://thuyloitiengiang.vn/web/thuyloitiengiang/chi-tiet-tin-tuc?id=455412" TargetMode="External"/><Relationship Id="rId180" Type="http://schemas.openxmlformats.org/officeDocument/2006/relationships/hyperlink" Target="http://thuyloitiengiang.vn/web/thuyloitiengiang/chi-tiet-tin-tuc?id=455416" TargetMode="External"/><Relationship Id="rId181" Type="http://schemas.openxmlformats.org/officeDocument/2006/relationships/hyperlink" Target="https://phongchongthientaitiengiang.vn/?p=7360" TargetMode="External"/><Relationship Id="rId182" Type="http://schemas.openxmlformats.org/officeDocument/2006/relationships/hyperlink" Target="http://thuyloitiengiang.vn/web/thuyloitiengiang/chi-tiet-tin-tuc?id=455328" TargetMode="External"/><Relationship Id="rId183" Type="http://schemas.openxmlformats.org/officeDocument/2006/relationships/hyperlink" Target="http://thuyloitiengiang.vn/web/thuyloitiengiang/chi-tiet-tin-tuc?id=455332" TargetMode="External"/><Relationship Id="rId184" Type="http://schemas.openxmlformats.org/officeDocument/2006/relationships/hyperlink" Target="http://thuyloitiengiang.vn/web/thuyloitiengiang/chi-tiet-tin-tuc?id=455336" TargetMode="External"/><Relationship Id="rId185" Type="http://schemas.openxmlformats.org/officeDocument/2006/relationships/hyperlink" Target="http://thuyloitiengiang.vn/web/thuyloitiengiang/chi-tiet-tin-tuc?id=455412" TargetMode="External"/><Relationship Id="rId186" Type="http://schemas.openxmlformats.org/officeDocument/2006/relationships/hyperlink" Target="http://thuyloitiengiang.vn/web/thuyloitiengiang/chi-tiet-tin-tuc?id=455416" TargetMode="External"/><Relationship Id="rId187" Type="http://schemas.openxmlformats.org/officeDocument/2006/relationships/hyperlink" Target="https://phongchongthientaitiengiang.vn/?p=7360" TargetMode="External"/><Relationship Id="rId188" Type="http://schemas.openxmlformats.org/officeDocument/2006/relationships/hyperlink" Target="https://phongchongthientaitiengiang.vn/?p=7360" TargetMode="External"/><Relationship Id="rId189" Type="http://schemas.openxmlformats.org/officeDocument/2006/relationships/hyperlink" Target="http://thuyloitiengiang.vn/web/thuyloitiengiang/chi-tiet-tin-tuc?id=455328" TargetMode="External"/><Relationship Id="rId190" Type="http://schemas.openxmlformats.org/officeDocument/2006/relationships/hyperlink" Target="http://thuyloitiengiang.vn/web/thuyloitiengiang/chi-tiet-tin-tuc?id=455328" TargetMode="External"/><Relationship Id="rId191" Type="http://schemas.openxmlformats.org/officeDocument/2006/relationships/hyperlink" Target="http://thuyloitiengiang.vn/web/thuyloitiengiang/chi-tiet-tin-tuc?id=455332" TargetMode="External"/><Relationship Id="rId192" Type="http://schemas.openxmlformats.org/officeDocument/2006/relationships/hyperlink" Target="http://thuyloitiengiang.vn/web/thuyloitiengiang/chi-tiet-tin-tuc?id=455336" TargetMode="External"/><Relationship Id="rId193" Type="http://schemas.openxmlformats.org/officeDocument/2006/relationships/hyperlink" Target="http://thuyloitiengiang.vn/web/thuyloitiengiang/chi-tiet-tin-tuc?id=455412" TargetMode="External"/><Relationship Id="rId194" Type="http://schemas.openxmlformats.org/officeDocument/2006/relationships/hyperlink" Target="http://thuyloitiengiang.vn/web/thuyloitiengiang/chi-tiet-tin-tuc?id=455416" TargetMode="External"/><Relationship Id="rId195" Type="http://schemas.openxmlformats.org/officeDocument/2006/relationships/hyperlink" Target="https://phongchongthientaitiengiang.vn/?p=7360" TargetMode="External"/><Relationship Id="rId196" Type="http://schemas.openxmlformats.org/officeDocument/2006/relationships/hyperlink" Target="http://thuyloitiengiang.vn/web/thuyloitiengiang/chi-tiet-tin-tuc?id=455328" TargetMode="External"/><Relationship Id="rId197" Type="http://schemas.openxmlformats.org/officeDocument/2006/relationships/hyperlink" Target="http://thuyloitiengiang.vn/web/thuyloitiengiang/chi-tiet-tin-tuc?id=455332" TargetMode="External"/><Relationship Id="rId198" Type="http://schemas.openxmlformats.org/officeDocument/2006/relationships/hyperlink" Target="http://thuyloitiengiang.vn/web/thuyloitiengiang/chi-tiet-tin-tuc?id=455336" TargetMode="External"/><Relationship Id="rId199" Type="http://schemas.openxmlformats.org/officeDocument/2006/relationships/hyperlink" Target="http://thuyloitiengiang.vn/web/thuyloitiengiang/chi-tiet-tin-tuc?id=455412" TargetMode="External"/><Relationship Id="rId200" Type="http://schemas.openxmlformats.org/officeDocument/2006/relationships/hyperlink" Target="http://thuyloitiengiang.vn/web/thuyloitiengiang/chi-tiet-tin-tuc?id=455416" TargetMode="External"/><Relationship Id="rId201" Type="http://schemas.openxmlformats.org/officeDocument/2006/relationships/hyperlink" Target="https://phongchongthientaitiengiang.vn/?p=7360" TargetMode="External"/><Relationship Id="rId202" Type="http://schemas.openxmlformats.org/officeDocument/2006/relationships/hyperlink" Target="http://thuyloitiengiang.vn/web/thuyloitiengiang/chi-tiet-tin-tuc?id=455328" TargetMode="External"/><Relationship Id="rId203" Type="http://schemas.openxmlformats.org/officeDocument/2006/relationships/hyperlink" Target="http://thuyloitiengiang.vn/web/thuyloitiengiang/chi-tiet-tin-tuc?id=455332" TargetMode="External"/><Relationship Id="rId204" Type="http://schemas.openxmlformats.org/officeDocument/2006/relationships/hyperlink" Target="http://thuyloitiengiang.vn/web/thuyloitiengiang/chi-tiet-tin-tuc?id=455336" TargetMode="External"/><Relationship Id="rId205" Type="http://schemas.openxmlformats.org/officeDocument/2006/relationships/hyperlink" Target="http://thuyloitiengiang.vn/web/thuyloitiengiang/chi-tiet-tin-tuc?id=455412" TargetMode="External"/><Relationship Id="rId206" Type="http://schemas.openxmlformats.org/officeDocument/2006/relationships/hyperlink" Target="http://thuyloitiengiang.vn/web/thuyloitiengiang/chi-tiet-tin-tuc?id=455416" TargetMode="External"/><Relationship Id="rId207" Type="http://schemas.openxmlformats.org/officeDocument/2006/relationships/hyperlink" Target="https://phongchongthientaitiengiang.vn/?p=7360" TargetMode="External"/><Relationship Id="rId208" Type="http://schemas.openxmlformats.org/officeDocument/2006/relationships/hyperlink" Target="http://thuyloitiengiang.vn/web/thuyloitiengiang/chi-tiet-tin-tuc?id=455328" TargetMode="External"/><Relationship Id="rId209" Type="http://schemas.openxmlformats.org/officeDocument/2006/relationships/hyperlink" Target="http://thuyloitiengiang.vn/web/thuyloitiengiang/chi-tiet-tin-tuc?id=455332" TargetMode="External"/><Relationship Id="rId210" Type="http://schemas.openxmlformats.org/officeDocument/2006/relationships/hyperlink" Target="http://thuyloitiengiang.vn/web/thuyloitiengiang/chi-tiet-tin-tuc?id=455336" TargetMode="External"/><Relationship Id="rId211" Type="http://schemas.openxmlformats.org/officeDocument/2006/relationships/hyperlink" Target="http://thuyloitiengiang.vn/web/thuyloitiengiang/chi-tiet-tin-tuc?id=455412" TargetMode="External"/><Relationship Id="rId212" Type="http://schemas.openxmlformats.org/officeDocument/2006/relationships/hyperlink" Target="http://thuyloitiengiang.vn/web/thuyloitiengiang/chi-tiet-tin-tuc?id=455416" TargetMode="External"/><Relationship Id="rId213" Type="http://schemas.openxmlformats.org/officeDocument/2006/relationships/hyperlink" Target="https://phongchongthientaitiengiang.vn/?p=7360" TargetMode="External"/><Relationship Id="rId214" Type="http://schemas.openxmlformats.org/officeDocument/2006/relationships/hyperlink" Target="https://phongchongthientaitiengiang.vn/?p=7360" TargetMode="External"/><Relationship Id="rId215" Type="http://schemas.openxmlformats.org/officeDocument/2006/relationships/hyperlink" Target="http://thuyloitiengiang.vn/web/thuyloitiengiang/chi-tiet-tin-tuc?id=455328" TargetMode="External"/><Relationship Id="rId216" Type="http://schemas.openxmlformats.org/officeDocument/2006/relationships/hyperlink" Target="http://thuyloitiengiang.vn/web/thuyloitiengiang/chi-tiet-tin-tuc?id=455328" TargetMode="External"/><Relationship Id="rId217" Type="http://schemas.openxmlformats.org/officeDocument/2006/relationships/hyperlink" Target="http://thuyloitiengiang.vn/web/thuyloitiengiang/chi-tiet-tin-tuc?id=455332" TargetMode="External"/><Relationship Id="rId218" Type="http://schemas.openxmlformats.org/officeDocument/2006/relationships/hyperlink" Target="http://thuyloitiengiang.vn/web/thuyloitiengiang/chi-tiet-tin-tuc?id=455336" TargetMode="External"/><Relationship Id="rId219" Type="http://schemas.openxmlformats.org/officeDocument/2006/relationships/hyperlink" Target="http://thuyloitiengiang.vn/web/thuyloitiengiang/chi-tiet-tin-tuc?id=455412" TargetMode="External"/><Relationship Id="rId220" Type="http://schemas.openxmlformats.org/officeDocument/2006/relationships/hyperlink" Target="http://thuyloitiengiang.vn/web/thuyloitiengiang/chi-tiet-tin-tuc?id=455416" TargetMode="External"/><Relationship Id="rId221" Type="http://schemas.openxmlformats.org/officeDocument/2006/relationships/hyperlink" Target="http://thuyloitiengiang.vn/web/thuyloitiengiang/chi-tiet-tin-tuc?id=464847" TargetMode="External"/><Relationship Id="rId222" Type="http://schemas.openxmlformats.org/officeDocument/2006/relationships/hyperlink" Target="http://thuyloitiengiang.vn/web/thuyloitiengiang/chi-tiet-tin-tuc?id=464851" TargetMode="External"/><Relationship Id="rId223" Type="http://schemas.openxmlformats.org/officeDocument/2006/relationships/hyperlink" Target="http://thuyloitiengiang.vn/web/thuyloitiengiang/chi-tiet-tin-tuc?id=464854" TargetMode="External"/><Relationship Id="rId224" Type="http://schemas.openxmlformats.org/officeDocument/2006/relationships/hyperlink" Target="http://thuyloitiengiang.vn/ja/web/thuyloitiengiang/chi-tiet-tin-tuc?id=520619" TargetMode="External"/><Relationship Id="rId225" Type="http://schemas.openxmlformats.org/officeDocument/2006/relationships/hyperlink" Target="http://thuyloitiengiang.vn/ja/web/thuyloitiengiang/chi-tiet-tin-tuc?id=520621" TargetMode="External"/><Relationship Id="rId226" Type="http://schemas.openxmlformats.org/officeDocument/2006/relationships/hyperlink" Target="http://thuyloitiengiang.vn/ja/web/thuyloitiengiang/chi-tiet-tin-tuc?id=520623" TargetMode="External"/><Relationship Id="rId227" Type="http://schemas.openxmlformats.org/officeDocument/2006/relationships/hyperlink" Target="http://thuyloitiengiang.vn/en/web/thuyloitiengiang/chi-tiet-tin-tuc?id=520630" TargetMode="External"/><Relationship Id="rId228" Type="http://schemas.openxmlformats.org/officeDocument/2006/relationships/hyperlink" Target="http://thuyloitiengiang.vn/en/web/thuyloitiengiang/chi-tiet-tin-tuc?id=522066" TargetMode="External"/><Relationship Id="rId229" Type="http://schemas.openxmlformats.org/officeDocument/2006/relationships/hyperlink" Target="http://thuyloitiengiang.vn/web/thuyloitiengiang/chi-tiet-tin-tuc?id=464847" TargetMode="External"/><Relationship Id="rId230" Type="http://schemas.openxmlformats.org/officeDocument/2006/relationships/hyperlink" Target="http://thuyloitiengiang.vn/web/thuyloitiengiang/chi-tiet-tin-tuc?id=464851" TargetMode="External"/><Relationship Id="rId231" Type="http://schemas.openxmlformats.org/officeDocument/2006/relationships/hyperlink" Target="http://thuyloitiengiang.vn/web/thuyloitiengiang/chi-tiet-tin-tuc?id=464854" TargetMode="External"/><Relationship Id="rId232" Type="http://schemas.openxmlformats.org/officeDocument/2006/relationships/hyperlink" Target="http://thuyloitiengiang.vn/ja/web/thuyloitiengiang/chi-tiet-tin-tuc?id=520619" TargetMode="External"/><Relationship Id="rId233" Type="http://schemas.openxmlformats.org/officeDocument/2006/relationships/hyperlink" Target="http://thuyloitiengiang.vn/ja/web/thuyloitiengiang/chi-tiet-tin-tuc?id=520621" TargetMode="External"/><Relationship Id="rId234" Type="http://schemas.openxmlformats.org/officeDocument/2006/relationships/hyperlink" Target="http://thuyloitiengiang.vn/ja/web/thuyloitiengiang/chi-tiet-tin-tuc?id=520623" TargetMode="External"/><Relationship Id="rId235" Type="http://schemas.openxmlformats.org/officeDocument/2006/relationships/hyperlink" Target="http://thuyloitiengiang.vn/en/web/thuyloitiengiang/chi-tiet-tin-tuc?id=520630" TargetMode="External"/><Relationship Id="rId236" Type="http://schemas.openxmlformats.org/officeDocument/2006/relationships/hyperlink" Target="http://thuyloitiengiang.vn/en/web/thuyloitiengiang/chi-tiet-tin-tuc?id=522066" TargetMode="External"/><Relationship Id="rId237" Type="http://schemas.openxmlformats.org/officeDocument/2006/relationships/hyperlink" Target="https://phongchongthientaitiengiang.vn/?p=7360" TargetMode="External"/><Relationship Id="rId238" Type="http://schemas.openxmlformats.org/officeDocument/2006/relationships/hyperlink" Target="http://thuyloitiengiang.vn/web/thuyloitiengiang/chi-tiet-tin-tuc?id=455328" TargetMode="External"/><Relationship Id="rId239" Type="http://schemas.openxmlformats.org/officeDocument/2006/relationships/hyperlink" Target="http://thuyloitiengiang.vn/web/thuyloitiengiang/chi-tiet-tin-tuc?id=455332" TargetMode="External"/><Relationship Id="rId240" Type="http://schemas.openxmlformats.org/officeDocument/2006/relationships/hyperlink" Target="http://thuyloitiengiang.vn/web/thuyloitiengiang/chi-tiet-tin-tuc?id=455336" TargetMode="External"/><Relationship Id="rId241" Type="http://schemas.openxmlformats.org/officeDocument/2006/relationships/hyperlink" Target="http://thuyloitiengiang.vn/web/thuyloitiengiang/chi-tiet-tin-tuc?id=455412" TargetMode="External"/><Relationship Id="rId242" Type="http://schemas.openxmlformats.org/officeDocument/2006/relationships/hyperlink" Target="http://thuyloitiengiang.vn/web/thuyloitiengiang/chi-tiet-tin-tuc?id=455416" TargetMode="External"/><Relationship Id="rId243" Type="http://schemas.openxmlformats.org/officeDocument/2006/relationships/hyperlink" Target="https://phongchongthientaitiengiang.vn/?p=7360" TargetMode="External"/><Relationship Id="rId244" Type="http://schemas.openxmlformats.org/officeDocument/2006/relationships/hyperlink" Target="http://thuyloitiengiang.vn/web/thuyloitiengiang/chi-tiet-tin-tuc?id=455328" TargetMode="External"/><Relationship Id="rId245" Type="http://schemas.openxmlformats.org/officeDocument/2006/relationships/hyperlink" Target="http://thuyloitiengiang.vn/web/thuyloitiengiang/chi-tiet-tin-tuc?id=455332" TargetMode="External"/><Relationship Id="rId246" Type="http://schemas.openxmlformats.org/officeDocument/2006/relationships/hyperlink" Target="http://thuyloitiengiang.vn/web/thuyloitiengiang/chi-tiet-tin-tuc?id=455336" TargetMode="External"/><Relationship Id="rId247" Type="http://schemas.openxmlformats.org/officeDocument/2006/relationships/hyperlink" Target="http://thuyloitiengiang.vn/web/thuyloitiengiang/chi-tiet-tin-tuc?id=455412" TargetMode="External"/><Relationship Id="rId248" Type="http://schemas.openxmlformats.org/officeDocument/2006/relationships/hyperlink" Target="http://thuyloitiengiang.vn/web/thuyloitiengiang/chi-tiet-tin-tuc?id=455416" TargetMode="External"/><Relationship Id="rId249" Type="http://schemas.openxmlformats.org/officeDocument/2006/relationships/hyperlink" Target="https://phongchongthientaitiengiang.vn/?p=7360" TargetMode="External"/><Relationship Id="rId250" Type="http://schemas.openxmlformats.org/officeDocument/2006/relationships/hyperlink" Target="http://thuyloitiengiang.vn/web/thuyloitiengiang/chi-tiet-tin-tuc?id=455328" TargetMode="External"/><Relationship Id="rId251" Type="http://schemas.openxmlformats.org/officeDocument/2006/relationships/hyperlink" Target="http://thuyloitiengiang.vn/web/thuyloitiengiang/chi-tiet-tin-tuc?id=455332" TargetMode="External"/><Relationship Id="rId252" Type="http://schemas.openxmlformats.org/officeDocument/2006/relationships/hyperlink" Target="http://thuyloitiengiang.vn/web/thuyloitiengiang/chi-tiet-tin-tuc?id=455336" TargetMode="External"/><Relationship Id="rId253" Type="http://schemas.openxmlformats.org/officeDocument/2006/relationships/hyperlink" Target="http://thuyloitiengiang.vn/web/thuyloitiengiang/chi-tiet-tin-tuc?id=455412" TargetMode="External"/><Relationship Id="rId254" Type="http://schemas.openxmlformats.org/officeDocument/2006/relationships/hyperlink" Target="http://thuyloitiengiang.vn/web/thuyloitiengiang/chi-tiet-tin-tuc?id=455416" TargetMode="External"/><Relationship Id="rId255" Type="http://schemas.openxmlformats.org/officeDocument/2006/relationships/hyperlink" Target="https://phongchongthientaitiengiang.vn/?p=7360" TargetMode="External"/><Relationship Id="rId256" Type="http://schemas.openxmlformats.org/officeDocument/2006/relationships/hyperlink" Target="https://phongchongthientaitiengiang.vn/?p=7360" TargetMode="External"/><Relationship Id="rId257" Type="http://schemas.openxmlformats.org/officeDocument/2006/relationships/hyperlink" Target="http://thuyloitiengiang.vn/web/thuyloitiengiang/chi-tiet-tin-tuc?id=455328" TargetMode="External"/><Relationship Id="rId258" Type="http://schemas.openxmlformats.org/officeDocument/2006/relationships/hyperlink" Target="http://thuyloitiengiang.vn/web/thuyloitiengiang/chi-tiet-tin-tuc?id=455328" TargetMode="External"/><Relationship Id="rId259" Type="http://schemas.openxmlformats.org/officeDocument/2006/relationships/hyperlink" Target="http://thuyloitiengiang.vn/web/thuyloitiengiang/chi-tiet-tin-tuc?id=455332" TargetMode="External"/><Relationship Id="rId260" Type="http://schemas.openxmlformats.org/officeDocument/2006/relationships/hyperlink" Target="http://thuyloitiengiang.vn/web/thuyloitiengiang/chi-tiet-tin-tuc?id=455336" TargetMode="External"/><Relationship Id="rId261" Type="http://schemas.openxmlformats.org/officeDocument/2006/relationships/hyperlink" Target="http://thuyloitiengiang.vn/web/thuyloitiengiang/chi-tiet-tin-tuc?id=455412" TargetMode="External"/><Relationship Id="rId262" Type="http://schemas.openxmlformats.org/officeDocument/2006/relationships/hyperlink" Target="http://thuyloitiengiang.vn/web/thuyloitiengiang/chi-tiet-tin-tuc?id=455416" TargetMode="External"/><Relationship Id="rId263" Type="http://schemas.openxmlformats.org/officeDocument/2006/relationships/hyperlink" Target="http://thuyloitiengiang.vn/web/thuyloitiengiang/chi-tiet-tin-tuc?id=464847" TargetMode="External"/><Relationship Id="rId264" Type="http://schemas.openxmlformats.org/officeDocument/2006/relationships/hyperlink" Target="http://thuyloitiengiang.vn/web/thuyloitiengiang/chi-tiet-tin-tuc?id=464851" TargetMode="External"/><Relationship Id="rId265" Type="http://schemas.openxmlformats.org/officeDocument/2006/relationships/hyperlink" Target="http://thuyloitiengiang.vn/web/thuyloitiengiang/chi-tiet-tin-tuc?id=464854" TargetMode="External"/><Relationship Id="rId266" Type="http://schemas.openxmlformats.org/officeDocument/2006/relationships/hyperlink" Target="http://thuyloitiengiang.vn/ja/web/thuyloitiengiang/chi-tiet-tin-tuc?id=520619" TargetMode="External"/><Relationship Id="rId267" Type="http://schemas.openxmlformats.org/officeDocument/2006/relationships/hyperlink" Target="http://thuyloitiengiang.vn/ja/web/thuyloitiengiang/chi-tiet-tin-tuc?id=520621" TargetMode="External"/><Relationship Id="rId268" Type="http://schemas.openxmlformats.org/officeDocument/2006/relationships/hyperlink" Target="http://thuyloitiengiang.vn/ja/web/thuyloitiengiang/chi-tiet-tin-tuc?id=520623" TargetMode="External"/><Relationship Id="rId269" Type="http://schemas.openxmlformats.org/officeDocument/2006/relationships/hyperlink" Target="http://thuyloitiengiang.vn/en/web/thuyloitiengiang/chi-tiet-tin-tuc?id=520630" TargetMode="External"/><Relationship Id="rId270" Type="http://schemas.openxmlformats.org/officeDocument/2006/relationships/hyperlink" Target="http://thuyloitiengiang.vn/en/web/thuyloitiengiang/chi-tiet-tin-tuc?id=522066" TargetMode="External"/><Relationship Id="rId271" Type="http://schemas.openxmlformats.org/officeDocument/2006/relationships/hyperlink" Target="http://thuyloitiengiang.vn/web/thuyloitiengiang/chi-tiet-tin-tuc?id=464847" TargetMode="External"/><Relationship Id="rId272" Type="http://schemas.openxmlformats.org/officeDocument/2006/relationships/hyperlink" Target="http://thuyloitiengiang.vn/web/thuyloitiengiang/chi-tiet-tin-tuc?id=464851" TargetMode="External"/><Relationship Id="rId273" Type="http://schemas.openxmlformats.org/officeDocument/2006/relationships/hyperlink" Target="http://thuyloitiengiang.vn/web/thuyloitiengiang/chi-tiet-tin-tuc?id=464854" TargetMode="External"/><Relationship Id="rId274" Type="http://schemas.openxmlformats.org/officeDocument/2006/relationships/hyperlink" Target="http://thuyloitiengiang.vn/ja/web/thuyloitiengiang/chi-tiet-tin-tuc?id=520619" TargetMode="External"/><Relationship Id="rId275" Type="http://schemas.openxmlformats.org/officeDocument/2006/relationships/hyperlink" Target="http://thuyloitiengiang.vn/ja/web/thuyloitiengiang/chi-tiet-tin-tuc?id=520621" TargetMode="External"/><Relationship Id="rId276" Type="http://schemas.openxmlformats.org/officeDocument/2006/relationships/hyperlink" Target="http://thuyloitiengiang.vn/ja/web/thuyloitiengiang/chi-tiet-tin-tuc?id=520623" TargetMode="External"/><Relationship Id="rId277" Type="http://schemas.openxmlformats.org/officeDocument/2006/relationships/hyperlink" Target="http://thuyloitiengiang.vn/en/web/thuyloitiengiang/chi-tiet-tin-tuc?id=520630" TargetMode="External"/><Relationship Id="rId278" Type="http://schemas.openxmlformats.org/officeDocument/2006/relationships/hyperlink" Target="http://thuyloitiengiang.vn/en/web/thuyloitiengiang/chi-tiet-tin-tuc?id=522066" TargetMode="External"/><Relationship Id="rId279" Type="http://schemas.openxmlformats.org/officeDocument/2006/relationships/hyperlink" Target="https://phongchongthientaitiengiang.vn/?p=7360" TargetMode="External"/><Relationship Id="rId280" Type="http://schemas.openxmlformats.org/officeDocument/2006/relationships/hyperlink" Target="http://thuyloitiengiang.vn/web/thuyloitiengiang/chi-tiet-tin-tuc?id=455328" TargetMode="External"/><Relationship Id="rId281" Type="http://schemas.openxmlformats.org/officeDocument/2006/relationships/hyperlink" Target="http://thuyloitiengiang.vn/web/thuyloitiengiang/chi-tiet-tin-tuc?id=455332" TargetMode="External"/><Relationship Id="rId282" Type="http://schemas.openxmlformats.org/officeDocument/2006/relationships/hyperlink" Target="http://thuyloitiengiang.vn/web/thuyloitiengiang/chi-tiet-tin-tuc?id=455336" TargetMode="External"/><Relationship Id="rId283" Type="http://schemas.openxmlformats.org/officeDocument/2006/relationships/hyperlink" Target="http://thuyloitiengiang.vn/web/thuyloitiengiang/chi-tiet-tin-tuc?id=455412" TargetMode="External"/><Relationship Id="rId284" Type="http://schemas.openxmlformats.org/officeDocument/2006/relationships/hyperlink" Target="http://thuyloitiengiang.vn/web/thuyloitiengiang/chi-tiet-tin-tuc?id=455416" TargetMode="External"/><Relationship Id="rId285" Type="http://schemas.openxmlformats.org/officeDocument/2006/relationships/hyperlink" Target="https://phongchongthientaitiengiang.vn/?p=7360" TargetMode="External"/><Relationship Id="rId286" Type="http://schemas.openxmlformats.org/officeDocument/2006/relationships/hyperlink" Target="http://thuyloitiengiang.vn/web/thuyloitiengiang/chi-tiet-tin-tuc?id=455328" TargetMode="External"/><Relationship Id="rId287" Type="http://schemas.openxmlformats.org/officeDocument/2006/relationships/hyperlink" Target="http://thuyloitiengiang.vn/web/thuyloitiengiang/chi-tiet-tin-tuc?id=455332" TargetMode="External"/><Relationship Id="rId288" Type="http://schemas.openxmlformats.org/officeDocument/2006/relationships/hyperlink" Target="http://thuyloitiengiang.vn/web/thuyloitiengiang/chi-tiet-tin-tuc?id=455336" TargetMode="External"/><Relationship Id="rId289" Type="http://schemas.openxmlformats.org/officeDocument/2006/relationships/hyperlink" Target="http://thuyloitiengiang.vn/web/thuyloitiengiang/chi-tiet-tin-tuc?id=455412" TargetMode="External"/><Relationship Id="rId290" Type="http://schemas.openxmlformats.org/officeDocument/2006/relationships/hyperlink" Target="http://thuyloitiengiang.vn/web/thuyloitiengiang/chi-tiet-tin-tuc?id=455416" TargetMode="External"/><Relationship Id="rId291" Type="http://schemas.openxmlformats.org/officeDocument/2006/relationships/hyperlink" Target="https://phongchongthientaitiengiang.vn/?p=7360" TargetMode="External"/><Relationship Id="rId292" Type="http://schemas.openxmlformats.org/officeDocument/2006/relationships/hyperlink" Target="http://thuyloitiengiang.vn/web/thuyloitiengiang/chi-tiet-tin-tuc?id=455328" TargetMode="External"/><Relationship Id="rId293" Type="http://schemas.openxmlformats.org/officeDocument/2006/relationships/hyperlink" Target="http://thuyloitiengiang.vn/web/thuyloitiengiang/chi-tiet-tin-tuc?id=455332" TargetMode="External"/><Relationship Id="rId294" Type="http://schemas.openxmlformats.org/officeDocument/2006/relationships/hyperlink" Target="http://thuyloitiengiang.vn/web/thuyloitiengiang/chi-tiet-tin-tuc?id=455336" TargetMode="External"/><Relationship Id="rId295" Type="http://schemas.openxmlformats.org/officeDocument/2006/relationships/hyperlink" Target="http://thuyloitiengiang.vn/web/thuyloitiengiang/chi-tiet-tin-tuc?id=455412" TargetMode="External"/><Relationship Id="rId296" Type="http://schemas.openxmlformats.org/officeDocument/2006/relationships/hyperlink" Target="http://thuyloitiengiang.vn/web/thuyloitiengiang/chi-tiet-tin-tuc?id=455416" TargetMode="External"/><Relationship Id="rId297" Type="http://schemas.openxmlformats.org/officeDocument/2006/relationships/hyperlink" Target="https://phongchongthientaitiengiang.vn/?p=7360" TargetMode="External"/><Relationship Id="rId298" Type="http://schemas.openxmlformats.org/officeDocument/2006/relationships/hyperlink" Target="https://phongchongthientaitiengiang.vn/?p=7360" TargetMode="External"/><Relationship Id="rId299" Type="http://schemas.openxmlformats.org/officeDocument/2006/relationships/hyperlink" Target="http://thuyloitiengiang.vn/web/thuyloitiengiang/chi-tiet-tin-tuc?id=455328" TargetMode="External"/><Relationship Id="rId300" Type="http://schemas.openxmlformats.org/officeDocument/2006/relationships/hyperlink" Target="http://thuyloitiengiang.vn/web/thuyloitiengiang/chi-tiet-tin-tuc?id=455328" TargetMode="External"/><Relationship Id="rId301" Type="http://schemas.openxmlformats.org/officeDocument/2006/relationships/hyperlink" Target="http://thuyloitiengiang.vn/web/thuyloitiengiang/chi-tiet-tin-tuc?id=455332" TargetMode="External"/><Relationship Id="rId302" Type="http://schemas.openxmlformats.org/officeDocument/2006/relationships/hyperlink" Target="http://thuyloitiengiang.vn/web/thuyloitiengiang/chi-tiet-tin-tuc?id=455336" TargetMode="External"/><Relationship Id="rId303" Type="http://schemas.openxmlformats.org/officeDocument/2006/relationships/hyperlink" Target="http://thuyloitiengiang.vn/web/thuyloitiengiang/chi-tiet-tin-tuc?id=455412" TargetMode="External"/><Relationship Id="rId304" Type="http://schemas.openxmlformats.org/officeDocument/2006/relationships/hyperlink" Target="http://thuyloitiengiang.vn/web/thuyloitiengiang/chi-tiet-tin-tuc?id=455416" TargetMode="External"/><Relationship Id="rId305" Type="http://schemas.openxmlformats.org/officeDocument/2006/relationships/hyperlink" Target="https://nhandan.vn/tien-giang-quyet-liet-trien-khai-cac-giai-phap-phong-chong-han-man-post799553.html" TargetMode="External"/><Relationship Id="rId306" Type="http://schemas.openxmlformats.org/officeDocument/2006/relationships/hyperlink" Target="https://baodongthap.vn/tien-giang-xam-nhap-man-toi-huyen-chau-thanh-o-muc-0-42-g-l-a828.html" TargetMode="External"/><Relationship Id="rId307" Type="http://schemas.openxmlformats.org/officeDocument/2006/relationships/hyperlink" Target="https://phongchongthientaitiengiang.vn/?p=7360" TargetMode="External"/><Relationship Id="rId308" Type="http://schemas.openxmlformats.org/officeDocument/2006/relationships/hyperlink" Target="http://thuyloitiengiang.vn/web/thuyloitiengiang/chi-tiet-tin-tuc?id=455328" TargetMode="External"/><Relationship Id="rId309" Type="http://schemas.openxmlformats.org/officeDocument/2006/relationships/hyperlink" Target="http://thuyloitiengiang.vn/web/thuyloitiengiang/chi-tiet-tin-tuc?id=455332" TargetMode="External"/><Relationship Id="rId310" Type="http://schemas.openxmlformats.org/officeDocument/2006/relationships/hyperlink" Target="http://thuyloitiengiang.vn/web/thuyloitiengiang/chi-tiet-tin-tuc?id=455336" TargetMode="External"/><Relationship Id="rId311" Type="http://schemas.openxmlformats.org/officeDocument/2006/relationships/hyperlink" Target="http://thuyloitiengiang.vn/web/thuyloitiengiang/chi-tiet-tin-tuc?id=455412" TargetMode="External"/><Relationship Id="rId312" Type="http://schemas.openxmlformats.org/officeDocument/2006/relationships/hyperlink" Target="http://thuyloitiengiang.vn/web/thuyloitiengiang/chi-tiet-tin-tuc?id=455416" TargetMode="External"/><Relationship Id="rId313" Type="http://schemas.openxmlformats.org/officeDocument/2006/relationships/hyperlink" Target="https://phongchongthientaitiengiang.vn/?p=7360" TargetMode="External"/><Relationship Id="rId314" Type="http://schemas.openxmlformats.org/officeDocument/2006/relationships/hyperlink" Target="http://thuyloitiengiang.vn/web/thuyloitiengiang/chi-tiet-tin-tuc?id=455328" TargetMode="External"/><Relationship Id="rId315" Type="http://schemas.openxmlformats.org/officeDocument/2006/relationships/hyperlink" Target="http://thuyloitiengiang.vn/web/thuyloitiengiang/chi-tiet-tin-tuc?id=455332" TargetMode="External"/><Relationship Id="rId316" Type="http://schemas.openxmlformats.org/officeDocument/2006/relationships/hyperlink" Target="http://thuyloitiengiang.vn/web/thuyloitiengiang/chi-tiet-tin-tuc?id=455336" TargetMode="External"/><Relationship Id="rId317" Type="http://schemas.openxmlformats.org/officeDocument/2006/relationships/hyperlink" Target="http://thuyloitiengiang.vn/web/thuyloitiengiang/chi-tiet-tin-tuc?id=455412" TargetMode="External"/><Relationship Id="rId318" Type="http://schemas.openxmlformats.org/officeDocument/2006/relationships/hyperlink" Target="http://thuyloitiengiang.vn/web/thuyloitiengiang/chi-tiet-tin-tuc?id=455416" TargetMode="External"/><Relationship Id="rId319" Type="http://schemas.openxmlformats.org/officeDocument/2006/relationships/hyperlink" Target="https://phongchongthientaitiengiang.vn/?p=7360" TargetMode="External"/><Relationship Id="rId320" Type="http://schemas.openxmlformats.org/officeDocument/2006/relationships/hyperlink" Target="http://thuyloitiengiang.vn/web/thuyloitiengiang/chi-tiet-tin-tuc?id=455328" TargetMode="External"/><Relationship Id="rId321" Type="http://schemas.openxmlformats.org/officeDocument/2006/relationships/hyperlink" Target="http://thuyloitiengiang.vn/web/thuyloitiengiang/chi-tiet-tin-tuc?id=455332" TargetMode="External"/><Relationship Id="rId322" Type="http://schemas.openxmlformats.org/officeDocument/2006/relationships/hyperlink" Target="http://thuyloitiengiang.vn/web/thuyloitiengiang/chi-tiet-tin-tuc?id=455336" TargetMode="External"/><Relationship Id="rId323" Type="http://schemas.openxmlformats.org/officeDocument/2006/relationships/hyperlink" Target="http://thuyloitiengiang.vn/web/thuyloitiengiang/chi-tiet-tin-tuc?id=455412" TargetMode="External"/><Relationship Id="rId324" Type="http://schemas.openxmlformats.org/officeDocument/2006/relationships/hyperlink" Target="http://thuyloitiengiang.vn/web/thuyloitiengiang/chi-tiet-tin-tuc?id=455416" TargetMode="External"/><Relationship Id="rId325" Type="http://schemas.openxmlformats.org/officeDocument/2006/relationships/hyperlink" Target="https://phongchongthientaitiengiang.vn/?p=7360" TargetMode="External"/><Relationship Id="rId326" Type="http://schemas.openxmlformats.org/officeDocument/2006/relationships/hyperlink" Target="https://phongchongthientaitiengiang.vn/?p=7360" TargetMode="External"/><Relationship Id="rId327" Type="http://schemas.openxmlformats.org/officeDocument/2006/relationships/hyperlink" Target="http://thuyloitiengiang.vn/web/thuyloitiengiang/chi-tiet-tin-tuc?id=455328" TargetMode="External"/><Relationship Id="rId328" Type="http://schemas.openxmlformats.org/officeDocument/2006/relationships/hyperlink" Target="http://thuyloitiengiang.vn/web/thuyloitiengiang/chi-tiet-tin-tuc?id=455328" TargetMode="External"/><Relationship Id="rId329" Type="http://schemas.openxmlformats.org/officeDocument/2006/relationships/hyperlink" Target="http://thuyloitiengiang.vn/web/thuyloitiengiang/chi-tiet-tin-tuc?id=455332" TargetMode="External"/><Relationship Id="rId330" Type="http://schemas.openxmlformats.org/officeDocument/2006/relationships/hyperlink" Target="http://thuyloitiengiang.vn/web/thuyloitiengiang/chi-tiet-tin-tuc?id=455336" TargetMode="External"/><Relationship Id="rId331" Type="http://schemas.openxmlformats.org/officeDocument/2006/relationships/hyperlink" Target="http://thuyloitiengiang.vn/web/thuyloitiengiang/chi-tiet-tin-tuc?id=455412" TargetMode="External"/><Relationship Id="rId332" Type="http://schemas.openxmlformats.org/officeDocument/2006/relationships/hyperlink" Target="http://thuyloitiengiang.vn/web/thuyloitiengiang/chi-tiet-tin-tuc?id=455416" TargetMode="External"/><Relationship Id="rId333" Type="http://schemas.openxmlformats.org/officeDocument/2006/relationships/hyperlink" Target="https://baodongthap.vn/tien-giang-xam-nhap-man-tiep-tuc-tang-theo-ky-trieu-cuong-a70919.html" TargetMode="External"/><Relationship Id="rId334" Type="http://schemas.openxmlformats.org/officeDocument/2006/relationships/hyperlink" Target="https://baodongthap.vn/tien-giang-xam-nhap-man-giam-nhe-a71088.html" TargetMode="External"/><Relationship Id="rId335" Type="http://schemas.openxmlformats.org/officeDocument/2006/relationships/hyperlink" Target="https://baodongthap.vn/tien-giang-xam-nhap-man-tang-tro-lai-a34313.html" TargetMode="External"/><Relationship Id="rId336" Type="http://schemas.openxmlformats.org/officeDocument/2006/relationships/hyperlink" Target="https://baodongthap.vn/tien-giang-xam-nhap-man-toi-huyen-chau-thanh-o-muc-0-42-g-l-a828.html" TargetMode="External"/><Relationship Id="rId337" Type="http://schemas.openxmlformats.org/officeDocument/2006/relationships/hyperlink" Target="https://baodongthap.vn/tien-giang-xam-nhap-man-giam-theo-trieu-cuong-nhung-van-o-muc-cao-a1148.html" TargetMode="External"/><Relationship Id="rId338" Type="http://schemas.openxmlformats.org/officeDocument/2006/relationships/hyperlink" Target="https://baodongthap.vn/tien-giang-muc-nuoc-tai-cac-kinh-rach-vung-ngot-hoa-go-cong-dang-dan-xuong-thap-a4427.html" TargetMode="External"/><Relationship Id="rId339" Type="http://schemas.openxmlformats.org/officeDocument/2006/relationships/hyperlink" Target="https://baodongthap.vn/xam-nhap-man-giam-cong-xuan-hoa-lay-gan-nuoc-ngot-a5603.html" TargetMode="External"/><Relationship Id="rId340" Type="http://schemas.openxmlformats.org/officeDocument/2006/relationships/hyperlink" Target="http://thuyloitiengiang.vn/web/thuyloitiengiang/chi-tiet-tin-tuc?id=464847" TargetMode="External"/><Relationship Id="rId341" Type="http://schemas.openxmlformats.org/officeDocument/2006/relationships/hyperlink" Target="http://thuyloitiengiang.vn/web/thuyloitiengiang/chi-tiet-tin-tuc?id=464847" TargetMode="External"/><Relationship Id="rId342" Type="http://schemas.openxmlformats.org/officeDocument/2006/relationships/hyperlink" Target="http://thuyloitiengiang.vn/web/thuyloitiengiang/chi-tiet-tin-tuc?id=464851" TargetMode="External"/><Relationship Id="rId343" Type="http://schemas.openxmlformats.org/officeDocument/2006/relationships/hyperlink" Target="http://thuyloitiengiang.vn/web/thuyloitiengiang/chi-tiet-tin-tuc?id=464851" TargetMode="External"/><Relationship Id="rId344" Type="http://schemas.openxmlformats.org/officeDocument/2006/relationships/hyperlink" Target="http://thuyloitiengiang.vn/web/thuyloitiengiang/chi-tiet-tin-tuc?id=464854" TargetMode="External"/><Relationship Id="rId345" Type="http://schemas.openxmlformats.org/officeDocument/2006/relationships/hyperlink" Target="http://thuyloitiengiang.vn/ja/web/thuyloitiengiang/chi-tiet-tin-tuc?id=520619" TargetMode="External"/><Relationship Id="rId346" Type="http://schemas.openxmlformats.org/officeDocument/2006/relationships/hyperlink" Target="http://thuyloitiengiang.vn/ja/web/thuyloitiengiang/chi-tiet-tin-tuc?id=520619" TargetMode="External"/><Relationship Id="rId347" Type="http://schemas.openxmlformats.org/officeDocument/2006/relationships/hyperlink" Target="http://thuyloitiengiang.vn/ja/web/thuyloitiengiang/chi-tiet-tin-tuc?id=520621" TargetMode="External"/><Relationship Id="rId348" Type="http://schemas.openxmlformats.org/officeDocument/2006/relationships/hyperlink" Target="http://thuyloitiengiang.vn/ja/web/thuyloitiengiang/chi-tiet-tin-tuc?id=520623" TargetMode="External"/><Relationship Id="rId349" Type="http://schemas.openxmlformats.org/officeDocument/2006/relationships/hyperlink" Target="http://thuyloitiengiang.vn/en/web/thuyloitiengiang/chi-tiet-tin-tuc?id=520630" TargetMode="External"/><Relationship Id="rId350" Type="http://schemas.openxmlformats.org/officeDocument/2006/relationships/hyperlink" Target="http://thuyloitiengiang.vn/en/web/thuyloitiengiang/chi-tiet-tin-tuc?id=522066" TargetMode="External"/><Relationship Id="rId351" Type="http://schemas.openxmlformats.org/officeDocument/2006/relationships/hyperlink" Target="http://thuyloitiengiang.vn/en/web/thuyloitiengiang/chi-tiet-tin-tuc?id=522066" TargetMode="External"/><Relationship Id="rId352" Type="http://schemas.openxmlformats.org/officeDocument/2006/relationships/hyperlink" Target="http://thuyloitiengiang.vn/web/thuyloitiengiang/chi-tiet-tin-tuc?id=464847" TargetMode="External"/><Relationship Id="rId353" Type="http://schemas.openxmlformats.org/officeDocument/2006/relationships/hyperlink" Target="http://thuyloitiengiang.vn/web/thuyloitiengiang/chi-tiet-tin-tuc?id=464851" TargetMode="External"/><Relationship Id="rId354" Type="http://schemas.openxmlformats.org/officeDocument/2006/relationships/hyperlink" Target="http://thuyloitiengiang.vn/web/thuyloitiengiang/chi-tiet-tin-tuc?id=464854" TargetMode="External"/><Relationship Id="rId355" Type="http://schemas.openxmlformats.org/officeDocument/2006/relationships/hyperlink" Target="http://thuyloitiengiang.vn/ja/web/thuyloitiengiang/chi-tiet-tin-tuc?id=520619" TargetMode="External"/><Relationship Id="rId356" Type="http://schemas.openxmlformats.org/officeDocument/2006/relationships/hyperlink" Target="http://thuyloitiengiang.vn/ja/web/thuyloitiengiang/chi-tiet-tin-tuc?id=520619" TargetMode="External"/><Relationship Id="rId357" Type="http://schemas.openxmlformats.org/officeDocument/2006/relationships/hyperlink" Target="http://thuyloitiengiang.vn/ja/web/thuyloitiengiang/chi-tiet-tin-tuc?id=520619" TargetMode="External"/><Relationship Id="rId358" Type="http://schemas.openxmlformats.org/officeDocument/2006/relationships/hyperlink" Target="http://thuyloitiengiang.vn/ja/web/thuyloitiengiang/chi-tiet-tin-tuc?id=520621" TargetMode="External"/><Relationship Id="rId359" Type="http://schemas.openxmlformats.org/officeDocument/2006/relationships/hyperlink" Target="http://thuyloitiengiang.vn/ja/web/thuyloitiengiang/chi-tiet-tin-tuc?id=520623" TargetMode="External"/><Relationship Id="rId360" Type="http://schemas.openxmlformats.org/officeDocument/2006/relationships/hyperlink" Target="http://thuyloitiengiang.vn/en/web/thuyloitiengiang/chi-tiet-tin-tuc?id=520630" TargetMode="External"/><Relationship Id="rId361" Type="http://schemas.openxmlformats.org/officeDocument/2006/relationships/hyperlink" Target="http://thuyloitiengiang.vn/en/web/thuyloitiengiang/chi-tiet-tin-tuc?id=522066" TargetMode="External"/><Relationship Id="rId362" Type="http://schemas.openxmlformats.org/officeDocument/2006/relationships/hyperlink" Target="https://pctt.tayninh.gov.vn/tinh-hinh-chat-luong-nuoc-76230/tinh-hinh-chat-luong-nuoc-xam-nhap-man-tren-cac-tuyen-song-trong-dia-ban-tinh-long-an-ngay-02-de-983594" TargetMode="External"/><Relationship Id="rId363" Type="http://schemas.openxmlformats.org/officeDocument/2006/relationships/hyperlink" Target="https://pctt.tayninh.gov.vn/tinh-hinh-chat-luong-nuoc-76230/tinh-hinh-chat-luong-nuoc-xam-nhap-man-tren-cac-tuyen-song-tren-dia-ban-tinh-long-an-tu-ngay-05--984252" TargetMode="External"/><Relationship Id="rId364" Type="http://schemas.openxmlformats.org/officeDocument/2006/relationships/hyperlink" Target="https://pctt.tayninh.gov.vn/tinh-hinh-chat-luong-nuoc-76230/tinh-hinh-chat-luong-nuoc-xam-nhap-man-tren-cac-tuyen-song-trong-dia-ban-tinh-long-an-ngay-02-de-983594" TargetMode="External"/><Relationship Id="rId365" Type="http://schemas.openxmlformats.org/officeDocument/2006/relationships/hyperlink" Target="https://pctt.tayninh.gov.vn/tinh-hinh-chat-luong-nuoc-76230/tinh-hinh-chat-luong-nuoc-xam-nhap-man-tren-cac-tuyen-song-trong-dia-ban-tinh-long-an-ngay-02-de-983594" TargetMode="External"/><Relationship Id="rId366" Type="http://schemas.openxmlformats.org/officeDocument/2006/relationships/hyperlink" Target="https://pctt.tayninh.gov.vn/tinh-hinh-chat-luong-nuoc-76230/tinh-hinh-chat-luong-nuoc-xam-nhap-man-tren-cac-tuyen-song-tren-dia-ban-tinh-long-an-tu-ngay-05--984252" TargetMode="External"/><Relationship Id="rId367" Type="http://schemas.openxmlformats.org/officeDocument/2006/relationships/hyperlink" Target="https://tamvu.tayninh.gov.vn/bao-cao-thong-ke/thong-bao-tinh-hinh-chat-luong-nuoc-xam-nhap-man-tren-cac-tuyen-song-tren-dia-ban-tinh-tay-ninh--1057028" TargetMode="External"/><Relationship Id="rId368" Type="http://schemas.openxmlformats.org/officeDocument/2006/relationships/hyperlink" Target="https://tamvu.tayninh.gov.vn/bao-cao-thong-ke/thong-bao-tinh-hinh-chat-luong-nuoc-xam-nhap-man-tren-cac-tuyen-song-tren-dia-ban-tinh-tay-ninh--1057028" TargetMode="External"/><Relationship Id="rId369" Type="http://schemas.openxmlformats.org/officeDocument/2006/relationships/hyperlink" Target="https://tamvu.tayninh.gov.vn/bao-cao-thong-ke/thong-bao-tinh-hinh-chat-luong-nuoc-xam-nhap-man-tren-cac-tuyen-song-tren-dia-ban-tinh-tay-ninh--1057028" TargetMode="External"/><Relationship Id="rId370" Type="http://schemas.openxmlformats.org/officeDocument/2006/relationships/hyperlink" Target="https://pctt.tayninh.gov.vn/tinh-hinh-chat-luong-nuoc-76230/tinh-hinh-chat-luong-nuoc-xam-nhap-man-tren-cac-tuyen-song-trong-dia-ban-tinh-long-an-ngay-02-de-983594" TargetMode="External"/><Relationship Id="rId371" Type="http://schemas.openxmlformats.org/officeDocument/2006/relationships/hyperlink" Target="https://pctt.tayninh.gov.vn/tinh-hinh-chat-luong-nuoc-76230/tinh-hinh-chat-luong-nuoc-xam-nhap-man-tren-cac-tuyen-song-tren-dia-ban-tinh-long-an-tu-ngay-05--984252" TargetMode="External"/><Relationship Id="rId372" Type="http://schemas.openxmlformats.org/officeDocument/2006/relationships/hyperlink" Target="https://pctt.tayninh.gov.vn/tinh-hinh-chat-luong-nuoc-76230/tinh-hinh-chat-luong-nuoc-xam-nhap-man-tren-cac-tuyen-song-trong-dia-ban-tinh-long-an-ngay-02-de-983594" TargetMode="External"/><Relationship Id="rId373" Type="http://schemas.openxmlformats.org/officeDocument/2006/relationships/hyperlink" Target="https://pctt.tayninh.gov.vn/tinh-hinh-chat-luong-nuoc-76230/tinh-hinh-chat-luong-nuoc-xam-nhap-man-tren-cac-tuyen-song-trong-dia-ban-tinh-long-an-ngay-02-de-983594" TargetMode="External"/><Relationship Id="rId374" Type="http://schemas.openxmlformats.org/officeDocument/2006/relationships/hyperlink" Target="https://pctt.tayninh.gov.vn/tinh-hinh-chat-luong-nuoc-76230/tinh-hinh-chat-luong-nuoc-xam-nhap-man-tren-cac-tuyen-song-tren-dia-ban-tinh-long-an-tu-ngay-05--984252" TargetMode="External"/><Relationship Id="rId375" Type="http://schemas.openxmlformats.org/officeDocument/2006/relationships/hyperlink" Target="https://tamvu.tayninh.gov.vn/bao-cao-thong-ke/thong-bao-tinh-hinh-chat-luong-nuoc-xam-nhap-man-tren-cac-tuyen-song-tren-dia-ban-tinh-tay-ninh--1057028" TargetMode="External"/><Relationship Id="rId376" Type="http://schemas.openxmlformats.org/officeDocument/2006/relationships/hyperlink" Target="https://tamvu.tayninh.gov.vn/bao-cao-thong-ke/thong-bao-tinh-hinh-chat-luong-nuoc-xam-nhap-man-tren-cac-tuyen-song-tren-dia-ban-tinh-tay-ninh--1057028" TargetMode="External"/><Relationship Id="rId377" Type="http://schemas.openxmlformats.org/officeDocument/2006/relationships/hyperlink" Target="https://tamvu.tayninh.gov.vn/bao-cao-thong-ke/thong-bao-tinh-hinh-chat-luong-nuoc-xam-nhap-man-tren-cac-tuyen-song-tren-dia-ban-tinh-tay-ninh--1057028" TargetMode="External"/><Relationship Id="rId378" Type="http://schemas.openxmlformats.org/officeDocument/2006/relationships/hyperlink" Target="https://baodongthap.vn/tien-giang-chu-dong-quyet-liet-voi-xam-nhap-man-a58212.html" TargetMode="External"/><Relationship Id="rId379" Type="http://schemas.openxmlformats.org/officeDocument/2006/relationships/hyperlink" Target="https://nhandan.vn/tien-giang-quyet-liet-trien-khai-cac-giai-phap-phong-chong-han-man-post799553.html" TargetMode="External"/><Relationship Id="rId380" Type="http://schemas.openxmlformats.org/officeDocument/2006/relationships/hyperlink" Target="https://baodongthap.vn/tien-giang-xam-nhap-man-giam-theo-trieu-cuong-nhung-van-o-muc-cao-a1148.html" TargetMode="External"/><Relationship Id="rId381" Type="http://schemas.openxmlformats.org/officeDocument/2006/relationships/hyperlink" Target="https://baodongthap.vn/tien-giang-muc-nuoc-tai-cac-kinh-rach-vung-ngot-hoa-go-cong-dang-dan-xuong-thap-a4427.html" TargetMode="External"/><Relationship Id="rId382" Type="http://schemas.openxmlformats.org/officeDocument/2006/relationships/hyperlink" Target="https://baodongthap.vn/xam-nhap-man-dat-dinh-va-se-giam-dan-trong-nhung-ngay-toi-a6163.html" TargetMode="External"/><Relationship Id="rId383" Type="http://schemas.openxmlformats.org/officeDocument/2006/relationships/hyperlink" Target="https://baodongthap.vn/tien-giang-man-xam-nhap-den-khu-vuc-cau-phu-phong-huyen-chau-thanh-a57394.html" TargetMode="External"/><Relationship Id="rId384" Type="http://schemas.openxmlformats.org/officeDocument/2006/relationships/hyperlink" Target="https://baodongthap.vn/tien-giang-xam-nhap-man-tiep-tuc-tang-theo-ky-trieu-cuong-a70919.html" TargetMode="External"/><Relationship Id="rId385" Type="http://schemas.openxmlformats.org/officeDocument/2006/relationships/hyperlink" Target="https://baodongthap.vn/tien-giang-xam-nhap-man-giam-nhe-a71088.html" TargetMode="External"/><Relationship Id="rId386" Type="http://schemas.openxmlformats.org/officeDocument/2006/relationships/hyperlink" Target="https://baodongthap.vn/tien-giang-muc-nuoc-tai-cac-kinh-rach-vung-ngot-hoa-go-cong-dang-dan-xuong-thap-a4427.html" TargetMode="External"/><Relationship Id="rId387" Type="http://schemas.openxmlformats.org/officeDocument/2006/relationships/hyperlink" Target="https://tuoitre.vn/tien-giang-man-da-xam-nhap-sau-vao-dat-lien-hon-50km-20240212110133913.htm" TargetMode="External"/><Relationship Id="rId388" Type="http://schemas.openxmlformats.org/officeDocument/2006/relationships/hyperlink" Target="https://baodongthap.vn/tien-giang-man-xam-nhap-den-khu-vuc-cau-phu-phong-huyen-chau-thanh-a57394.html" TargetMode="External"/><Relationship Id="rId389" Type="http://schemas.openxmlformats.org/officeDocument/2006/relationships/hyperlink" Target="https://nhandan.vn/tien-giang-quyet-liet-trien-khai-cac-giai-phap-phong-chong-han-man-post799553.html" TargetMode="External"/><Relationship Id="rId390" Type="http://schemas.openxmlformats.org/officeDocument/2006/relationships/hyperlink" Target="https://baodongthap.vn/tien-giang-xam-nhap-man-tiep-tuc-tang-theo-ky-trieu-cuong-a70919.html" TargetMode="External"/><Relationship Id="rId391" Type="http://schemas.openxmlformats.org/officeDocument/2006/relationships/hyperlink" Target="https://baodongthap.vn/tien-giang-xam-nhap-man-giam-nhe-a71088.html" TargetMode="External"/><Relationship Id="rId392" Type="http://schemas.openxmlformats.org/officeDocument/2006/relationships/hyperlink" Target="https://baodongthap.vn/tien-giang-man-xam-nhap-den-khu-vuc-cau-phu-phong-huyen-chau-thanh-a57394.html" TargetMode="External"/><Relationship Id="rId393" Type="http://schemas.openxmlformats.org/officeDocument/2006/relationships/hyperlink" Target="https://baodongthap.vn/tien-giang-chu-dong-quyet-liet-voi-xam-nhap-man-a58212.html" TargetMode="External"/><Relationship Id="rId394" Type="http://schemas.openxmlformats.org/officeDocument/2006/relationships/hyperlink" Target="https://baodongthap.vn/tien-giang-xam-nhap-man-tiep-tuc-tang-theo-ky-trieu-cuong-a70919.html" TargetMode="External"/><Relationship Id="rId395" Type="http://schemas.openxmlformats.org/officeDocument/2006/relationships/hyperlink" Target="https://baodongthap.vn/tien-giang-xam-nhap-man-giam-nhe-a71088.html" TargetMode="External"/><Relationship Id="rId396" Type="http://schemas.openxmlformats.org/officeDocument/2006/relationships/hyperlink" Target="https://tuoitre.vn/tien-giang-man-da-xam-nhap-sau-vao-dat-lien-hon-50km-20240212110133913.htm" TargetMode="External"/><Relationship Id="rId397" Type="http://schemas.openxmlformats.org/officeDocument/2006/relationships/hyperlink" Target="https://baodongthap.vn/tien-giang-man-xam-nhap-den-khu-vuc-cau-phu-phong-huyen-chau-thanh-a57394.html" TargetMode="External"/><Relationship Id="rId398" Type="http://schemas.openxmlformats.org/officeDocument/2006/relationships/hyperlink" Target="https://baodongthap.vn/tien-giang-xam-nhap-man-tiep-tuc-tang-theo-ky-trieu-cuong-a70919.html" TargetMode="External"/><Relationship Id="rId399" Type="http://schemas.openxmlformats.org/officeDocument/2006/relationships/hyperlink" Target="https://baodongthap.vn/tien-giang-xam-nhap-man-giam-nhe-a71088.html" TargetMode="External"/><Relationship Id="rId400" Type="http://schemas.openxmlformats.org/officeDocument/2006/relationships/hyperlink" Target="https://baodongthap.vn/tien-giang-xam-nhap-man-giam-cac-cong-thuoc-du-an-bao-dinh-van-hanh-lay-nuoc-a72711.html" TargetMode="External"/><Relationship Id="rId401" Type="http://schemas.openxmlformats.org/officeDocument/2006/relationships/hyperlink" Target="https://baodongthap.vn/tien-giang-xam-nhap-man-toi-huyen-chau-thanh-o-muc-0-42-g-l-a828.html" TargetMode="External"/><Relationship Id="rId402" Type="http://schemas.openxmlformats.org/officeDocument/2006/relationships/hyperlink" Target="https://baodongthap.vn/tien-giang-xam-nhap-man-giam-theo-trieu-cuong-nhung-van-o-muc-cao-a1148.html" TargetMode="External"/><Relationship Id="rId403" Type="http://schemas.openxmlformats.org/officeDocument/2006/relationships/hyperlink" Target="https://baodongthap.vn/tien-giang-muc-nuoc-tai-cac-kinh-rach-vung-ngot-hoa-go-cong-dang-dan-xuong-thap-a4427.html" TargetMode="External"/><Relationship Id="rId404" Type="http://schemas.openxmlformats.org/officeDocument/2006/relationships/hyperlink" Target="https://baodongthap.vn/xam-nhap-man-dat-dinh-va-se-giam-dan-trong-nhung-ngay-toi-a6163.html" TargetMode="External"/><Relationship Id="rId405" Type="http://schemas.openxmlformats.org/officeDocument/2006/relationships/hyperlink" Target="https://baodongthap.vn/dong-thap-xam-nhap-man-tang-tro-lai-theo-ky-trieu-cuong-dau-thang-3-am-lich-a239839.html" TargetMode="External"/><Relationship Id="rId406" Type="http://schemas.openxmlformats.org/officeDocument/2006/relationships/hyperlink" Target="https://phongchongthientaitiengiang.vn/?p=7360" TargetMode="External"/><Relationship Id="rId407" Type="http://schemas.openxmlformats.org/officeDocument/2006/relationships/hyperlink" Target="http://thuyloitiengiang.vn/web/thuyloitiengiang/chi-tiet-tin-tuc?id=455328" TargetMode="External"/><Relationship Id="rId408" Type="http://schemas.openxmlformats.org/officeDocument/2006/relationships/hyperlink" Target="http://thuyloitiengiang.vn/web/thuyloitiengiang/chi-tiet-tin-tuc?id=455332" TargetMode="External"/><Relationship Id="rId409" Type="http://schemas.openxmlformats.org/officeDocument/2006/relationships/hyperlink" Target="http://thuyloitiengiang.vn/web/thuyloitiengiang/chi-tiet-tin-tuc?id=455336" TargetMode="External"/><Relationship Id="rId410" Type="http://schemas.openxmlformats.org/officeDocument/2006/relationships/hyperlink" Target="http://thuyloitiengiang.vn/web/thuyloitiengiang/chi-tiet-tin-tuc?id=455412" TargetMode="External"/><Relationship Id="rId411" Type="http://schemas.openxmlformats.org/officeDocument/2006/relationships/hyperlink" Target="http://thuyloitiengiang.vn/web/thuyloitiengiang/chi-tiet-tin-tuc?id=455416" TargetMode="External"/><Relationship Id="rId412" Type="http://schemas.openxmlformats.org/officeDocument/2006/relationships/hyperlink" Target="https://phongchongthientaitiengiang.vn/?p=7360" TargetMode="External"/><Relationship Id="rId413" Type="http://schemas.openxmlformats.org/officeDocument/2006/relationships/hyperlink" Target="http://thuyloitiengiang.vn/web/thuyloitiengiang/chi-tiet-tin-tuc?id=455328" TargetMode="External"/><Relationship Id="rId414" Type="http://schemas.openxmlformats.org/officeDocument/2006/relationships/hyperlink" Target="http://thuyloitiengiang.vn/web/thuyloitiengiang/chi-tiet-tin-tuc?id=455332" TargetMode="External"/><Relationship Id="rId415" Type="http://schemas.openxmlformats.org/officeDocument/2006/relationships/hyperlink" Target="http://thuyloitiengiang.vn/web/thuyloitiengiang/chi-tiet-tin-tuc?id=455336" TargetMode="External"/><Relationship Id="rId416" Type="http://schemas.openxmlformats.org/officeDocument/2006/relationships/hyperlink" Target="http://thuyloitiengiang.vn/web/thuyloitiengiang/chi-tiet-tin-tuc?id=455412" TargetMode="External"/><Relationship Id="rId417" Type="http://schemas.openxmlformats.org/officeDocument/2006/relationships/hyperlink" Target="http://thuyloitiengiang.vn/web/thuyloitiengiang/chi-tiet-tin-tuc?id=455416" TargetMode="External"/><Relationship Id="rId418" Type="http://schemas.openxmlformats.org/officeDocument/2006/relationships/hyperlink" Target="https://tuoitre.vn/tien-giang-man-da-xam-nhap-sau-vao-dat-lien-hon-50km-20240212110133913.htm" TargetMode="External"/><Relationship Id="rId419" Type="http://schemas.openxmlformats.org/officeDocument/2006/relationships/hyperlink" Target="https://baodongthap.vn/tien-giang-man-xam-nhap-den-khu-vuc-cau-phu-phong-huyen-chau-thanh-a57394.html" TargetMode="External"/><Relationship Id="rId420" Type="http://schemas.openxmlformats.org/officeDocument/2006/relationships/hyperlink" Target="https://nhandan.vn/tien-giang-quyet-liet-trien-khai-cac-giai-phap-phong-chong-han-man-post799553.html" TargetMode="External"/><Relationship Id="rId421" Type="http://schemas.openxmlformats.org/officeDocument/2006/relationships/hyperlink" Target="https://baodongthap.vn/tien-giang-xam-nhap-man-tiep-tuc-tang-theo-ky-trieu-cuong-a70919.html" TargetMode="External"/><Relationship Id="rId422" Type="http://schemas.openxmlformats.org/officeDocument/2006/relationships/hyperlink" Target="https://baodongthap.vn/tien-giang-xam-nhap-man-giam-nhe-a71088.html" TargetMode="External"/><Relationship Id="rId423" Type="http://schemas.openxmlformats.org/officeDocument/2006/relationships/hyperlink" Target="https://baodongthap.vn/tien-giang-xam-nhap-man-giam-cac-cong-thuoc-du-an-bao-dinh-van-hanh-lay-nuoc-a72711.html" TargetMode="External"/><Relationship Id="rId424" Type="http://schemas.openxmlformats.org/officeDocument/2006/relationships/hyperlink" Target="https://nhandan.vn/xam-nhap-man-co-xu-the-tang-nhanh-tai-tien-giang-post852937.html" TargetMode="External"/><Relationship Id="rId425" Type="http://schemas.openxmlformats.org/officeDocument/2006/relationships/hyperlink" Target="https://baodongthap.vn/tien-giang-xam-nhap-man-tang-tro-lai-a34313.html" TargetMode="External"/><Relationship Id="rId426" Type="http://schemas.openxmlformats.org/officeDocument/2006/relationships/hyperlink" Target="https://phongchongthientaitiengiang.vn/?p=7360" TargetMode="External"/><Relationship Id="rId427" Type="http://schemas.openxmlformats.org/officeDocument/2006/relationships/hyperlink" Target="https://baodongthap.vn/tien-giang-xam-nhap-man-toi-huyen-chau-thanh-o-muc-0-42-g-l-a828.html" TargetMode="External"/><Relationship Id="rId428" Type="http://schemas.openxmlformats.org/officeDocument/2006/relationships/hyperlink" Target="https://baodongthap.vn/tien-giang-xam-nhap-man-giam-theo-trieu-cuong-nhung-van-o-muc-cao-a1148.html" TargetMode="External"/><Relationship Id="rId429" Type="http://schemas.openxmlformats.org/officeDocument/2006/relationships/hyperlink" Target="https://baodongthap.vn/tien-giang-muc-nuoc-tai-cac-kinh-rach-vung-ngot-hoa-go-cong-dang-dan-xuong-thap-a4427.html" TargetMode="External"/><Relationship Id="rId430" Type="http://schemas.openxmlformats.org/officeDocument/2006/relationships/hyperlink" Target="https://baodongthap.vn/xam-nhap-man-giam-cong-xuan-hoa-lay-gan-nuoc-ngot-a5603.html" TargetMode="External"/><Relationship Id="rId431" Type="http://schemas.openxmlformats.org/officeDocument/2006/relationships/hyperlink" Target="https://baodongthap.vn/xam-nhap-man-dat-dinh-va-se-giam-dan-trong-nhung-ngay-toi-a6163.html" TargetMode="External"/><Relationship Id="rId432" Type="http://schemas.openxmlformats.org/officeDocument/2006/relationships/hyperlink" Target="http://thuyloitiengiang.vn/web/thuyloitiengiang/chi-tiet-tin-tuc?id=455328" TargetMode="External"/><Relationship Id="rId433" Type="http://schemas.openxmlformats.org/officeDocument/2006/relationships/hyperlink" Target="http://thuyloitiengiang.vn/web/thuyloitiengiang/chi-tiet-tin-tuc?id=455332" TargetMode="External"/><Relationship Id="rId434" Type="http://schemas.openxmlformats.org/officeDocument/2006/relationships/hyperlink" Target="http://thuyloitiengiang.vn/web/thuyloitiengiang/chi-tiet-tin-tuc?id=455336" TargetMode="External"/><Relationship Id="rId435" Type="http://schemas.openxmlformats.org/officeDocument/2006/relationships/hyperlink" Target="http://thuyloitiengiang.vn/web/thuyloitiengiang/chi-tiet-tin-tuc?id=455412" TargetMode="External"/><Relationship Id="rId436" Type="http://schemas.openxmlformats.org/officeDocument/2006/relationships/hyperlink" Target="http://thuyloitiengiang.vn/web/thuyloitiengiang/chi-tiet-tin-tuc?id=455416" TargetMode="External"/><Relationship Id="rId437" Type="http://schemas.openxmlformats.org/officeDocument/2006/relationships/hyperlink" Target="https://phongchongthientaitiengiang.vn/?p=7360" TargetMode="External"/><Relationship Id="rId438" Type="http://schemas.openxmlformats.org/officeDocument/2006/relationships/hyperlink" Target="https://phongchongthientaitiengiang.vn/?p=7360" TargetMode="External"/><Relationship Id="rId439" Type="http://schemas.openxmlformats.org/officeDocument/2006/relationships/hyperlink" Target="https://baodongthap.vn/dong-thap-xam-nhap-man-tang-tro-lai-theo-ky-trieu-cuong-dau-thang-3-am-lich-a239839.html" TargetMode="External"/><Relationship Id="rId440" Type="http://schemas.openxmlformats.org/officeDocument/2006/relationships/hyperlink" Target="http://thuyloitiengiang.vn/web/thuyloitiengiang/chi-tiet-tin-tuc?id=455328" TargetMode="External"/><Relationship Id="rId441" Type="http://schemas.openxmlformats.org/officeDocument/2006/relationships/hyperlink" Target="http://thuyloitiengiang.vn/web/thuyloitiengiang/chi-tiet-tin-tuc?id=455328" TargetMode="External"/><Relationship Id="rId442" Type="http://schemas.openxmlformats.org/officeDocument/2006/relationships/hyperlink" Target="http://thuyloitiengiang.vn/web/thuyloitiengiang/chi-tiet-tin-tuc?id=455332" TargetMode="External"/><Relationship Id="rId443" Type="http://schemas.openxmlformats.org/officeDocument/2006/relationships/hyperlink" Target="http://thuyloitiengiang.vn/web/thuyloitiengiang/chi-tiet-tin-tuc?id=455336" TargetMode="External"/><Relationship Id="rId444" Type="http://schemas.openxmlformats.org/officeDocument/2006/relationships/hyperlink" Target="http://thuyloitiengiang.vn/web/thuyloitiengiang/chi-tiet-tin-tuc?id=455412" TargetMode="External"/><Relationship Id="rId445" Type="http://schemas.openxmlformats.org/officeDocument/2006/relationships/hyperlink" Target="http://thuyloitiengiang.vn/web/thuyloitiengiang/chi-tiet-tin-tuc?id=455416" TargetMode="External"/><Relationship Id="rId446" Type="http://schemas.openxmlformats.org/officeDocument/2006/relationships/hyperlink" Target="https://phongchongthientaitiengiang.vn/?p=7360" TargetMode="External"/><Relationship Id="rId447" Type="http://schemas.openxmlformats.org/officeDocument/2006/relationships/hyperlink" Target="http://thuyloitiengiang.vn/web/thuyloitiengiang/chi-tiet-tin-tuc?id=455328" TargetMode="External"/><Relationship Id="rId448" Type="http://schemas.openxmlformats.org/officeDocument/2006/relationships/hyperlink" Target="http://thuyloitiengiang.vn/web/thuyloitiengiang/chi-tiet-tin-tuc?id=455332" TargetMode="External"/><Relationship Id="rId449" Type="http://schemas.openxmlformats.org/officeDocument/2006/relationships/hyperlink" Target="http://thuyloitiengiang.vn/web/thuyloitiengiang/chi-tiet-tin-tuc?id=455336" TargetMode="External"/><Relationship Id="rId450" Type="http://schemas.openxmlformats.org/officeDocument/2006/relationships/hyperlink" Target="http://thuyloitiengiang.vn/web/thuyloitiengiang/chi-tiet-tin-tuc?id=455412" TargetMode="External"/><Relationship Id="rId451" Type="http://schemas.openxmlformats.org/officeDocument/2006/relationships/hyperlink" Target="http://thuyloitiengiang.vn/web/thuyloitiengiang/chi-tiet-tin-tuc?id=455416" TargetMode="External"/><Relationship Id="rId452" Type="http://schemas.openxmlformats.org/officeDocument/2006/relationships/hyperlink" Target="https://phongchongthientaitiengiang.vn/?p=7360" TargetMode="External"/><Relationship Id="rId453" Type="http://schemas.openxmlformats.org/officeDocument/2006/relationships/hyperlink" Target="http://thuyloitiengiang.vn/web/thuyloitiengiang/chi-tiet-tin-tuc?id=455328" TargetMode="External"/><Relationship Id="rId454" Type="http://schemas.openxmlformats.org/officeDocument/2006/relationships/hyperlink" Target="http://thuyloitiengiang.vn/web/thuyloitiengiang/chi-tiet-tin-tuc?id=455332" TargetMode="External"/><Relationship Id="rId455" Type="http://schemas.openxmlformats.org/officeDocument/2006/relationships/hyperlink" Target="http://thuyloitiengiang.vn/web/thuyloitiengiang/chi-tiet-tin-tuc?id=455336" TargetMode="External"/><Relationship Id="rId456" Type="http://schemas.openxmlformats.org/officeDocument/2006/relationships/hyperlink" Target="http://thuyloitiengiang.vn/web/thuyloitiengiang/chi-tiet-tin-tuc?id=455412" TargetMode="External"/><Relationship Id="rId457" Type="http://schemas.openxmlformats.org/officeDocument/2006/relationships/hyperlink" Target="http://thuyloitiengiang.vn/web/thuyloitiengiang/chi-tiet-tin-tuc?id=455416" TargetMode="External"/><Relationship Id="rId458" Type="http://schemas.openxmlformats.org/officeDocument/2006/relationships/hyperlink" Target="https://phongchongthientaitiengiang.vn/?p=7360" TargetMode="External"/><Relationship Id="rId459" Type="http://schemas.openxmlformats.org/officeDocument/2006/relationships/hyperlink" Target="http://thuyloitiengiang.vn/web/thuyloitiengiang/chi-tiet-tin-tuc?id=455328" TargetMode="External"/><Relationship Id="rId460" Type="http://schemas.openxmlformats.org/officeDocument/2006/relationships/hyperlink" Target="http://thuyloitiengiang.vn/web/thuyloitiengiang/chi-tiet-tin-tuc?id=455332" TargetMode="External"/><Relationship Id="rId461" Type="http://schemas.openxmlformats.org/officeDocument/2006/relationships/hyperlink" Target="http://thuyloitiengiang.vn/web/thuyloitiengiang/chi-tiet-tin-tuc?id=455336" TargetMode="External"/><Relationship Id="rId462" Type="http://schemas.openxmlformats.org/officeDocument/2006/relationships/hyperlink" Target="http://thuyloitiengiang.vn/web/thuyloitiengiang/chi-tiet-tin-tuc?id=455412" TargetMode="External"/><Relationship Id="rId463" Type="http://schemas.openxmlformats.org/officeDocument/2006/relationships/hyperlink" Target="http://thuyloitiengiang.vn/web/thuyloitiengiang/chi-tiet-tin-tuc?id=455416" TargetMode="External"/><Relationship Id="rId464" Type="http://schemas.openxmlformats.org/officeDocument/2006/relationships/hyperlink" Target="https://phongchongthientaitiengiang.vn/?p=7360" TargetMode="External"/><Relationship Id="rId465" Type="http://schemas.openxmlformats.org/officeDocument/2006/relationships/hyperlink" Target="https://phongchongthientaitiengiang.vn/?p=7360" TargetMode="External"/><Relationship Id="rId466" Type="http://schemas.openxmlformats.org/officeDocument/2006/relationships/hyperlink" Target="http://thuyloitiengiang.vn/web/thuyloitiengiang/chi-tiet-tin-tuc?id=455328" TargetMode="External"/><Relationship Id="rId467" Type="http://schemas.openxmlformats.org/officeDocument/2006/relationships/hyperlink" Target="http://thuyloitiengiang.vn/web/thuyloitiengiang/chi-tiet-tin-tuc?id=455328" TargetMode="External"/><Relationship Id="rId468" Type="http://schemas.openxmlformats.org/officeDocument/2006/relationships/hyperlink" Target="http://thuyloitiengiang.vn/web/thuyloitiengiang/chi-tiet-tin-tuc?id=455332" TargetMode="External"/><Relationship Id="rId469" Type="http://schemas.openxmlformats.org/officeDocument/2006/relationships/hyperlink" Target="http://thuyloitiengiang.vn/web/thuyloitiengiang/chi-tiet-tin-tuc?id=455336" TargetMode="External"/><Relationship Id="rId470" Type="http://schemas.openxmlformats.org/officeDocument/2006/relationships/hyperlink" Target="http://thuyloitiengiang.vn/web/thuyloitiengiang/chi-tiet-tin-tuc?id=455412" TargetMode="External"/><Relationship Id="rId471" Type="http://schemas.openxmlformats.org/officeDocument/2006/relationships/hyperlink" Target="http://thuyloitiengiang.vn/web/thuyloitiengiang/chi-tiet-tin-tuc?id=455416" TargetMode="External"/><Relationship Id="rId472" Type="http://schemas.openxmlformats.org/officeDocument/2006/relationships/hyperlink" Target="http://thuyloitiengiang.vn/web/thuyloitiengiang/chi-tiet-tin-tuc?id=464847" TargetMode="External"/><Relationship Id="rId473" Type="http://schemas.openxmlformats.org/officeDocument/2006/relationships/hyperlink" Target="http://thuyloitiengiang.vn/web/thuyloitiengiang/chi-tiet-tin-tuc?id=464847" TargetMode="External"/><Relationship Id="rId474" Type="http://schemas.openxmlformats.org/officeDocument/2006/relationships/hyperlink" Target="http://thuyloitiengiang.vn/web/thuyloitiengiang/chi-tiet-tin-tuc?id=464854" TargetMode="External"/><Relationship Id="rId475" Type="http://schemas.openxmlformats.org/officeDocument/2006/relationships/hyperlink" Target="http://thuyloitiengiang.vn/web/thuyloitiengiang/chi-tiet-tin-tuc?id=464854" TargetMode="External"/><Relationship Id="rId476" Type="http://schemas.openxmlformats.org/officeDocument/2006/relationships/hyperlink" Target="http://thuyloitiengiang.vn/web/thuyloitiengiang/chi-tiet-tin-tuc?id=464854" TargetMode="External"/><Relationship Id="rId477" Type="http://schemas.openxmlformats.org/officeDocument/2006/relationships/hyperlink" Target="http://thuyloitiengiang.vn/ja/web/thuyloitiengiang/chi-tiet-tin-tuc?id=520619" TargetMode="External"/><Relationship Id="rId478" Type="http://schemas.openxmlformats.org/officeDocument/2006/relationships/hyperlink" Target="http://thuyloitiengiang.vn/ja/web/thuyloitiengiang/chi-tiet-tin-tuc?id=520619" TargetMode="External"/><Relationship Id="rId479" Type="http://schemas.openxmlformats.org/officeDocument/2006/relationships/hyperlink" Target="http://thuyloitiengiang.vn/ja/web/thuyloitiengiang/chi-tiet-tin-tuc?id=520619" TargetMode="External"/><Relationship Id="rId480" Type="http://schemas.openxmlformats.org/officeDocument/2006/relationships/hyperlink" Target="http://thuyloitiengiang.vn/ja/web/thuyloitiengiang/chi-tiet-tin-tuc?id=520621" TargetMode="External"/><Relationship Id="rId481" Type="http://schemas.openxmlformats.org/officeDocument/2006/relationships/hyperlink" Target="http://thuyloitiengiang.vn/ja/web/thuyloitiengiang/chi-tiet-tin-tuc?id=520623" TargetMode="External"/><Relationship Id="rId482" Type="http://schemas.openxmlformats.org/officeDocument/2006/relationships/hyperlink" Target="http://thuyloitiengiang.vn/en/web/thuyloitiengiang/chi-tiet-tin-tuc?id=520630" TargetMode="External"/><Relationship Id="rId483" Type="http://schemas.openxmlformats.org/officeDocument/2006/relationships/hyperlink" Target="http://thuyloitiengiang.vn/en/web/thuyloitiengiang/chi-tiet-tin-tuc?id=522066" TargetMode="External"/><Relationship Id="rId484" Type="http://schemas.openxmlformats.org/officeDocument/2006/relationships/hyperlink" Target="https://baodongthap.vn/tien-giang-muc-nuoc-tai-cac-kinh-rach-vung-ngot-hoa-go-cong-dang-dan-xuong-thap-a4427.html" TargetMode="External"/><Relationship Id="rId485" Type="http://schemas.openxmlformats.org/officeDocument/2006/relationships/hyperlink" Target="https://baodongthap.vn/xam-nhap-man-dat-dinh-va-se-giam-dan-trong-nhung-ngay-toi-a6163.html" TargetMode="External"/><Relationship Id="rId486" Type="http://schemas.openxmlformats.org/officeDocument/2006/relationships/hyperlink" Target="https://phongchongthientaitiengiang.vn/?p=7360" TargetMode="External"/><Relationship Id="rId487" Type="http://schemas.openxmlformats.org/officeDocument/2006/relationships/hyperlink" Target="http://thuyloitiengiang.vn/web/thuyloitiengiang/chi-tiet-tin-tuc?id=455328" TargetMode="External"/><Relationship Id="rId488" Type="http://schemas.openxmlformats.org/officeDocument/2006/relationships/hyperlink" Target="http://thuyloitiengiang.vn/web/thuyloitiengiang/chi-tiet-tin-tuc?id=455332" TargetMode="External"/><Relationship Id="rId489" Type="http://schemas.openxmlformats.org/officeDocument/2006/relationships/hyperlink" Target="http://thuyloitiengiang.vn/web/thuyloitiengiang/chi-tiet-tin-tuc?id=455336" TargetMode="External"/><Relationship Id="rId490" Type="http://schemas.openxmlformats.org/officeDocument/2006/relationships/hyperlink" Target="http://thuyloitiengiang.vn/web/thuyloitiengiang/chi-tiet-tin-tuc?id=455412" TargetMode="External"/><Relationship Id="rId491" Type="http://schemas.openxmlformats.org/officeDocument/2006/relationships/hyperlink" Target="http://thuyloitiengiang.vn/web/thuyloitiengiang/chi-tiet-tin-tuc?id=455416" TargetMode="External"/><Relationship Id="rId492" Type="http://schemas.openxmlformats.org/officeDocument/2006/relationships/hyperlink" Target="https://phongchongthientaitiengiang.vn/?p=7360" TargetMode="External"/><Relationship Id="rId493" Type="http://schemas.openxmlformats.org/officeDocument/2006/relationships/hyperlink" Target="http://thuyloitiengiang.vn/web/thuyloitiengiang/chi-tiet-tin-tuc?id=455328" TargetMode="External"/><Relationship Id="rId494" Type="http://schemas.openxmlformats.org/officeDocument/2006/relationships/hyperlink" Target="http://thuyloitiengiang.vn/web/thuyloitiengiang/chi-tiet-tin-tuc?id=455332" TargetMode="External"/><Relationship Id="rId495" Type="http://schemas.openxmlformats.org/officeDocument/2006/relationships/hyperlink" Target="http://thuyloitiengiang.vn/web/thuyloitiengiang/chi-tiet-tin-tuc?id=455336" TargetMode="External"/><Relationship Id="rId496" Type="http://schemas.openxmlformats.org/officeDocument/2006/relationships/hyperlink" Target="http://thuyloitiengiang.vn/web/thuyloitiengiang/chi-tiet-tin-tuc?id=455412" TargetMode="External"/><Relationship Id="rId497" Type="http://schemas.openxmlformats.org/officeDocument/2006/relationships/hyperlink" Target="http://thuyloitiengiang.vn/web/thuyloitiengiang/chi-tiet-tin-tuc?id=455416" TargetMode="External"/><Relationship Id="rId498" Type="http://schemas.openxmlformats.org/officeDocument/2006/relationships/hyperlink" Target="https://phongchongthientaitiengiang.vn/?p=7360" TargetMode="External"/><Relationship Id="rId499" Type="http://schemas.openxmlformats.org/officeDocument/2006/relationships/hyperlink" Target="https://baodongthap.vn/xam-nhap-man-dat-dinh-va-se-giam-dan-trong-nhung-ngay-toi-a6163.html" TargetMode="External"/><Relationship Id="rId500" Type="http://schemas.openxmlformats.org/officeDocument/2006/relationships/hyperlink" Target="http://thuyloitiengiang.vn/web/thuyloitiengiang/chi-tiet-tin-tuc?id=455328" TargetMode="External"/><Relationship Id="rId501" Type="http://schemas.openxmlformats.org/officeDocument/2006/relationships/hyperlink" Target="http://thuyloitiengiang.vn/web/thuyloitiengiang/chi-tiet-tin-tuc?id=455332" TargetMode="External"/><Relationship Id="rId502" Type="http://schemas.openxmlformats.org/officeDocument/2006/relationships/hyperlink" Target="http://thuyloitiengiang.vn/web/thuyloitiengiang/chi-tiet-tin-tuc?id=455336" TargetMode="External"/><Relationship Id="rId503" Type="http://schemas.openxmlformats.org/officeDocument/2006/relationships/hyperlink" Target="http://thuyloitiengiang.vn/web/thuyloitiengiang/chi-tiet-tin-tuc?id=455412" TargetMode="External"/><Relationship Id="rId504" Type="http://schemas.openxmlformats.org/officeDocument/2006/relationships/hyperlink" Target="http://thuyloitiengiang.vn/web/thuyloitiengiang/chi-tiet-tin-tuc?id=455416" TargetMode="External"/><Relationship Id="rId505" Type="http://schemas.openxmlformats.org/officeDocument/2006/relationships/hyperlink" Target="https://phongchongthientaitiengiang.vn/?p=7360" TargetMode="External"/><Relationship Id="rId506" Type="http://schemas.openxmlformats.org/officeDocument/2006/relationships/hyperlink" Target="https://phongchongthientaitiengiang.vn/?p=7360" TargetMode="External"/><Relationship Id="rId507" Type="http://schemas.openxmlformats.org/officeDocument/2006/relationships/hyperlink" Target="http://thuyloitiengiang.vn/web/thuyloitiengiang/chi-tiet-tin-tuc?id=455328" TargetMode="External"/><Relationship Id="rId508" Type="http://schemas.openxmlformats.org/officeDocument/2006/relationships/hyperlink" Target="http://thuyloitiengiang.vn/web/thuyloitiengiang/chi-tiet-tin-tuc?id=455328" TargetMode="External"/><Relationship Id="rId509" Type="http://schemas.openxmlformats.org/officeDocument/2006/relationships/hyperlink" Target="http://thuyloitiengiang.vn/web/thuyloitiengiang/chi-tiet-tin-tuc?id=455332" TargetMode="External"/><Relationship Id="rId510" Type="http://schemas.openxmlformats.org/officeDocument/2006/relationships/hyperlink" Target="http://thuyloitiengiang.vn/web/thuyloitiengiang/chi-tiet-tin-tuc?id=455336" TargetMode="External"/><Relationship Id="rId511" Type="http://schemas.openxmlformats.org/officeDocument/2006/relationships/hyperlink" Target="http://thuyloitiengiang.vn/web/thuyloitiengiang/chi-tiet-tin-tuc?id=455412" TargetMode="External"/><Relationship Id="rId512" Type="http://schemas.openxmlformats.org/officeDocument/2006/relationships/hyperlink" Target="http://thuyloitiengiang.vn/web/thuyloitiengiang/chi-tiet-tin-tuc?id=455416" TargetMode="External"/><Relationship Id="rId513" Type="http://schemas.openxmlformats.org/officeDocument/2006/relationships/hyperlink" Target="https://nhandan.vn/tien-giang-quyet-liet-trien-khai-cac-giai-phap-phong-chong-han-man-post799553.html" TargetMode="External"/><Relationship Id="rId514" Type="http://schemas.openxmlformats.org/officeDocument/2006/relationships/hyperlink" Target="http://thuyloitiengiang.vn/web/thuyloitiengiang/chi-tiet-tin-tuc?id=455328" TargetMode="External"/><Relationship Id="rId515" Type="http://schemas.openxmlformats.org/officeDocument/2006/relationships/hyperlink" Target="http://thuyloitiengiang.vn/web/thuyloitiengiang/chi-tiet-tin-tuc?id=455332" TargetMode="External"/><Relationship Id="rId516" Type="http://schemas.openxmlformats.org/officeDocument/2006/relationships/hyperlink" Target="http://thuyloitiengiang.vn/web/thuyloitiengiang/chi-tiet-tin-tuc?id=455336" TargetMode="External"/><Relationship Id="rId517" Type="http://schemas.openxmlformats.org/officeDocument/2006/relationships/hyperlink" Target="http://thuyloitiengiang.vn/web/thuyloitiengiang/chi-tiet-tin-tuc?id=455412" TargetMode="External"/><Relationship Id="rId518" Type="http://schemas.openxmlformats.org/officeDocument/2006/relationships/hyperlink" Target="http://thuyloitiengiang.vn/web/thuyloitiengiang/chi-tiet-tin-tuc?id=455416" TargetMode="External"/><Relationship Id="rId519" Type="http://schemas.openxmlformats.org/officeDocument/2006/relationships/hyperlink" Target="http://thuyloitiengiang.vn/web/thuyloitiengiang/chi-tiet-tin-tuc?id=455328" TargetMode="External"/><Relationship Id="rId520" Type="http://schemas.openxmlformats.org/officeDocument/2006/relationships/hyperlink" Target="http://thuyloitiengiang.vn/web/thuyloitiengiang/chi-tiet-tin-tuc?id=455332" TargetMode="External"/><Relationship Id="rId521" Type="http://schemas.openxmlformats.org/officeDocument/2006/relationships/hyperlink" Target="http://thuyloitiengiang.vn/web/thuyloitiengiang/chi-tiet-tin-tuc?id=455336" TargetMode="External"/><Relationship Id="rId522" Type="http://schemas.openxmlformats.org/officeDocument/2006/relationships/hyperlink" Target="http://thuyloitiengiang.vn/web/thuyloitiengiang/chi-tiet-tin-tuc?id=455412" TargetMode="External"/><Relationship Id="rId523" Type="http://schemas.openxmlformats.org/officeDocument/2006/relationships/hyperlink" Target="http://thuyloitiengiang.vn/web/thuyloitiengiang/chi-tiet-tin-tuc?id=455416" TargetMode="External"/><Relationship Id="rId524" Type="http://schemas.openxmlformats.org/officeDocument/2006/relationships/hyperlink" Target="https://tuoitre.vn/tien-giang-man-da-xam-nhap-sau-vao-dat-lien-hon-50km-20240212110133913.htm" TargetMode="External"/><Relationship Id="rId525" Type="http://schemas.openxmlformats.org/officeDocument/2006/relationships/hyperlink" Target="https://baodongthap.vn/tien-giang-man-xam-nhap-den-khu-vuc-cau-phu-phong-huyen-chau-thanh-a57394.html" TargetMode="External"/><Relationship Id="rId526" Type="http://schemas.openxmlformats.org/officeDocument/2006/relationships/hyperlink" Target="https://nhandan.vn/tien-giang-quyet-liet-trien-khai-cac-giai-phap-phong-chong-han-man-post799553.html" TargetMode="External"/><Relationship Id="rId527" Type="http://schemas.openxmlformats.org/officeDocument/2006/relationships/hyperlink" Target="https://baodongthap.vn/tien-giang-xam-nhap-man-tiep-tuc-tang-theo-ky-trieu-cuong-a70919.html" TargetMode="External"/><Relationship Id="rId528" Type="http://schemas.openxmlformats.org/officeDocument/2006/relationships/hyperlink" Target="https://baodongthap.vn/tien-giang-xam-nhap-man-giam-nhe-a71088.html" TargetMode="External"/><Relationship Id="rId529" Type="http://schemas.openxmlformats.org/officeDocument/2006/relationships/hyperlink" Target="https://baodongthap.vn/tien-giang-xam-nhap-man-giam-cac-cong-thuoc-du-an-bao-dinh-van-hanh-lay-nuoc-a72711.html" TargetMode="External"/><Relationship Id="rId530" Type="http://schemas.openxmlformats.org/officeDocument/2006/relationships/hyperlink" Target="https://baodongthap.vn/tien-giang-xam-nhap-man-toi-huyen-chau-thanh-o-muc-0-42-g-l-a828.html" TargetMode="External"/><Relationship Id="rId531" Type="http://schemas.openxmlformats.org/officeDocument/2006/relationships/hyperlink" Target="https://baodongthap.vn/tien-giang-xam-nhap-man-giam-theo-trieu-cuong-nhung-van-o-muc-cao-a1148.html" TargetMode="External"/><Relationship Id="rId532" Type="http://schemas.openxmlformats.org/officeDocument/2006/relationships/hyperlink" Target="https://baodongthap.vn/tien-giang-muc-nuoc-tai-cac-kinh-rach-vung-ngot-hoa-go-cong-dang-dan-xuong-thap-a4427.html" TargetMode="External"/><Relationship Id="rId533" Type="http://schemas.openxmlformats.org/officeDocument/2006/relationships/hyperlink" Target="https://baodongthap.vn/xam-nhap-man-dat-dinh-va-se-giam-dan-trong-nhung-ngay-toi-a6163.html" TargetMode="External"/><Relationship Id="rId534" Type="http://schemas.openxmlformats.org/officeDocument/2006/relationships/hyperlink" Target="http://thuyloitiengiang.vn/web/thuyloitiengiang/chi-tiet-tin-tuc?id=455328" TargetMode="External"/><Relationship Id="rId535" Type="http://schemas.openxmlformats.org/officeDocument/2006/relationships/hyperlink" Target="http://thuyloitiengiang.vn/web/thuyloitiengiang/chi-tiet-tin-tuc?id=455332" TargetMode="External"/><Relationship Id="rId536" Type="http://schemas.openxmlformats.org/officeDocument/2006/relationships/hyperlink" Target="http://thuyloitiengiang.vn/web/thuyloitiengiang/chi-tiet-tin-tuc?id=455336" TargetMode="External"/><Relationship Id="rId537" Type="http://schemas.openxmlformats.org/officeDocument/2006/relationships/hyperlink" Target="http://thuyloitiengiang.vn/web/thuyloitiengiang/chi-tiet-tin-tuc?id=455412" TargetMode="External"/><Relationship Id="rId538" Type="http://schemas.openxmlformats.org/officeDocument/2006/relationships/hyperlink" Target="http://thuyloitiengiang.vn/web/thuyloitiengiang/chi-tiet-tin-tuc?id=455416" TargetMode="External"/><Relationship Id="rId539" Type="http://schemas.openxmlformats.org/officeDocument/2006/relationships/hyperlink" Target="https://nhandan.vn/man-xam-nhap-sau-vao-noi-dong-o-dong-thap-post943395.html" TargetMode="External"/><Relationship Id="rId540" Type="http://schemas.openxmlformats.org/officeDocument/2006/relationships/hyperlink" Target="https://baodongthap.vn/dong-thap-xam-nhap-man-tang-tro-lai-theo-ky-trieu-cuong-dau-thang-3-am-lich-a239839.html" TargetMode="External"/><Relationship Id="rId541" Type="http://schemas.openxmlformats.org/officeDocument/2006/relationships/hyperlink" Target="http://thuyloitiengiang.vn/web/thuyloitiengiang/chi-tiet-tin-tuc?id=455328" TargetMode="External"/><Relationship Id="rId542" Type="http://schemas.openxmlformats.org/officeDocument/2006/relationships/hyperlink" Target="http://thuyloitiengiang.vn/web/thuyloitiengiang/chi-tiet-tin-tuc?id=455328" TargetMode="External"/><Relationship Id="rId543" Type="http://schemas.openxmlformats.org/officeDocument/2006/relationships/hyperlink" Target="http://thuyloitiengiang.vn/web/thuyloitiengiang/chi-tiet-tin-tuc?id=455332" TargetMode="External"/><Relationship Id="rId544" Type="http://schemas.openxmlformats.org/officeDocument/2006/relationships/hyperlink" Target="http://thuyloitiengiang.vn/web/thuyloitiengiang/chi-tiet-tin-tuc?id=455336" TargetMode="External"/><Relationship Id="rId545" Type="http://schemas.openxmlformats.org/officeDocument/2006/relationships/hyperlink" Target="http://thuyloitiengiang.vn/web/thuyloitiengiang/chi-tiet-tin-tuc?id=455412" TargetMode="External"/><Relationship Id="rId546" Type="http://schemas.openxmlformats.org/officeDocument/2006/relationships/hyperlink" Target="http://thuyloitiengiang.vn/web/thuyloitiengiang/chi-tiet-tin-tuc?id=455416" TargetMode="External"/><Relationship Id="rId547" Type="http://schemas.openxmlformats.org/officeDocument/2006/relationships/hyperlink" Target="http://thuyloitiengiang.vn/web/thuyloitiengiang/chi-tiet-tin-tuc?id=464847" TargetMode="External"/><Relationship Id="rId548" Type="http://schemas.openxmlformats.org/officeDocument/2006/relationships/hyperlink" Target="http://thuyloitiengiang.vn/web/thuyloitiengiang/chi-tiet-tin-tuc?id=464847" TargetMode="External"/><Relationship Id="rId549" Type="http://schemas.openxmlformats.org/officeDocument/2006/relationships/hyperlink" Target="http://thuyloitiengiang.vn/web/thuyloitiengiang/chi-tiet-tin-tuc?id=464851" TargetMode="External"/><Relationship Id="rId550" Type="http://schemas.openxmlformats.org/officeDocument/2006/relationships/hyperlink" Target="http://thuyloitiengiang.vn/web/thuyloitiengiang/chi-tiet-tin-tuc?id=464851" TargetMode="External"/><Relationship Id="rId551" Type="http://schemas.openxmlformats.org/officeDocument/2006/relationships/hyperlink" Target="http://thuyloitiengiang.vn/web/thuyloitiengiang/chi-tiet-tin-tuc?id=464854" TargetMode="External"/><Relationship Id="rId552" Type="http://schemas.openxmlformats.org/officeDocument/2006/relationships/hyperlink" Target="http://thuyloitiengiang.vn/ja/web/thuyloitiengiang/chi-tiet-tin-tuc?id=520619" TargetMode="External"/><Relationship Id="rId553" Type="http://schemas.openxmlformats.org/officeDocument/2006/relationships/hyperlink" Target="http://thuyloitiengiang.vn/ja/web/thuyloitiengiang/chi-tiet-tin-tuc?id=520619" TargetMode="External"/><Relationship Id="rId554" Type="http://schemas.openxmlformats.org/officeDocument/2006/relationships/hyperlink" Target="http://thuyloitiengiang.vn/ja/web/thuyloitiengiang/chi-tiet-tin-tuc?id=520621" TargetMode="External"/><Relationship Id="rId555" Type="http://schemas.openxmlformats.org/officeDocument/2006/relationships/hyperlink" Target="http://thuyloitiengiang.vn/ja/web/thuyloitiengiang/chi-tiet-tin-tuc?id=520623" TargetMode="External"/><Relationship Id="rId556" Type="http://schemas.openxmlformats.org/officeDocument/2006/relationships/hyperlink" Target="http://thuyloitiengiang.vn/en/web/thuyloitiengiang/chi-tiet-tin-tuc?id=520630" TargetMode="External"/><Relationship Id="rId557" Type="http://schemas.openxmlformats.org/officeDocument/2006/relationships/hyperlink" Target="http://thuyloitiengiang.vn/en/web/thuyloitiengiang/chi-tiet-tin-tuc?id=522066" TargetMode="External"/><Relationship Id="rId558" Type="http://schemas.openxmlformats.org/officeDocument/2006/relationships/hyperlink" Target="http://thuyloitiengiang.vn/en/web/thuyloitiengiang/chi-tiet-tin-tuc?id=522066" TargetMode="External"/><Relationship Id="rId559" Type="http://schemas.openxmlformats.org/officeDocument/2006/relationships/hyperlink" Target="https://phongchongthientaitiengiang.vn/?p=7360" TargetMode="External"/><Relationship Id="rId560" Type="http://schemas.openxmlformats.org/officeDocument/2006/relationships/hyperlink" Target="http://thuyloitiengiang.vn/web/thuyloitiengiang/chi-tiet-tin-tuc?id=455328" TargetMode="External"/><Relationship Id="rId561" Type="http://schemas.openxmlformats.org/officeDocument/2006/relationships/hyperlink" Target="http://thuyloitiengiang.vn/web/thuyloitiengiang/chi-tiet-tin-tuc?id=455332" TargetMode="External"/><Relationship Id="rId562" Type="http://schemas.openxmlformats.org/officeDocument/2006/relationships/hyperlink" Target="http://thuyloitiengiang.vn/web/thuyloitiengiang/chi-tiet-tin-tuc?id=455336" TargetMode="External"/><Relationship Id="rId563" Type="http://schemas.openxmlformats.org/officeDocument/2006/relationships/hyperlink" Target="http://thuyloitiengiang.vn/web/thuyloitiengiang/chi-tiet-tin-tuc?id=455412" TargetMode="External"/><Relationship Id="rId564" Type="http://schemas.openxmlformats.org/officeDocument/2006/relationships/hyperlink" Target="http://thuyloitiengiang.vn/web/thuyloitiengiang/chi-tiet-tin-tuc?id=455416" TargetMode="External"/><Relationship Id="rId565" Type="http://schemas.openxmlformats.org/officeDocument/2006/relationships/hyperlink" Target="https://phongchongthientaitiengiang.vn/?p=7360" TargetMode="External"/><Relationship Id="rId566" Type="http://schemas.openxmlformats.org/officeDocument/2006/relationships/hyperlink" Target="http://thuyloitiengiang.vn/web/thuyloitiengiang/chi-tiet-tin-tuc?id=455328" TargetMode="External"/><Relationship Id="rId567" Type="http://schemas.openxmlformats.org/officeDocument/2006/relationships/hyperlink" Target="http://thuyloitiengiang.vn/web/thuyloitiengiang/chi-tiet-tin-tuc?id=455332" TargetMode="External"/><Relationship Id="rId568" Type="http://schemas.openxmlformats.org/officeDocument/2006/relationships/hyperlink" Target="http://thuyloitiengiang.vn/web/thuyloitiengiang/chi-tiet-tin-tuc?id=455336" TargetMode="External"/><Relationship Id="rId569" Type="http://schemas.openxmlformats.org/officeDocument/2006/relationships/hyperlink" Target="http://thuyloitiengiang.vn/web/thuyloitiengiang/chi-tiet-tin-tuc?id=455412" TargetMode="External"/><Relationship Id="rId570" Type="http://schemas.openxmlformats.org/officeDocument/2006/relationships/hyperlink" Target="http://thuyloitiengiang.vn/web/thuyloitiengiang/chi-tiet-tin-tuc?id=455416" TargetMode="External"/><Relationship Id="rId571" Type="http://schemas.openxmlformats.org/officeDocument/2006/relationships/hyperlink" Target="https://tuoitre.vn/tien-giang-man-da-xam-nhap-sau-vao-dat-lien-hon-50km-20240212110133913.htm" TargetMode="External"/><Relationship Id="rId572" Type="http://schemas.openxmlformats.org/officeDocument/2006/relationships/hyperlink" Target="https://baodongthap.vn/tien-giang-man-xam-nhap-den-khu-vuc-cau-phu-phong-huyen-chau-thanh-a57394.html" TargetMode="External"/><Relationship Id="rId573" Type="http://schemas.openxmlformats.org/officeDocument/2006/relationships/hyperlink" Target="https://nhandan.vn/tien-giang-quyet-liet-trien-khai-cac-giai-phap-phong-chong-han-man-post799553.html" TargetMode="External"/><Relationship Id="rId574" Type="http://schemas.openxmlformats.org/officeDocument/2006/relationships/hyperlink" Target="https://baodongthap.vn/tien-giang-xam-nhap-man-tiep-tuc-tang-theo-ky-trieu-cuong-a70919.html" TargetMode="External"/><Relationship Id="rId575" Type="http://schemas.openxmlformats.org/officeDocument/2006/relationships/hyperlink" Target="https://baodongthap.vn/tien-giang-xam-nhap-man-giam-nhe-a71088.html" TargetMode="External"/><Relationship Id="rId576" Type="http://schemas.openxmlformats.org/officeDocument/2006/relationships/hyperlink" Target="https://baodongthap.vn/tien-giang-xam-nhap-man-giam-cac-cong-thuoc-du-an-bao-dinh-van-hanh-lay-nuoc-a72711.html" TargetMode="External"/><Relationship Id="rId577" Type="http://schemas.openxmlformats.org/officeDocument/2006/relationships/hyperlink" Target="https://baodongthap.vn/tien-giang-man-da-xam-nhap-toi-tp-my-tho-a13709.html" TargetMode="External"/><Relationship Id="rId578" Type="http://schemas.openxmlformats.org/officeDocument/2006/relationships/hyperlink" Target="https://baodongthap.vn/tien-giang-xam-nhap-man-tang-tro-lai-a34313.html" TargetMode="External"/><Relationship Id="rId579" Type="http://schemas.openxmlformats.org/officeDocument/2006/relationships/hyperlink" Target="https://phongchongthientaitiengiang.vn/?p=7360" TargetMode="External"/><Relationship Id="rId580" Type="http://schemas.openxmlformats.org/officeDocument/2006/relationships/hyperlink" Target="https://baodongthap.vn/tien-giang-xam-nhap-man-toi-huyen-chau-thanh-o-muc-0-42-g-l-a828.html" TargetMode="External"/><Relationship Id="rId581" Type="http://schemas.openxmlformats.org/officeDocument/2006/relationships/hyperlink" Target="https://baodongthap.vn/tien-giang-xam-nhap-man-giam-theo-trieu-cuong-nhung-van-o-muc-cao-a1148.html" TargetMode="External"/><Relationship Id="rId582" Type="http://schemas.openxmlformats.org/officeDocument/2006/relationships/hyperlink" Target="https://baodongthap.vn/tien-giang-muc-nuoc-tai-cac-kinh-rach-vung-ngot-hoa-go-cong-dang-dan-xuong-thap-a4427.html" TargetMode="External"/><Relationship Id="rId583" Type="http://schemas.openxmlformats.org/officeDocument/2006/relationships/hyperlink" Target="https://baodongthap.vn/xam-nhap-man-giam-cong-xuan-hoa-lay-gan-nuoc-ngot-a5603.html" TargetMode="External"/><Relationship Id="rId584" Type="http://schemas.openxmlformats.org/officeDocument/2006/relationships/hyperlink" Target="https://baodongthap.vn/xam-nhap-man-dat-dinh-va-se-giam-dan-trong-nhung-ngay-toi-a6163.html" TargetMode="External"/><Relationship Id="rId585" Type="http://schemas.openxmlformats.org/officeDocument/2006/relationships/hyperlink" Target="http://thuyloitiengiang.vn/web/thuyloitiengiang/chi-tiet-tin-tuc?id=455328" TargetMode="External"/><Relationship Id="rId586" Type="http://schemas.openxmlformats.org/officeDocument/2006/relationships/hyperlink" Target="http://thuyloitiengiang.vn/web/thuyloitiengiang/chi-tiet-tin-tuc?id=455332" TargetMode="External"/><Relationship Id="rId587" Type="http://schemas.openxmlformats.org/officeDocument/2006/relationships/hyperlink" Target="http://thuyloitiengiang.vn/web/thuyloitiengiang/chi-tiet-tin-tuc?id=455336" TargetMode="External"/><Relationship Id="rId588" Type="http://schemas.openxmlformats.org/officeDocument/2006/relationships/hyperlink" Target="http://thuyloitiengiang.vn/web/thuyloitiengiang/chi-tiet-tin-tuc?id=455412" TargetMode="External"/><Relationship Id="rId589" Type="http://schemas.openxmlformats.org/officeDocument/2006/relationships/hyperlink" Target="http://thuyloitiengiang.vn/web/thuyloitiengiang/chi-tiet-tin-tuc?id=455416" TargetMode="External"/><Relationship Id="rId590" Type="http://schemas.openxmlformats.org/officeDocument/2006/relationships/hyperlink" Target="https://phongchongthientaitiengiang.vn/?p=7360" TargetMode="External"/><Relationship Id="rId591" Type="http://schemas.openxmlformats.org/officeDocument/2006/relationships/hyperlink" Target="https://phongchongthientaitiengiang.vn/?p=7360" TargetMode="External"/><Relationship Id="rId592" Type="http://schemas.openxmlformats.org/officeDocument/2006/relationships/hyperlink" Target="https://baodongthap.vn/dong-thap-xam-nhap-man-tang-tro-lai-theo-ky-trieu-cuong-dau-thang-3-am-lich-a239839.html" TargetMode="External"/><Relationship Id="rId593" Type="http://schemas.openxmlformats.org/officeDocument/2006/relationships/hyperlink" Target="http://thuyloitiengiang.vn/web/thuyloitiengiang/chi-tiet-tin-tuc?id=455328" TargetMode="External"/><Relationship Id="rId594" Type="http://schemas.openxmlformats.org/officeDocument/2006/relationships/hyperlink" Target="http://thuyloitiengiang.vn/web/thuyloitiengiang/chi-tiet-tin-tuc?id=455328" TargetMode="External"/><Relationship Id="rId595" Type="http://schemas.openxmlformats.org/officeDocument/2006/relationships/hyperlink" Target="http://thuyloitiengiang.vn/web/thuyloitiengiang/chi-tiet-tin-tuc?id=455332" TargetMode="External"/><Relationship Id="rId596" Type="http://schemas.openxmlformats.org/officeDocument/2006/relationships/hyperlink" Target="http://thuyloitiengiang.vn/web/thuyloitiengiang/chi-tiet-tin-tuc?id=455336" TargetMode="External"/><Relationship Id="rId597" Type="http://schemas.openxmlformats.org/officeDocument/2006/relationships/hyperlink" Target="http://thuyloitiengiang.vn/web/thuyloitiengiang/chi-tiet-tin-tuc?id=455412" TargetMode="External"/><Relationship Id="rId598" Type="http://schemas.openxmlformats.org/officeDocument/2006/relationships/hyperlink" Target="http://thuyloitiengiang.vn/web/thuyloitiengiang/chi-tiet-tin-tuc?id=455416" TargetMode="External"/><Relationship Id="rId599" Type="http://schemas.openxmlformats.org/officeDocument/2006/relationships/hyperlink" Target="http://thuyloitiengiang.vn/web/thuyloitiengiang/chi-tiet-tin-tuc?id=464847" TargetMode="External"/><Relationship Id="rId600" Type="http://schemas.openxmlformats.org/officeDocument/2006/relationships/hyperlink" Target="http://thuyloitiengiang.vn/web/thuyloitiengiang/chi-tiet-tin-tuc?id=464851" TargetMode="External"/><Relationship Id="rId601" Type="http://schemas.openxmlformats.org/officeDocument/2006/relationships/hyperlink" Target="http://thuyloitiengiang.vn/web/thuyloitiengiang/chi-tiet-tin-tuc?id=464854" TargetMode="External"/><Relationship Id="rId602" Type="http://schemas.openxmlformats.org/officeDocument/2006/relationships/hyperlink" Target="http://thuyloitiengiang.vn/ja/web/thuyloitiengiang/chi-tiet-tin-tuc?id=520619" TargetMode="External"/><Relationship Id="rId603" Type="http://schemas.openxmlformats.org/officeDocument/2006/relationships/hyperlink" Target="http://thuyloitiengiang.vn/ja/web/thuyloitiengiang/chi-tiet-tin-tuc?id=520621" TargetMode="External"/><Relationship Id="rId604" Type="http://schemas.openxmlformats.org/officeDocument/2006/relationships/hyperlink" Target="http://thuyloitiengiang.vn/ja/web/thuyloitiengiang/chi-tiet-tin-tuc?id=520623" TargetMode="External"/><Relationship Id="rId605" Type="http://schemas.openxmlformats.org/officeDocument/2006/relationships/hyperlink" Target="http://thuyloitiengiang.vn/en/web/thuyloitiengiang/chi-tiet-tin-tuc?id=520630" TargetMode="External"/><Relationship Id="rId606" Type="http://schemas.openxmlformats.org/officeDocument/2006/relationships/hyperlink" Target="http://thuyloitiengiang.vn/en/web/thuyloitiengiang/chi-tiet-tin-tuc?id=522066" TargetMode="External"/><Relationship Id="rId607" Type="http://schemas.openxmlformats.org/officeDocument/2006/relationships/hyperlink" Target="https://phongchongthientaitiengiang.vn/?p=7360" TargetMode="External"/><Relationship Id="rId608" Type="http://schemas.openxmlformats.org/officeDocument/2006/relationships/hyperlink" Target="http://thuyloitiengiang.vn/web/thuyloitiengiang/chi-tiet-tin-tuc?id=455328" TargetMode="External"/><Relationship Id="rId609" Type="http://schemas.openxmlformats.org/officeDocument/2006/relationships/hyperlink" Target="http://thuyloitiengiang.vn/web/thuyloitiengiang/chi-tiet-tin-tuc?id=455332" TargetMode="External"/><Relationship Id="rId610" Type="http://schemas.openxmlformats.org/officeDocument/2006/relationships/hyperlink" Target="http://thuyloitiengiang.vn/web/thuyloitiengiang/chi-tiet-tin-tuc?id=455336" TargetMode="External"/><Relationship Id="rId611" Type="http://schemas.openxmlformats.org/officeDocument/2006/relationships/hyperlink" Target="http://thuyloitiengiang.vn/web/thuyloitiengiang/chi-tiet-tin-tuc?id=455412" TargetMode="External"/><Relationship Id="rId612" Type="http://schemas.openxmlformats.org/officeDocument/2006/relationships/hyperlink" Target="http://thuyloitiengiang.vn/web/thuyloitiengiang/chi-tiet-tin-tuc?id=455416" TargetMode="External"/><Relationship Id="rId613" Type="http://schemas.openxmlformats.org/officeDocument/2006/relationships/hyperlink" Target="https://phongchongthientaitiengiang.vn/?p=7360" TargetMode="External"/><Relationship Id="rId614" Type="http://schemas.openxmlformats.org/officeDocument/2006/relationships/hyperlink" Target="http://thuyloitiengiang.vn/web/thuyloitiengiang/chi-tiet-tin-tuc?id=455328" TargetMode="External"/><Relationship Id="rId615" Type="http://schemas.openxmlformats.org/officeDocument/2006/relationships/hyperlink" Target="http://thuyloitiengiang.vn/web/thuyloitiengiang/chi-tiet-tin-tuc?id=455332" TargetMode="External"/><Relationship Id="rId616" Type="http://schemas.openxmlformats.org/officeDocument/2006/relationships/hyperlink" Target="http://thuyloitiengiang.vn/web/thuyloitiengiang/chi-tiet-tin-tuc?id=455336" TargetMode="External"/><Relationship Id="rId617" Type="http://schemas.openxmlformats.org/officeDocument/2006/relationships/hyperlink" Target="http://thuyloitiengiang.vn/web/thuyloitiengiang/chi-tiet-tin-tuc?id=455412" TargetMode="External"/><Relationship Id="rId618" Type="http://schemas.openxmlformats.org/officeDocument/2006/relationships/hyperlink" Target="http://thuyloitiengiang.vn/web/thuyloitiengiang/chi-tiet-tin-tuc?id=455416" TargetMode="External"/><Relationship Id="rId619" Type="http://schemas.openxmlformats.org/officeDocument/2006/relationships/hyperlink" Target="https://phongchongthientaitiengiang.vn/?p=7360" TargetMode="External"/><Relationship Id="rId620" Type="http://schemas.openxmlformats.org/officeDocument/2006/relationships/hyperlink" Target="http://thuyloitiengiang.vn/web/thuyloitiengiang/chi-tiet-tin-tuc?id=455328" TargetMode="External"/><Relationship Id="rId621" Type="http://schemas.openxmlformats.org/officeDocument/2006/relationships/hyperlink" Target="http://thuyloitiengiang.vn/web/thuyloitiengiang/chi-tiet-tin-tuc?id=455332" TargetMode="External"/><Relationship Id="rId622" Type="http://schemas.openxmlformats.org/officeDocument/2006/relationships/hyperlink" Target="http://thuyloitiengiang.vn/web/thuyloitiengiang/chi-tiet-tin-tuc?id=455336" TargetMode="External"/><Relationship Id="rId623" Type="http://schemas.openxmlformats.org/officeDocument/2006/relationships/hyperlink" Target="http://thuyloitiengiang.vn/web/thuyloitiengiang/chi-tiet-tin-tuc?id=455412" TargetMode="External"/><Relationship Id="rId624" Type="http://schemas.openxmlformats.org/officeDocument/2006/relationships/hyperlink" Target="http://thuyloitiengiang.vn/web/thuyloitiengiang/chi-tiet-tin-tuc?id=455416" TargetMode="External"/><Relationship Id="rId625" Type="http://schemas.openxmlformats.org/officeDocument/2006/relationships/hyperlink" Target="https://phongchongthientaitiengiang.vn/?p=7360" TargetMode="External"/><Relationship Id="rId626" Type="http://schemas.openxmlformats.org/officeDocument/2006/relationships/hyperlink" Target="https://phongchongthientaitiengiang.vn/?p=7360" TargetMode="External"/><Relationship Id="rId627" Type="http://schemas.openxmlformats.org/officeDocument/2006/relationships/hyperlink" Target="http://thuyloitiengiang.vn/web/thuyloitiengiang/chi-tiet-tin-tuc?id=455328" TargetMode="External"/><Relationship Id="rId628" Type="http://schemas.openxmlformats.org/officeDocument/2006/relationships/hyperlink" Target="http://thuyloitiengiang.vn/web/thuyloitiengiang/chi-tiet-tin-tuc?id=455328" TargetMode="External"/><Relationship Id="rId629" Type="http://schemas.openxmlformats.org/officeDocument/2006/relationships/hyperlink" Target="http://thuyloitiengiang.vn/web/thuyloitiengiang/chi-tiet-tin-tuc?id=455332" TargetMode="External"/><Relationship Id="rId630" Type="http://schemas.openxmlformats.org/officeDocument/2006/relationships/hyperlink" Target="http://thuyloitiengiang.vn/web/thuyloitiengiang/chi-tiet-tin-tuc?id=455336" TargetMode="External"/><Relationship Id="rId631" Type="http://schemas.openxmlformats.org/officeDocument/2006/relationships/hyperlink" Target="http://thuyloitiengiang.vn/web/thuyloitiengiang/chi-tiet-tin-tuc?id=455412" TargetMode="External"/><Relationship Id="rId632" Type="http://schemas.openxmlformats.org/officeDocument/2006/relationships/hyperlink" Target="http://thuyloitiengiang.vn/web/thuyloitiengiang/chi-tiet-tin-tuc?id=455416" TargetMode="External"/><Relationship Id="rId633" Type="http://schemas.openxmlformats.org/officeDocument/2006/relationships/hyperlink" Target="https://pctt.tayninh.gov.vn/tinh-hinh-chat-luong-nuoc-76230/tinh-hinh-chat-luong-nuoc-xam-nhap-man-tren-cac-tuyen-song-trong-dia-ban-tinh-long-an-ngay-02-de-983594" TargetMode="External"/><Relationship Id="rId634" Type="http://schemas.openxmlformats.org/officeDocument/2006/relationships/hyperlink" Target="https://pctt.tayninh.gov.vn/tinh-hinh-chat-luong-nuoc-76230/tinh-hinh-chat-luong-nuoc-xam-nhap-man-tren-cac-tuyen-song-tren-dia-ban-tinh-long-an-tu-ngay-05--984252" TargetMode="External"/><Relationship Id="rId635" Type="http://schemas.openxmlformats.org/officeDocument/2006/relationships/hyperlink" Target="https://pctt.tayninh.gov.vn/tinh-hinh-chat-luong-nuoc-76230/tinh-hinh-chat-luong-nuoc-xam-nhap-man-tren-cac-tuyen-song-trong-dia-ban-tinh-long-an-ngay-02-de-983594" TargetMode="External"/><Relationship Id="rId636" Type="http://schemas.openxmlformats.org/officeDocument/2006/relationships/hyperlink" Target="https://pctt.tayninh.gov.vn/tinh-hinh-chat-luong-nuoc-76230/tinh-hinh-chat-luong-nuoc-xam-nhap-man-tren-cac-tuyen-song-trong-dia-ban-tinh-long-an-ngay-02-de-983594" TargetMode="External"/><Relationship Id="rId637" Type="http://schemas.openxmlformats.org/officeDocument/2006/relationships/hyperlink" Target="https://pctt.tayninh.gov.vn/tinh-hinh-chat-luong-nuoc-76230/tinh-hinh-chat-luong-nuoc-xam-nhap-man-tren-cac-tuyen-song-tren-dia-ban-tinh-long-an-tu-ngay-05--984252" TargetMode="External"/><Relationship Id="rId638" Type="http://schemas.openxmlformats.org/officeDocument/2006/relationships/hyperlink" Target="https://tamvu.tayninh.gov.vn/bao-cao-thong-ke/thong-bao-tinh-hinh-chat-luong-nuoc-xam-nhap-man-tren-cac-tuyen-song-tren-dia-ban-tinh-tay-ninh--1057028" TargetMode="External"/><Relationship Id="rId639" Type="http://schemas.openxmlformats.org/officeDocument/2006/relationships/hyperlink" Target="https://tamvu.tayninh.gov.vn/bao-cao-thong-ke/thong-bao-tinh-hinh-chat-luong-nuoc-xam-nhap-man-tren-cac-tuyen-song-tren-dia-ban-tinh-tay-ninh--1057028" TargetMode="External"/><Relationship Id="rId640" Type="http://schemas.openxmlformats.org/officeDocument/2006/relationships/hyperlink" Target="https://tamvu.tayninh.gov.vn/bao-cao-thong-ke/thong-bao-tinh-hinh-chat-luong-nuoc-xam-nhap-man-tren-cac-tuyen-song-tren-dia-ban-tinh-tay-ninh--105702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9"/>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2"/>
    <col collapsed="false" customWidth="true" hidden="false" outlineLevel="0" max="5" min="3" style="0" width="22"/>
    <col collapsed="false" customWidth="true" hidden="false" outlineLevel="0" max="6" min="6" style="0" width="42"/>
    <col collapsed="false" customWidth="true" hidden="false" outlineLevel="0" max="7" min="7" style="0" width="19"/>
    <col collapsed="false" customWidth="true" hidden="false" outlineLevel="0" max="10" min="8" style="0" width="12"/>
  </cols>
  <sheetData>
    <row r="1" customFormat="false" ht="27.75" hidden="false" customHeight="true" outlineLevel="0" collapsed="false">
      <c r="A1" s="1" t="s">
        <v>0</v>
      </c>
      <c r="B1" s="1"/>
      <c r="C1" s="1"/>
      <c r="D1" s="1"/>
      <c r="E1" s="1"/>
      <c r="F1" s="1"/>
      <c r="G1" s="1"/>
      <c r="H1" s="1"/>
      <c r="I1" s="1"/>
      <c r="J1" s="1"/>
    </row>
    <row r="2" customFormat="false" ht="19.5" hidden="false" customHeight="true" outlineLevel="0" collapsed="false">
      <c r="A2" s="2" t="s">
        <v>1</v>
      </c>
      <c r="B2" s="2"/>
      <c r="C2" s="2"/>
      <c r="D2" s="2"/>
      <c r="E2" s="2"/>
      <c r="F2" s="2"/>
      <c r="G2" s="2"/>
      <c r="H2" s="2"/>
      <c r="I2" s="2"/>
      <c r="J2" s="2"/>
    </row>
    <row r="4" customFormat="false" ht="19.5" hidden="false" customHeight="true" outlineLevel="0" collapsed="false">
      <c r="A4" s="3" t="s">
        <v>2</v>
      </c>
      <c r="B4" s="3"/>
      <c r="C4" s="3" t="s">
        <v>3</v>
      </c>
      <c r="D4" s="3"/>
      <c r="E4" s="3" t="s">
        <v>4</v>
      </c>
      <c r="F4" s="3"/>
      <c r="G4" s="3" t="s">
        <v>5</v>
      </c>
      <c r="H4" s="3"/>
      <c r="I4" s="3" t="s">
        <v>6</v>
      </c>
      <c r="J4" s="3"/>
    </row>
    <row r="5" customFormat="false" ht="25.5" hidden="false" customHeight="true" outlineLevel="0" collapsed="false">
      <c r="A5" s="4" t="n">
        <f aca="false">COUNTA(02_Stations_Sites_Catalog!A5:A62)</f>
        <v>58</v>
      </c>
      <c r="B5" s="4"/>
      <c r="C5" s="4" t="n">
        <f aca="false">COUNTA(03_Salinity_River_Series!A5:A537)+COUNTA(04_Salinity_Canal_Interior!A5:A193)</f>
        <v>722</v>
      </c>
      <c r="D5" s="4"/>
      <c r="E5" s="4" t="n">
        <f aca="false">COUNTA(13_ML_Time_Series_Ready!A5:A644)</f>
        <v>640</v>
      </c>
      <c r="F5" s="4"/>
      <c r="G5" s="4" t="n">
        <f aca="false">COUNTA(10_WaterLevel_Separated!A5:A306)+COUNTA(11_Meteorology_Separated!A5:A235)</f>
        <v>533</v>
      </c>
      <c r="H5" s="4"/>
      <c r="I5" s="4" t="n">
        <f aca="false">COUNTA(08_Sluice_Operation_Rules!A5:A12)+COUNTA(09_Sluice_Operation_Logs!A5:A61)</f>
        <v>65</v>
      </c>
      <c r="J5" s="4"/>
    </row>
    <row r="6" customFormat="false" ht="18" hidden="false" customHeight="true" outlineLevel="0" collapsed="false">
      <c r="A6" s="5" t="s">
        <v>7</v>
      </c>
      <c r="B6" s="5"/>
      <c r="C6" s="5" t="s">
        <v>8</v>
      </c>
      <c r="D6" s="5"/>
      <c r="E6" s="5" t="s">
        <v>9</v>
      </c>
      <c r="F6" s="5"/>
      <c r="G6" s="5" t="s">
        <v>10</v>
      </c>
      <c r="H6" s="5"/>
      <c r="I6" s="5" t="s">
        <v>11</v>
      </c>
      <c r="J6" s="5"/>
    </row>
    <row r="8" customFormat="false" ht="15" hidden="false" customHeight="false" outlineLevel="0" collapsed="false">
      <c r="A8" s="6" t="s">
        <v>12</v>
      </c>
    </row>
    <row r="9" customFormat="false" ht="24" hidden="false" customHeight="true" outlineLevel="0" collapsed="false">
      <c r="A9" s="7" t="s">
        <v>13</v>
      </c>
      <c r="B9" s="8" t="s">
        <v>14</v>
      </c>
      <c r="C9" s="8" t="s">
        <v>15</v>
      </c>
      <c r="D9" s="8" t="s">
        <v>16</v>
      </c>
      <c r="E9" s="8" t="s">
        <v>17</v>
      </c>
      <c r="F9" s="8" t="s">
        <v>18</v>
      </c>
      <c r="G9" s="8" t="s">
        <v>19</v>
      </c>
    </row>
    <row r="10" customFormat="false" ht="19.5" hidden="false" customHeight="true" outlineLevel="0" collapsed="false">
      <c r="A10" s="9" t="s">
        <v>20</v>
      </c>
      <c r="B10" s="10" t="n">
        <v>25</v>
      </c>
      <c r="C10" s="11" t="n">
        <v>6</v>
      </c>
      <c r="D10" s="11" t="n">
        <v>8.2</v>
      </c>
      <c r="E10" s="11" t="n">
        <v>9.5</v>
      </c>
      <c r="F10" s="11" t="n">
        <v>8.7</v>
      </c>
      <c r="G10" s="11" t="n">
        <v>6.58</v>
      </c>
    </row>
    <row r="11" customFormat="false" ht="19.5" hidden="false" customHeight="true" outlineLevel="0" collapsed="false">
      <c r="A11" s="12" t="s">
        <v>21</v>
      </c>
      <c r="B11" s="13" t="n">
        <v>35</v>
      </c>
      <c r="C11" s="14" t="n">
        <v>3.7</v>
      </c>
      <c r="D11" s="14" t="n">
        <v>8.5</v>
      </c>
      <c r="E11" s="14" t="n">
        <v>8.9</v>
      </c>
      <c r="F11" s="14" t="n">
        <v>5.7</v>
      </c>
      <c r="G11" s="14" t="n">
        <v>4.6</v>
      </c>
    </row>
    <row r="12" customFormat="false" ht="19.5" hidden="false" customHeight="true" outlineLevel="0" collapsed="false">
      <c r="A12" s="9" t="s">
        <v>22</v>
      </c>
      <c r="B12" s="10" t="n">
        <v>42</v>
      </c>
      <c r="C12" s="11" t="n">
        <v>2.05</v>
      </c>
      <c r="D12" s="11" t="n">
        <v>6.9</v>
      </c>
      <c r="E12" s="11" t="n">
        <v>8.7</v>
      </c>
      <c r="F12" s="11" t="n">
        <v>3.1</v>
      </c>
      <c r="G12" s="11" t="n">
        <v>2.54</v>
      </c>
    </row>
    <row r="13" customFormat="false" ht="19.5" hidden="false" customHeight="true" outlineLevel="0" collapsed="false">
      <c r="A13" s="12" t="s">
        <v>23</v>
      </c>
      <c r="B13" s="13" t="n">
        <v>44</v>
      </c>
      <c r="C13" s="14" t="n">
        <v>1.9</v>
      </c>
      <c r="D13" s="14" t="n">
        <v>6.26</v>
      </c>
      <c r="E13" s="14" t="n">
        <v>7.2</v>
      </c>
      <c r="F13" s="14" t="n">
        <v>2.1</v>
      </c>
      <c r="G13" s="14" t="n">
        <v>1.2</v>
      </c>
    </row>
    <row r="14" customFormat="false" ht="19.5" hidden="false" customHeight="true" outlineLevel="0" collapsed="false">
      <c r="A14" s="9" t="s">
        <v>24</v>
      </c>
      <c r="B14" s="10" t="n">
        <v>46</v>
      </c>
      <c r="C14" s="11" t="n">
        <v>1.4</v>
      </c>
      <c r="D14" s="11" t="n">
        <v>5.88</v>
      </c>
      <c r="E14" s="11" t="n">
        <v>6.8</v>
      </c>
      <c r="F14" s="11" t="n">
        <v>1.81</v>
      </c>
      <c r="G14" s="11" t="n">
        <v>0.94</v>
      </c>
    </row>
    <row r="15" customFormat="false" ht="19.5" hidden="false" customHeight="true" outlineLevel="0" collapsed="false">
      <c r="A15" s="12" t="s">
        <v>25</v>
      </c>
      <c r="B15" s="13" t="n">
        <v>49</v>
      </c>
      <c r="C15" s="14" t="n">
        <v>0.6</v>
      </c>
      <c r="D15" s="14" t="n">
        <v>5.8</v>
      </c>
      <c r="E15" s="14" t="n">
        <v>5.22</v>
      </c>
      <c r="F15" s="14" t="n">
        <v>0.83</v>
      </c>
      <c r="G15" s="14" t="n">
        <v>0.45</v>
      </c>
    </row>
    <row r="16" customFormat="false" ht="19.5" hidden="false" customHeight="true" outlineLevel="0" collapsed="false">
      <c r="A16" s="9" t="s">
        <v>26</v>
      </c>
      <c r="B16" s="10" t="n">
        <v>63</v>
      </c>
      <c r="C16" s="11" t="n">
        <v>0.3</v>
      </c>
      <c r="D16" s="11" t="n">
        <v>3.8</v>
      </c>
      <c r="E16" s="11" t="n">
        <v>2.36</v>
      </c>
      <c r="F16" s="11" t="n">
        <v>0.35</v>
      </c>
      <c r="G16" s="11" t="n">
        <v>0.05</v>
      </c>
    </row>
    <row r="17" customFormat="false" ht="19.5" hidden="false" customHeight="true" outlineLevel="0" collapsed="false">
      <c r="A17" s="12" t="s">
        <v>27</v>
      </c>
      <c r="B17" s="13" t="n">
        <v>73</v>
      </c>
      <c r="C17" s="14" t="n">
        <v>0</v>
      </c>
      <c r="D17" s="14" t="n">
        <v>1.2</v>
      </c>
      <c r="E17" s="14" t="n">
        <v>0.32</v>
      </c>
      <c r="F17" s="14" t="n">
        <v>0.1</v>
      </c>
      <c r="G17" s="14" t="n">
        <v>0</v>
      </c>
    </row>
    <row r="18" customFormat="false" ht="21.75" hidden="false" customHeight="true" outlineLevel="0" collapsed="false">
      <c r="A18" s="15" t="s">
        <v>28</v>
      </c>
      <c r="B18" s="16" t="n">
        <f aca="false">MAX(B10:B17)</f>
        <v>73</v>
      </c>
      <c r="C18" s="17" t="n">
        <f aca="false">MAX(C10:C17)</f>
        <v>6</v>
      </c>
      <c r="D18" s="17" t="n">
        <f aca="false">MAX(D10:D17)</f>
        <v>8.5</v>
      </c>
      <c r="E18" s="17" t="n">
        <f aca="false">MAX(E10:E17)</f>
        <v>9.5</v>
      </c>
      <c r="F18" s="17" t="n">
        <f aca="false">MAX(F10:F17)</f>
        <v>8.7</v>
      </c>
      <c r="G18" s="17" t="n">
        <f aca="false">MAX(G10:G17)</f>
        <v>6.58</v>
      </c>
    </row>
    <row r="45" customFormat="false" ht="15" hidden="false" customHeight="false" outlineLevel="0" collapsed="false">
      <c r="A45" s="6" t="s">
        <v>29</v>
      </c>
    </row>
    <row r="46" customFormat="false" ht="24" hidden="false" customHeight="true" outlineLevel="0" collapsed="false">
      <c r="A46" s="7" t="s">
        <v>30</v>
      </c>
      <c r="B46" s="7" t="s">
        <v>31</v>
      </c>
      <c r="C46" s="8" t="s">
        <v>32</v>
      </c>
      <c r="D46" s="8" t="s">
        <v>33</v>
      </c>
      <c r="E46" s="8" t="s">
        <v>34</v>
      </c>
      <c r="F46" s="7" t="s">
        <v>35</v>
      </c>
    </row>
    <row r="47" customFormat="false" ht="19.5" hidden="false" customHeight="true" outlineLevel="0" collapsed="false">
      <c r="A47" s="12" t="s">
        <v>36</v>
      </c>
      <c r="B47" s="12" t="s">
        <v>37</v>
      </c>
      <c r="C47" s="18" t="n">
        <v>12</v>
      </c>
      <c r="D47" s="18" t="n">
        <f aca="false">COUNTA(01_Data_Source_Catalog!A5:A17)</f>
        <v>13</v>
      </c>
      <c r="E47" s="19" t="n">
        <f aca="false">D47-C47</f>
        <v>1</v>
      </c>
      <c r="F47" s="12" t="s">
        <v>38</v>
      </c>
    </row>
    <row r="48" customFormat="false" ht="19.5" hidden="false" customHeight="true" outlineLevel="0" collapsed="false">
      <c r="A48" s="9" t="s">
        <v>39</v>
      </c>
      <c r="B48" s="9" t="s">
        <v>40</v>
      </c>
      <c r="C48" s="20" t="n">
        <v>45</v>
      </c>
      <c r="D48" s="20" t="n">
        <f aca="false">COUNTA(02_Stations_Sites_Catalog!A5:A62)</f>
        <v>58</v>
      </c>
      <c r="E48" s="21" t="n">
        <f aca="false">D48-C48</f>
        <v>13</v>
      </c>
      <c r="F48" s="9" t="s">
        <v>41</v>
      </c>
    </row>
    <row r="49" customFormat="false" ht="19.5" hidden="false" customHeight="true" outlineLevel="0" collapsed="false">
      <c r="A49" s="12" t="s">
        <v>42</v>
      </c>
      <c r="B49" s="12" t="s">
        <v>43</v>
      </c>
      <c r="C49" s="18" t="n">
        <v>106</v>
      </c>
      <c r="D49" s="18" t="n">
        <f aca="false">COUNTA(03_Salinity_River_Series!A5:A537)</f>
        <v>533</v>
      </c>
      <c r="E49" s="19" t="n">
        <f aca="false">D49-C49</f>
        <v>427</v>
      </c>
      <c r="F49" s="12" t="s">
        <v>44</v>
      </c>
    </row>
    <row r="50" customFormat="false" ht="19.5" hidden="false" customHeight="true" outlineLevel="0" collapsed="false">
      <c r="A50" s="9" t="s">
        <v>45</v>
      </c>
      <c r="B50" s="9" t="s">
        <v>46</v>
      </c>
      <c r="C50" s="20" t="n">
        <v>165</v>
      </c>
      <c r="D50" s="20" t="n">
        <f aca="false">COUNTA(04_Salinity_Canal_Interior!A5:A193)</f>
        <v>189</v>
      </c>
      <c r="E50" s="21" t="n">
        <f aca="false">D50-C50</f>
        <v>24</v>
      </c>
      <c r="F50" s="9" t="s">
        <v>47</v>
      </c>
    </row>
    <row r="51" customFormat="false" ht="19.5" hidden="false" customHeight="true" outlineLevel="0" collapsed="false">
      <c r="A51" s="12" t="s">
        <v>48</v>
      </c>
      <c r="B51" s="12" t="s">
        <v>49</v>
      </c>
      <c r="C51" s="18" t="n">
        <v>12</v>
      </c>
      <c r="D51" s="18" t="n">
        <f aca="false">COUNTA(05_RIA2_DongThap_EC_WQ!A5:A25)</f>
        <v>21</v>
      </c>
      <c r="E51" s="19" t="n">
        <f aca="false">D51-C51</f>
        <v>9</v>
      </c>
      <c r="F51" s="12" t="s">
        <v>50</v>
      </c>
    </row>
    <row r="52" customFormat="false" ht="19.5" hidden="false" customHeight="true" outlineLevel="0" collapsed="false">
      <c r="A52" s="9" t="s">
        <v>51</v>
      </c>
      <c r="B52" s="9" t="s">
        <v>52</v>
      </c>
      <c r="C52" s="20" t="n">
        <v>190</v>
      </c>
      <c r="D52" s="20" t="n">
        <f aca="false">COUNTA(06_Sluice_Gates_Catalog_190!A5:A194)</f>
        <v>190</v>
      </c>
      <c r="E52" s="21" t="n">
        <f aca="false">D52-C52</f>
        <v>0</v>
      </c>
      <c r="F52" s="9" t="s">
        <v>53</v>
      </c>
    </row>
    <row r="53" customFormat="false" ht="19.5" hidden="false" customHeight="true" outlineLevel="0" collapsed="false">
      <c r="A53" s="12" t="s">
        <v>54</v>
      </c>
      <c r="B53" s="12" t="s">
        <v>55</v>
      </c>
      <c r="C53" s="18" t="n">
        <v>50</v>
      </c>
      <c r="D53" s="18" t="n">
        <v>50</v>
      </c>
      <c r="E53" s="19" t="n">
        <f aca="false">D53-C53</f>
        <v>0</v>
      </c>
      <c r="F53" s="12" t="s">
        <v>56</v>
      </c>
    </row>
    <row r="54" customFormat="false" ht="19.5" hidden="false" customHeight="true" outlineLevel="0" collapsed="false">
      <c r="A54" s="9" t="s">
        <v>57</v>
      </c>
      <c r="B54" s="9" t="s">
        <v>58</v>
      </c>
      <c r="C54" s="20" t="n">
        <v>8</v>
      </c>
      <c r="D54" s="20" t="n">
        <f aca="false">COUNTA(08_Sluice_Operation_Rules!A5:A12)</f>
        <v>8</v>
      </c>
      <c r="E54" s="21" t="n">
        <f aca="false">D54-C54</f>
        <v>0</v>
      </c>
      <c r="F54" s="9" t="s">
        <v>59</v>
      </c>
    </row>
    <row r="55" customFormat="false" ht="19.5" hidden="false" customHeight="true" outlineLevel="0" collapsed="false">
      <c r="A55" s="12" t="s">
        <v>60</v>
      </c>
      <c r="B55" s="12" t="s">
        <v>61</v>
      </c>
      <c r="C55" s="18" t="n">
        <v>34</v>
      </c>
      <c r="D55" s="18" t="n">
        <f aca="false">COUNTA(09_Sluice_Operation_Logs!A5:A61)</f>
        <v>57</v>
      </c>
      <c r="E55" s="19" t="n">
        <f aca="false">D55-C55</f>
        <v>23</v>
      </c>
      <c r="F55" s="12" t="s">
        <v>62</v>
      </c>
    </row>
    <row r="56" customFormat="false" ht="19.5" hidden="false" customHeight="true" outlineLevel="0" collapsed="false">
      <c r="A56" s="9" t="s">
        <v>63</v>
      </c>
      <c r="B56" s="9" t="s">
        <v>64</v>
      </c>
      <c r="C56" s="20" t="n">
        <v>233</v>
      </c>
      <c r="D56" s="20" t="n">
        <f aca="false">COUNTA(10_WaterLevel_Separated!A5:A306)</f>
        <v>302</v>
      </c>
      <c r="E56" s="21" t="n">
        <f aca="false">D56-C56</f>
        <v>69</v>
      </c>
      <c r="F56" s="9" t="s">
        <v>65</v>
      </c>
    </row>
    <row r="57" customFormat="false" ht="19.5" hidden="false" customHeight="true" outlineLevel="0" collapsed="false">
      <c r="A57" s="12" t="s">
        <v>66</v>
      </c>
      <c r="B57" s="12" t="s">
        <v>67</v>
      </c>
      <c r="C57" s="18" t="n">
        <v>202</v>
      </c>
      <c r="D57" s="18" t="n">
        <f aca="false">COUNTA(11_Meteorology_Separated!A5:A235)</f>
        <v>231</v>
      </c>
      <c r="E57" s="19" t="n">
        <f aca="false">D57-C57</f>
        <v>29</v>
      </c>
      <c r="F57" s="12" t="s">
        <v>68</v>
      </c>
    </row>
    <row r="58" customFormat="false" ht="19.5" hidden="false" customHeight="true" outlineLevel="0" collapsed="false">
      <c r="A58" s="9" t="s">
        <v>69</v>
      </c>
      <c r="B58" s="9" t="s">
        <v>70</v>
      </c>
      <c r="C58" s="20" t="n">
        <v>0</v>
      </c>
      <c r="D58" s="20" t="n">
        <f aca="false">COUNTA(12_Coverage_Before_After!A5:A31)</f>
        <v>27</v>
      </c>
      <c r="E58" s="21" t="n">
        <f aca="false">D58-C58</f>
        <v>27</v>
      </c>
      <c r="F58" s="9" t="s">
        <v>71</v>
      </c>
    </row>
    <row r="59" customFormat="false" ht="19.5" hidden="false" customHeight="true" outlineLevel="0" collapsed="false">
      <c r="A59" s="12" t="s">
        <v>72</v>
      </c>
      <c r="B59" s="12" t="s">
        <v>73</v>
      </c>
      <c r="C59" s="18" t="n">
        <v>0</v>
      </c>
      <c r="D59" s="18" t="n">
        <f aca="false">COUNTA(13_ML_Time_Series_Ready!A5:A644)</f>
        <v>640</v>
      </c>
      <c r="E59" s="19" t="n">
        <f aca="false">D59-C59</f>
        <v>640</v>
      </c>
      <c r="F59" s="12" t="s">
        <v>74</v>
      </c>
    </row>
  </sheetData>
  <mergeCells count="17">
    <mergeCell ref="A1:J1"/>
    <mergeCell ref="A2:J2"/>
    <mergeCell ref="A4:B4"/>
    <mergeCell ref="C4:D4"/>
    <mergeCell ref="E4:F4"/>
    <mergeCell ref="G4:H4"/>
    <mergeCell ref="I4:J4"/>
    <mergeCell ref="A5:B5"/>
    <mergeCell ref="C5:D5"/>
    <mergeCell ref="E5:F5"/>
    <mergeCell ref="G5:H5"/>
    <mergeCell ref="I5:J5"/>
    <mergeCell ref="A6:B6"/>
    <mergeCell ref="C6:D6"/>
    <mergeCell ref="E6:F6"/>
    <mergeCell ref="G6:H6"/>
    <mergeCell ref="I6:J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30"/>
    <col collapsed="false" customWidth="true" hidden="false" outlineLevel="0" max="5" min="4" style="0" width="42"/>
    <col collapsed="false" customWidth="true" hidden="false" outlineLevel="0" max="6" min="6" style="0" width="25"/>
    <col collapsed="false" customWidth="true" hidden="false" outlineLevel="0" max="9" min="7" style="0" width="42"/>
  </cols>
  <sheetData>
    <row r="1" customFormat="false" ht="27.75" hidden="false" customHeight="true" outlineLevel="0" collapsed="false">
      <c r="A1" s="1" t="s">
        <v>75</v>
      </c>
      <c r="B1" s="1"/>
      <c r="C1" s="1"/>
      <c r="D1" s="1"/>
      <c r="E1" s="1"/>
      <c r="F1" s="1"/>
      <c r="G1" s="1"/>
      <c r="H1" s="1"/>
      <c r="I1" s="1"/>
    </row>
    <row r="2" customFormat="false" ht="19.5" hidden="false" customHeight="true" outlineLevel="0" collapsed="false">
      <c r="A2" s="2" t="s">
        <v>76</v>
      </c>
      <c r="B2" s="2"/>
      <c r="C2" s="2"/>
      <c r="D2" s="2"/>
      <c r="E2" s="2"/>
      <c r="F2" s="2"/>
      <c r="G2" s="2"/>
      <c r="H2" s="2"/>
      <c r="I2" s="2"/>
    </row>
    <row r="4" customFormat="false" ht="24" hidden="false" customHeight="true" outlineLevel="0" collapsed="false">
      <c r="A4" s="7" t="s">
        <v>77</v>
      </c>
      <c r="B4" s="7" t="s">
        <v>78</v>
      </c>
      <c r="C4" s="7" t="s">
        <v>79</v>
      </c>
      <c r="D4" s="7" t="s">
        <v>80</v>
      </c>
      <c r="E4" s="7" t="s">
        <v>81</v>
      </c>
      <c r="F4" s="7" t="s">
        <v>82</v>
      </c>
      <c r="G4" s="7" t="s">
        <v>83</v>
      </c>
      <c r="H4" s="7" t="s">
        <v>84</v>
      </c>
      <c r="I4" s="7" t="s">
        <v>85</v>
      </c>
    </row>
    <row r="5" customFormat="false" ht="19.5" hidden="false" customHeight="true" outlineLevel="0" collapsed="false">
      <c r="A5" s="12" t="s">
        <v>86</v>
      </c>
      <c r="B5" s="12" t="s">
        <v>87</v>
      </c>
      <c r="C5" s="12" t="s">
        <v>88</v>
      </c>
      <c r="D5" s="12" t="s">
        <v>89</v>
      </c>
      <c r="E5" s="12" t="s">
        <v>90</v>
      </c>
      <c r="F5" s="12" t="s">
        <v>91</v>
      </c>
      <c r="G5" s="12" t="s">
        <v>92</v>
      </c>
      <c r="H5" s="22" t="s">
        <v>93</v>
      </c>
      <c r="I5" s="12" t="s">
        <v>94</v>
      </c>
    </row>
    <row r="6" customFormat="false" ht="19.5" hidden="false" customHeight="true" outlineLevel="0" collapsed="false">
      <c r="A6" s="9" t="s">
        <v>95</v>
      </c>
      <c r="B6" s="9" t="s">
        <v>96</v>
      </c>
      <c r="C6" s="9" t="s">
        <v>97</v>
      </c>
      <c r="D6" s="9" t="s">
        <v>98</v>
      </c>
      <c r="E6" s="9" t="s">
        <v>99</v>
      </c>
      <c r="F6" s="9" t="s">
        <v>100</v>
      </c>
      <c r="G6" s="9" t="s">
        <v>101</v>
      </c>
      <c r="H6" s="23" t="s">
        <v>102</v>
      </c>
      <c r="I6" s="9" t="s">
        <v>103</v>
      </c>
    </row>
    <row r="7" customFormat="false" ht="19.5" hidden="false" customHeight="true" outlineLevel="0" collapsed="false">
      <c r="A7" s="12" t="s">
        <v>104</v>
      </c>
      <c r="B7" s="12" t="s">
        <v>105</v>
      </c>
      <c r="C7" s="12" t="s">
        <v>106</v>
      </c>
      <c r="D7" s="12" t="s">
        <v>107</v>
      </c>
      <c r="E7" s="12" t="s">
        <v>108</v>
      </c>
      <c r="F7" s="12" t="s">
        <v>109</v>
      </c>
      <c r="G7" s="12" t="s">
        <v>110</v>
      </c>
      <c r="H7" s="22" t="s">
        <v>111</v>
      </c>
      <c r="I7" s="12" t="s">
        <v>112</v>
      </c>
    </row>
    <row r="8" customFormat="false" ht="19.5" hidden="false" customHeight="true" outlineLevel="0" collapsed="false">
      <c r="A8" s="9" t="s">
        <v>113</v>
      </c>
      <c r="B8" s="9" t="s">
        <v>114</v>
      </c>
      <c r="C8" s="9" t="s">
        <v>115</v>
      </c>
      <c r="D8" s="9" t="s">
        <v>116</v>
      </c>
      <c r="E8" s="9" t="s">
        <v>117</v>
      </c>
      <c r="F8" s="9" t="s">
        <v>118</v>
      </c>
      <c r="G8" s="9" t="s">
        <v>119</v>
      </c>
      <c r="H8" s="23" t="s">
        <v>120</v>
      </c>
      <c r="I8" s="9" t="s">
        <v>121</v>
      </c>
    </row>
    <row r="9" customFormat="false" ht="19.5" hidden="false" customHeight="true" outlineLevel="0" collapsed="false">
      <c r="A9" s="12" t="s">
        <v>122</v>
      </c>
      <c r="B9" s="12" t="s">
        <v>123</v>
      </c>
      <c r="C9" s="12" t="s">
        <v>124</v>
      </c>
      <c r="D9" s="12" t="s">
        <v>125</v>
      </c>
      <c r="E9" s="12" t="s">
        <v>126</v>
      </c>
      <c r="F9" s="12" t="s">
        <v>127</v>
      </c>
      <c r="G9" s="12" t="s">
        <v>128</v>
      </c>
      <c r="H9" s="22" t="s">
        <v>129</v>
      </c>
      <c r="I9" s="12" t="s">
        <v>130</v>
      </c>
    </row>
    <row r="10" customFormat="false" ht="19.5" hidden="false" customHeight="true" outlineLevel="0" collapsed="false">
      <c r="A10" s="9" t="s">
        <v>131</v>
      </c>
      <c r="B10" s="9" t="s">
        <v>132</v>
      </c>
      <c r="C10" s="9" t="s">
        <v>124</v>
      </c>
      <c r="D10" s="9" t="s">
        <v>133</v>
      </c>
      <c r="E10" s="9" t="s">
        <v>134</v>
      </c>
      <c r="F10" s="9" t="s">
        <v>135</v>
      </c>
      <c r="G10" s="9" t="s">
        <v>136</v>
      </c>
      <c r="H10" s="23" t="s">
        <v>137</v>
      </c>
      <c r="I10" s="9" t="s">
        <v>138</v>
      </c>
    </row>
    <row r="11" customFormat="false" ht="19.5" hidden="false" customHeight="true" outlineLevel="0" collapsed="false">
      <c r="A11" s="12" t="s">
        <v>139</v>
      </c>
      <c r="B11" s="12" t="s">
        <v>140</v>
      </c>
      <c r="C11" s="12" t="s">
        <v>141</v>
      </c>
      <c r="D11" s="12" t="s">
        <v>142</v>
      </c>
      <c r="E11" s="12" t="s">
        <v>143</v>
      </c>
      <c r="F11" s="12" t="s">
        <v>144</v>
      </c>
      <c r="G11" s="12" t="s">
        <v>145</v>
      </c>
      <c r="H11" s="22" t="s">
        <v>146</v>
      </c>
      <c r="I11" s="12" t="s">
        <v>147</v>
      </c>
    </row>
    <row r="12" customFormat="false" ht="19.5" hidden="false" customHeight="true" outlineLevel="0" collapsed="false">
      <c r="A12" s="9" t="s">
        <v>148</v>
      </c>
      <c r="B12" s="9" t="s">
        <v>149</v>
      </c>
      <c r="C12" s="9" t="s">
        <v>150</v>
      </c>
      <c r="D12" s="9" t="s">
        <v>151</v>
      </c>
      <c r="E12" s="9" t="s">
        <v>152</v>
      </c>
      <c r="F12" s="9" t="s">
        <v>153</v>
      </c>
      <c r="G12" s="9" t="s">
        <v>154</v>
      </c>
      <c r="H12" s="23" t="s">
        <v>155</v>
      </c>
      <c r="I12" s="9" t="s">
        <v>156</v>
      </c>
    </row>
    <row r="13" customFormat="false" ht="19.5" hidden="false" customHeight="true" outlineLevel="0" collapsed="false">
      <c r="A13" s="12" t="s">
        <v>157</v>
      </c>
      <c r="B13" s="12" t="s">
        <v>158</v>
      </c>
      <c r="C13" s="12" t="s">
        <v>159</v>
      </c>
      <c r="D13" s="12" t="s">
        <v>160</v>
      </c>
      <c r="E13" s="12" t="s">
        <v>161</v>
      </c>
      <c r="F13" s="12" t="s">
        <v>127</v>
      </c>
      <c r="G13" s="12" t="s">
        <v>162</v>
      </c>
      <c r="H13" s="22" t="s">
        <v>163</v>
      </c>
      <c r="I13" s="12" t="s">
        <v>164</v>
      </c>
    </row>
    <row r="14" customFormat="false" ht="19.5" hidden="false" customHeight="true" outlineLevel="0" collapsed="false">
      <c r="A14" s="9" t="s">
        <v>165</v>
      </c>
      <c r="B14" s="9" t="s">
        <v>166</v>
      </c>
      <c r="C14" s="9" t="s">
        <v>167</v>
      </c>
      <c r="D14" s="9" t="s">
        <v>168</v>
      </c>
      <c r="E14" s="9" t="s">
        <v>169</v>
      </c>
      <c r="F14" s="9" t="s">
        <v>127</v>
      </c>
      <c r="G14" s="9" t="s">
        <v>170</v>
      </c>
      <c r="H14" s="23" t="s">
        <v>171</v>
      </c>
      <c r="I14" s="9" t="s">
        <v>172</v>
      </c>
    </row>
    <row r="15" customFormat="false" ht="19.5" hidden="false" customHeight="true" outlineLevel="0" collapsed="false">
      <c r="A15" s="12" t="s">
        <v>173</v>
      </c>
      <c r="B15" s="12" t="s">
        <v>174</v>
      </c>
      <c r="C15" s="12" t="s">
        <v>175</v>
      </c>
      <c r="D15" s="12" t="s">
        <v>176</v>
      </c>
      <c r="E15" s="12" t="s">
        <v>177</v>
      </c>
      <c r="F15" s="12" t="s">
        <v>178</v>
      </c>
      <c r="G15" s="12" t="s">
        <v>179</v>
      </c>
      <c r="H15" s="22" t="s">
        <v>180</v>
      </c>
      <c r="I15" s="12" t="s">
        <v>181</v>
      </c>
    </row>
    <row r="16" customFormat="false" ht="19.5" hidden="false" customHeight="true" outlineLevel="0" collapsed="false">
      <c r="A16" s="9" t="s">
        <v>182</v>
      </c>
      <c r="B16" s="9" t="s">
        <v>183</v>
      </c>
      <c r="C16" s="9" t="s">
        <v>184</v>
      </c>
      <c r="D16" s="9" t="s">
        <v>185</v>
      </c>
      <c r="E16" s="9" t="s">
        <v>186</v>
      </c>
      <c r="F16" s="9" t="s">
        <v>178</v>
      </c>
      <c r="G16" s="9" t="s">
        <v>187</v>
      </c>
      <c r="H16" s="23" t="s">
        <v>188</v>
      </c>
      <c r="I16" s="9" t="s">
        <v>189</v>
      </c>
    </row>
    <row r="17" customFormat="false" ht="19.5" hidden="false" customHeight="true" outlineLevel="0" collapsed="false">
      <c r="A17" s="12" t="s">
        <v>190</v>
      </c>
      <c r="B17" s="12" t="s">
        <v>191</v>
      </c>
      <c r="C17" s="12" t="s">
        <v>192</v>
      </c>
      <c r="D17" s="12" t="s">
        <v>193</v>
      </c>
      <c r="E17" s="12" t="s">
        <v>194</v>
      </c>
      <c r="F17" s="12" t="s">
        <v>195</v>
      </c>
      <c r="G17" s="12" t="s">
        <v>196</v>
      </c>
      <c r="H17" s="22" t="s">
        <v>197</v>
      </c>
      <c r="I17" s="12" t="s">
        <v>198</v>
      </c>
    </row>
  </sheetData>
  <mergeCells count="2">
    <mergeCell ref="A1:I1"/>
    <mergeCell ref="A2:I2"/>
  </mergeCells>
  <hyperlinks>
    <hyperlink ref="H5" r:id="rId1" display="http://thuyloitiengiang.vn/en/web/thuyloitiengiang/chi-tiet-tin-tuc?id=522066"/>
    <hyperlink ref="H6" r:id="rId2" display="https://vienthuysan2.org.vn/wp-content/uploads/2023/07/Xem-tai-day-10.pdf"/>
    <hyperlink ref="H7" r:id="rId3" display="https://dongthapxanh.vn/bai-viet/du-bao-thuy-van/ket-qua-quan-trac-chat-luong-nuoc-phuc-vu-nuoi-thuy-san-dot-2-nam-2025.html"/>
    <hyperlink ref="H8" r:id="rId4" display="https://baodongthap.vn/dong-thap-xam-nhap-man-tang-tro-lai-theo-ky-trieu-cuong-dau-thang-3-am-lich-a239839.html"/>
    <hyperlink ref="H9" r:id="rId5" display="https://thuvienphapluat.vn/van-ban/Tai-nguyen-Moi-truong/Quyet-dinh-12-2023-QD-UBND-sua-doi-phan-cap-quan-ly-khai-thac-bao-ve-cong-trinh-thuy-loi-Tien-Giang-572905.aspx"/>
    <hyperlink ref="H10" r:id="rId6" display="https://vbpl.vn/van-ban/chi-tiet/quyet-dinh-so-110-2026-qd-ubnd-ban-hanh-quy-dinh-phan-cap-giao-quan-ly-khai-thac-bao-ve-cong-trinh-thuy-loi-de-dieu-tren-dia-ban-tinh-dong-thap--55d9c250-bc86-11f1-bf85-93e2c4458027"/>
    <hyperlink ref="H11" r:id="rId7" display="https://nhandan.vn/ban-giao-dua-vao-su-dung-cong-au-nguyen-tan-thanh-post843368.html"/>
    <hyperlink ref="H12" r:id="rId8" display="https://portal.mrcmekong.org/"/>
    <hyperlink ref="H13" r:id="rId9" display="https://dahiti.dgfi.tum.de/"/>
    <hyperlink ref="H14" r:id="rId10" display="https://global-flood.emergency.copernicus.eu/"/>
    <hyperlink ref="H15" r:id="rId11" display="https://open-meteo.com/"/>
    <hyperlink ref="H16" r:id="rId12" display="https://uhslc.soest.hawaii.edu/"/>
    <hyperlink ref="H17" r:id="rId13" display="https://phongchongthientaitiengiang.vn/?p=7360"/>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23"/>
    <col collapsed="false" customWidth="true" hidden="false" outlineLevel="0" max="4" min="4" style="0" width="37"/>
    <col collapsed="false" customWidth="true" hidden="false" outlineLevel="0" max="6" min="5" style="0" width="42"/>
    <col collapsed="false" customWidth="true" hidden="false" outlineLevel="0" max="7" min="7" style="0" width="21"/>
    <col collapsed="false" customWidth="true" hidden="false" outlineLevel="0" max="8" min="8" style="0" width="23"/>
    <col collapsed="false" customWidth="true" hidden="false" outlineLevel="0" max="9" min="9" style="0" width="29"/>
    <col collapsed="false" customWidth="true" hidden="false" outlineLevel="0" max="10" min="10" style="0" width="42"/>
    <col collapsed="false" customWidth="true" hidden="false" outlineLevel="0" max="11" min="11" style="0" width="39"/>
    <col collapsed="false" customWidth="true" hidden="false" outlineLevel="0" max="12" min="12" style="0" width="42"/>
    <col collapsed="false" customWidth="true" hidden="false" outlineLevel="0" max="13" min="13" style="0" width="27"/>
    <col collapsed="false" customWidth="true" hidden="false" outlineLevel="0" max="14" min="14" style="0" width="42"/>
  </cols>
  <sheetData>
    <row r="1" customFormat="false" ht="27.75" hidden="false" customHeight="true" outlineLevel="0" collapsed="false">
      <c r="A1" s="1" t="s">
        <v>199</v>
      </c>
      <c r="B1" s="1"/>
      <c r="C1" s="1"/>
      <c r="D1" s="1"/>
      <c r="E1" s="1"/>
      <c r="F1" s="1"/>
      <c r="G1" s="1"/>
      <c r="H1" s="1"/>
      <c r="I1" s="1"/>
      <c r="J1" s="1"/>
      <c r="K1" s="1"/>
      <c r="L1" s="1"/>
      <c r="M1" s="1"/>
      <c r="N1" s="1"/>
    </row>
    <row r="2" customFormat="false" ht="19.5" hidden="false" customHeight="true" outlineLevel="0" collapsed="false">
      <c r="A2" s="2" t="s">
        <v>200</v>
      </c>
      <c r="B2" s="2"/>
      <c r="C2" s="2"/>
      <c r="D2" s="2"/>
      <c r="E2" s="2"/>
      <c r="F2" s="2"/>
      <c r="G2" s="2"/>
      <c r="H2" s="2"/>
      <c r="I2" s="2"/>
      <c r="J2" s="2"/>
      <c r="K2" s="2"/>
      <c r="L2" s="2"/>
      <c r="M2" s="2"/>
      <c r="N2" s="2"/>
    </row>
    <row r="4" customFormat="false" ht="24" hidden="false" customHeight="true" outlineLevel="0" collapsed="false">
      <c r="A4" s="24" t="s">
        <v>201</v>
      </c>
      <c r="B4" s="7" t="s">
        <v>202</v>
      </c>
      <c r="C4" s="7" t="s">
        <v>203</v>
      </c>
      <c r="D4" s="7" t="s">
        <v>204</v>
      </c>
      <c r="E4" s="7" t="s">
        <v>205</v>
      </c>
      <c r="F4" s="7" t="s">
        <v>206</v>
      </c>
      <c r="G4" s="8" t="s">
        <v>207</v>
      </c>
      <c r="H4" s="8" t="s">
        <v>208</v>
      </c>
      <c r="I4" s="24" t="s">
        <v>209</v>
      </c>
      <c r="J4" s="7" t="s">
        <v>210</v>
      </c>
      <c r="K4" s="24" t="s">
        <v>211</v>
      </c>
      <c r="L4" s="7" t="s">
        <v>212</v>
      </c>
      <c r="M4" s="24" t="s">
        <v>213</v>
      </c>
      <c r="N4" s="7" t="s">
        <v>214</v>
      </c>
    </row>
    <row r="5" customFormat="false" ht="19.5" hidden="false" customHeight="true" outlineLevel="0" collapsed="false">
      <c r="A5" s="25" t="s">
        <v>215</v>
      </c>
      <c r="B5" s="12" t="s">
        <v>216</v>
      </c>
      <c r="C5" s="12" t="s">
        <v>217</v>
      </c>
      <c r="D5" s="12" t="s">
        <v>218</v>
      </c>
      <c r="E5" s="12" t="s">
        <v>219</v>
      </c>
      <c r="F5" s="12" t="s">
        <v>220</v>
      </c>
      <c r="G5" s="26" t="n">
        <v>10.275938</v>
      </c>
      <c r="H5" s="26" t="n">
        <v>106.736828</v>
      </c>
      <c r="I5" s="25" t="s">
        <v>221</v>
      </c>
      <c r="J5" s="12" t="s">
        <v>222</v>
      </c>
      <c r="K5" s="25" t="s">
        <v>223</v>
      </c>
      <c r="L5" s="12" t="s">
        <v>224</v>
      </c>
      <c r="M5" s="25" t="s">
        <v>86</v>
      </c>
      <c r="N5" s="12" t="s">
        <v>225</v>
      </c>
    </row>
    <row r="6" customFormat="false" ht="19.5" hidden="false" customHeight="true" outlineLevel="0" collapsed="false">
      <c r="A6" s="27" t="s">
        <v>226</v>
      </c>
      <c r="B6" s="9" t="s">
        <v>227</v>
      </c>
      <c r="C6" s="9" t="s">
        <v>228</v>
      </c>
      <c r="D6" s="9" t="s">
        <v>218</v>
      </c>
      <c r="E6" s="9" t="s">
        <v>219</v>
      </c>
      <c r="F6" s="9" t="s">
        <v>229</v>
      </c>
      <c r="G6" s="28" t="n">
        <v>10.280388</v>
      </c>
      <c r="H6" s="28" t="n">
        <v>106.654422</v>
      </c>
      <c r="I6" s="27" t="s">
        <v>230</v>
      </c>
      <c r="J6" s="9" t="s">
        <v>231</v>
      </c>
      <c r="K6" s="27" t="s">
        <v>223</v>
      </c>
      <c r="L6" s="9" t="s">
        <v>224</v>
      </c>
      <c r="M6" s="27" t="s">
        <v>86</v>
      </c>
      <c r="N6" s="9" t="s">
        <v>232</v>
      </c>
    </row>
    <row r="7" customFormat="false" ht="19.5" hidden="false" customHeight="true" outlineLevel="0" collapsed="false">
      <c r="A7" s="25" t="s">
        <v>233</v>
      </c>
      <c r="B7" s="12" t="s">
        <v>234</v>
      </c>
      <c r="C7" s="12" t="s">
        <v>217</v>
      </c>
      <c r="D7" s="12" t="s">
        <v>235</v>
      </c>
      <c r="E7" s="12" t="s">
        <v>236</v>
      </c>
      <c r="F7" s="12" t="s">
        <v>237</v>
      </c>
      <c r="G7" s="26" t="n">
        <v>10.254012</v>
      </c>
      <c r="H7" s="26" t="n">
        <v>106.663078</v>
      </c>
      <c r="I7" s="25" t="s">
        <v>238</v>
      </c>
      <c r="J7" s="12" t="s">
        <v>239</v>
      </c>
      <c r="K7" s="25" t="s">
        <v>223</v>
      </c>
      <c r="L7" s="12" t="s">
        <v>224</v>
      </c>
      <c r="M7" s="25" t="s">
        <v>86</v>
      </c>
      <c r="N7" s="12" t="s">
        <v>240</v>
      </c>
    </row>
    <row r="8" customFormat="false" ht="19.5" hidden="false" customHeight="true" outlineLevel="0" collapsed="false">
      <c r="A8" s="27" t="s">
        <v>241</v>
      </c>
      <c r="B8" s="9" t="s">
        <v>242</v>
      </c>
      <c r="C8" s="9" t="s">
        <v>217</v>
      </c>
      <c r="D8" s="9" t="s">
        <v>243</v>
      </c>
      <c r="E8" s="9" t="s">
        <v>219</v>
      </c>
      <c r="F8" s="9" t="s">
        <v>244</v>
      </c>
      <c r="G8" s="28" t="n">
        <v>10.413788</v>
      </c>
      <c r="H8" s="28" t="n">
        <v>106.773453</v>
      </c>
      <c r="I8" s="27" t="s">
        <v>245</v>
      </c>
      <c r="J8" s="9" t="s">
        <v>246</v>
      </c>
      <c r="K8" s="27" t="s">
        <v>247</v>
      </c>
      <c r="L8" s="9" t="s">
        <v>248</v>
      </c>
      <c r="M8" s="27" t="s">
        <v>86</v>
      </c>
      <c r="N8" s="9" t="s">
        <v>249</v>
      </c>
    </row>
    <row r="9" customFormat="false" ht="19.5" hidden="false" customHeight="true" outlineLevel="0" collapsed="false">
      <c r="A9" s="25" t="s">
        <v>250</v>
      </c>
      <c r="B9" s="12" t="s">
        <v>251</v>
      </c>
      <c r="C9" s="12" t="s">
        <v>217</v>
      </c>
      <c r="D9" s="12" t="s">
        <v>252</v>
      </c>
      <c r="E9" s="12" t="s">
        <v>219</v>
      </c>
      <c r="F9" s="12" t="s">
        <v>253</v>
      </c>
      <c r="G9" s="26" t="n">
        <v>10.4152</v>
      </c>
      <c r="H9" s="26" t="n">
        <v>106.7125</v>
      </c>
      <c r="I9" s="25" t="s">
        <v>254</v>
      </c>
      <c r="J9" s="12" t="s">
        <v>253</v>
      </c>
      <c r="K9" s="25" t="s">
        <v>255</v>
      </c>
      <c r="L9" s="12" t="s">
        <v>224</v>
      </c>
      <c r="M9" s="25" t="s">
        <v>86</v>
      </c>
      <c r="N9" s="12" t="s">
        <v>256</v>
      </c>
    </row>
    <row r="10" customFormat="false" ht="19.5" hidden="false" customHeight="true" outlineLevel="0" collapsed="false">
      <c r="A10" s="27" t="s">
        <v>257</v>
      </c>
      <c r="B10" s="9" t="s">
        <v>258</v>
      </c>
      <c r="C10" s="9" t="s">
        <v>259</v>
      </c>
      <c r="D10" s="9" t="s">
        <v>260</v>
      </c>
      <c r="E10" s="9" t="s">
        <v>219</v>
      </c>
      <c r="F10" s="9" t="s">
        <v>261</v>
      </c>
      <c r="G10" s="28" t="n">
        <v>10.332862</v>
      </c>
      <c r="H10" s="28" t="n">
        <v>106.444016</v>
      </c>
      <c r="I10" s="27" t="s">
        <v>262</v>
      </c>
      <c r="J10" s="9" t="s">
        <v>263</v>
      </c>
      <c r="K10" s="27" t="s">
        <v>223</v>
      </c>
      <c r="L10" s="9" t="s">
        <v>264</v>
      </c>
      <c r="M10" s="27" t="s">
        <v>86</v>
      </c>
      <c r="N10" s="9" t="s">
        <v>265</v>
      </c>
    </row>
    <row r="11" customFormat="false" ht="19.5" hidden="false" customHeight="true" outlineLevel="0" collapsed="false">
      <c r="A11" s="25" t="s">
        <v>266</v>
      </c>
      <c r="B11" s="12" t="s">
        <v>267</v>
      </c>
      <c r="C11" s="12" t="s">
        <v>268</v>
      </c>
      <c r="D11" s="12" t="s">
        <v>269</v>
      </c>
      <c r="E11" s="12" t="s">
        <v>270</v>
      </c>
      <c r="F11" s="12" t="s">
        <v>271</v>
      </c>
      <c r="G11" s="26" t="n">
        <v>10.352412</v>
      </c>
      <c r="H11" s="26" t="n">
        <v>106.366984</v>
      </c>
      <c r="I11" s="25" t="s">
        <v>272</v>
      </c>
      <c r="J11" s="12" t="s">
        <v>273</v>
      </c>
      <c r="K11" s="25" t="s">
        <v>223</v>
      </c>
      <c r="L11" s="12" t="s">
        <v>274</v>
      </c>
      <c r="M11" s="25" t="s">
        <v>113</v>
      </c>
      <c r="N11" s="12" t="s">
        <v>275</v>
      </c>
    </row>
    <row r="12" customFormat="false" ht="19.5" hidden="false" customHeight="true" outlineLevel="0" collapsed="false">
      <c r="A12" s="27" t="s">
        <v>276</v>
      </c>
      <c r="B12" s="9" t="s">
        <v>277</v>
      </c>
      <c r="C12" s="9" t="s">
        <v>268</v>
      </c>
      <c r="D12" s="9" t="s">
        <v>260</v>
      </c>
      <c r="E12" s="9" t="s">
        <v>278</v>
      </c>
      <c r="F12" s="9" t="s">
        <v>279</v>
      </c>
      <c r="G12" s="28" t="n">
        <v>10.3468</v>
      </c>
      <c r="H12" s="28" t="n">
        <v>106.3245</v>
      </c>
      <c r="I12" s="27" t="s">
        <v>280</v>
      </c>
      <c r="J12" s="9" t="s">
        <v>281</v>
      </c>
      <c r="K12" s="27" t="s">
        <v>282</v>
      </c>
      <c r="L12" s="9" t="s">
        <v>248</v>
      </c>
      <c r="M12" s="27" t="s">
        <v>113</v>
      </c>
      <c r="N12" s="9" t="s">
        <v>283</v>
      </c>
    </row>
    <row r="13" customFormat="false" ht="19.5" hidden="false" customHeight="true" outlineLevel="0" collapsed="false">
      <c r="A13" s="25" t="s">
        <v>284</v>
      </c>
      <c r="B13" s="12" t="s">
        <v>285</v>
      </c>
      <c r="C13" s="12" t="s">
        <v>268</v>
      </c>
      <c r="D13" s="12" t="s">
        <v>286</v>
      </c>
      <c r="E13" s="12" t="s">
        <v>287</v>
      </c>
      <c r="F13" s="12" t="s">
        <v>288</v>
      </c>
      <c r="G13" s="26" t="n">
        <v>10.341162</v>
      </c>
      <c r="H13" s="26" t="n">
        <v>106.311047</v>
      </c>
      <c r="I13" s="25" t="s">
        <v>289</v>
      </c>
      <c r="J13" s="12" t="s">
        <v>290</v>
      </c>
      <c r="K13" s="25" t="s">
        <v>223</v>
      </c>
      <c r="L13" s="12" t="s">
        <v>248</v>
      </c>
      <c r="M13" s="25" t="s">
        <v>113</v>
      </c>
      <c r="N13" s="12" t="s">
        <v>291</v>
      </c>
    </row>
    <row r="14" customFormat="false" ht="19.5" hidden="false" customHeight="true" outlineLevel="0" collapsed="false">
      <c r="A14" s="27" t="s">
        <v>292</v>
      </c>
      <c r="B14" s="9" t="s">
        <v>293</v>
      </c>
      <c r="C14" s="9" t="s">
        <v>259</v>
      </c>
      <c r="D14" s="9" t="s">
        <v>294</v>
      </c>
      <c r="E14" s="9" t="s">
        <v>295</v>
      </c>
      <c r="F14" s="9" t="s">
        <v>296</v>
      </c>
      <c r="G14" s="28" t="n">
        <v>10.340563</v>
      </c>
      <c r="H14" s="28" t="n">
        <v>106.284438</v>
      </c>
      <c r="I14" s="27" t="s">
        <v>297</v>
      </c>
      <c r="J14" s="9" t="s">
        <v>298</v>
      </c>
      <c r="K14" s="27" t="s">
        <v>223</v>
      </c>
      <c r="L14" s="9" t="s">
        <v>224</v>
      </c>
      <c r="M14" s="27" t="s">
        <v>86</v>
      </c>
      <c r="N14" s="9" t="s">
        <v>299</v>
      </c>
    </row>
    <row r="15" customFormat="false" ht="19.5" hidden="false" customHeight="true" outlineLevel="0" collapsed="false">
      <c r="A15" s="25" t="s">
        <v>300</v>
      </c>
      <c r="B15" s="12" t="s">
        <v>301</v>
      </c>
      <c r="C15" s="12" t="s">
        <v>268</v>
      </c>
      <c r="D15" s="12" t="s">
        <v>294</v>
      </c>
      <c r="E15" s="12" t="s">
        <v>295</v>
      </c>
      <c r="F15" s="12" t="s">
        <v>302</v>
      </c>
      <c r="G15" s="26" t="n">
        <v>10.3392</v>
      </c>
      <c r="H15" s="26" t="n">
        <v>106.2835</v>
      </c>
      <c r="I15" s="25" t="s">
        <v>280</v>
      </c>
      <c r="J15" s="12" t="s">
        <v>303</v>
      </c>
      <c r="K15" s="25" t="s">
        <v>282</v>
      </c>
      <c r="L15" s="12" t="s">
        <v>248</v>
      </c>
      <c r="M15" s="25" t="s">
        <v>113</v>
      </c>
      <c r="N15" s="12" t="s">
        <v>304</v>
      </c>
    </row>
    <row r="16" customFormat="false" ht="19.5" hidden="false" customHeight="true" outlineLevel="0" collapsed="false">
      <c r="A16" s="27" t="s">
        <v>305</v>
      </c>
      <c r="B16" s="9" t="s">
        <v>306</v>
      </c>
      <c r="C16" s="9" t="s">
        <v>268</v>
      </c>
      <c r="D16" s="9" t="s">
        <v>307</v>
      </c>
      <c r="E16" s="9" t="s">
        <v>295</v>
      </c>
      <c r="F16" s="9" t="s">
        <v>308</v>
      </c>
      <c r="G16" s="28" t="n">
        <v>10.326713</v>
      </c>
      <c r="H16" s="28" t="n">
        <v>106.244484</v>
      </c>
      <c r="I16" s="27" t="s">
        <v>309</v>
      </c>
      <c r="J16" s="9" t="s">
        <v>310</v>
      </c>
      <c r="K16" s="27" t="s">
        <v>223</v>
      </c>
      <c r="L16" s="9" t="s">
        <v>248</v>
      </c>
      <c r="M16" s="27" t="s">
        <v>113</v>
      </c>
      <c r="N16" s="9" t="s">
        <v>311</v>
      </c>
    </row>
    <row r="17" customFormat="false" ht="19.5" hidden="false" customHeight="true" outlineLevel="0" collapsed="false">
      <c r="A17" s="25" t="s">
        <v>312</v>
      </c>
      <c r="B17" s="12" t="s">
        <v>313</v>
      </c>
      <c r="C17" s="12" t="s">
        <v>259</v>
      </c>
      <c r="D17" s="12" t="s">
        <v>314</v>
      </c>
      <c r="E17" s="12" t="s">
        <v>295</v>
      </c>
      <c r="F17" s="12" t="s">
        <v>315</v>
      </c>
      <c r="G17" s="26" t="n">
        <v>10.322812</v>
      </c>
      <c r="H17" s="26" t="n">
        <v>106.207266</v>
      </c>
      <c r="I17" s="25" t="s">
        <v>316</v>
      </c>
      <c r="J17" s="12" t="s">
        <v>317</v>
      </c>
      <c r="K17" s="25" t="s">
        <v>223</v>
      </c>
      <c r="L17" s="12" t="s">
        <v>224</v>
      </c>
      <c r="M17" s="25" t="s">
        <v>86</v>
      </c>
      <c r="N17" s="12" t="s">
        <v>318</v>
      </c>
    </row>
    <row r="18" customFormat="false" ht="19.5" hidden="false" customHeight="true" outlineLevel="0" collapsed="false">
      <c r="A18" s="27" t="s">
        <v>319</v>
      </c>
      <c r="B18" s="9" t="s">
        <v>320</v>
      </c>
      <c r="C18" s="9" t="s">
        <v>321</v>
      </c>
      <c r="D18" s="9" t="s">
        <v>322</v>
      </c>
      <c r="E18" s="9" t="s">
        <v>295</v>
      </c>
      <c r="F18" s="9" t="s">
        <v>323</v>
      </c>
      <c r="G18" s="28" t="n">
        <v>10.309662</v>
      </c>
      <c r="H18" s="28" t="n">
        <v>106.150422</v>
      </c>
      <c r="I18" s="27" t="s">
        <v>324</v>
      </c>
      <c r="J18" s="9" t="s">
        <v>325</v>
      </c>
      <c r="K18" s="27" t="s">
        <v>223</v>
      </c>
      <c r="L18" s="9" t="s">
        <v>326</v>
      </c>
      <c r="M18" s="27" t="s">
        <v>86</v>
      </c>
      <c r="N18" s="9" t="s">
        <v>327</v>
      </c>
    </row>
    <row r="19" customFormat="false" ht="19.5" hidden="false" customHeight="true" outlineLevel="0" collapsed="false">
      <c r="A19" s="25" t="s">
        <v>328</v>
      </c>
      <c r="B19" s="12" t="s">
        <v>329</v>
      </c>
      <c r="C19" s="12" t="s">
        <v>321</v>
      </c>
      <c r="D19" s="12" t="s">
        <v>330</v>
      </c>
      <c r="E19" s="12" t="s">
        <v>331</v>
      </c>
      <c r="F19" s="12" t="s">
        <v>332</v>
      </c>
      <c r="G19" s="26" t="n">
        <v>10.3365</v>
      </c>
      <c r="H19" s="26" t="n">
        <v>106.124</v>
      </c>
      <c r="I19" s="25" t="s">
        <v>254</v>
      </c>
      <c r="J19" s="12" t="s">
        <v>332</v>
      </c>
      <c r="K19" s="25" t="s">
        <v>255</v>
      </c>
      <c r="L19" s="12" t="s">
        <v>326</v>
      </c>
      <c r="M19" s="25" t="s">
        <v>86</v>
      </c>
      <c r="N19" s="12" t="s">
        <v>333</v>
      </c>
    </row>
    <row r="20" customFormat="false" ht="19.5" hidden="false" customHeight="true" outlineLevel="0" collapsed="false">
      <c r="A20" s="27" t="s">
        <v>334</v>
      </c>
      <c r="B20" s="9" t="s">
        <v>335</v>
      </c>
      <c r="C20" s="9" t="s">
        <v>321</v>
      </c>
      <c r="D20" s="9" t="s">
        <v>336</v>
      </c>
      <c r="E20" s="9" t="s">
        <v>337</v>
      </c>
      <c r="F20" s="9" t="s">
        <v>338</v>
      </c>
      <c r="G20" s="28" t="n">
        <v>10.330488</v>
      </c>
      <c r="H20" s="28" t="n">
        <v>106.058328</v>
      </c>
      <c r="I20" s="27" t="s">
        <v>339</v>
      </c>
      <c r="J20" s="9" t="s">
        <v>340</v>
      </c>
      <c r="K20" s="27" t="s">
        <v>223</v>
      </c>
      <c r="L20" s="9" t="s">
        <v>326</v>
      </c>
      <c r="M20" s="27" t="s">
        <v>86</v>
      </c>
      <c r="N20" s="9" t="s">
        <v>341</v>
      </c>
    </row>
    <row r="21" customFormat="false" ht="19.5" hidden="false" customHeight="true" outlineLevel="0" collapsed="false">
      <c r="A21" s="25" t="s">
        <v>342</v>
      </c>
      <c r="B21" s="12" t="s">
        <v>343</v>
      </c>
      <c r="C21" s="12" t="s">
        <v>268</v>
      </c>
      <c r="D21" s="12" t="s">
        <v>344</v>
      </c>
      <c r="E21" s="12" t="s">
        <v>345</v>
      </c>
      <c r="F21" s="12" t="s">
        <v>346</v>
      </c>
      <c r="G21" s="26" t="n">
        <v>10.258</v>
      </c>
      <c r="H21" s="26" t="n">
        <v>106.155</v>
      </c>
      <c r="I21" s="25" t="s">
        <v>280</v>
      </c>
      <c r="J21" s="12" t="s">
        <v>347</v>
      </c>
      <c r="K21" s="25" t="s">
        <v>282</v>
      </c>
      <c r="L21" s="12" t="s">
        <v>248</v>
      </c>
      <c r="M21" s="25" t="s">
        <v>113</v>
      </c>
      <c r="N21" s="12" t="s">
        <v>348</v>
      </c>
    </row>
    <row r="22" customFormat="false" ht="19.5" hidden="false" customHeight="true" outlineLevel="0" collapsed="false">
      <c r="A22" s="27" t="s">
        <v>349</v>
      </c>
      <c r="B22" s="9" t="s">
        <v>350</v>
      </c>
      <c r="C22" s="9" t="s">
        <v>268</v>
      </c>
      <c r="D22" s="9" t="s">
        <v>260</v>
      </c>
      <c r="E22" s="9" t="s">
        <v>351</v>
      </c>
      <c r="F22" s="9" t="s">
        <v>352</v>
      </c>
      <c r="G22" s="28" t="n">
        <v>10.312</v>
      </c>
      <c r="H22" s="28" t="n">
        <v>106.195</v>
      </c>
      <c r="I22" s="27" t="s">
        <v>280</v>
      </c>
      <c r="J22" s="9" t="s">
        <v>353</v>
      </c>
      <c r="K22" s="27" t="s">
        <v>282</v>
      </c>
      <c r="L22" s="9" t="s">
        <v>248</v>
      </c>
      <c r="M22" s="27" t="s">
        <v>113</v>
      </c>
      <c r="N22" s="9" t="s">
        <v>354</v>
      </c>
    </row>
    <row r="23" customFormat="false" ht="19.5" hidden="false" customHeight="true" outlineLevel="0" collapsed="false">
      <c r="A23" s="25" t="s">
        <v>355</v>
      </c>
      <c r="B23" s="12" t="s">
        <v>356</v>
      </c>
      <c r="C23" s="12" t="s">
        <v>268</v>
      </c>
      <c r="D23" s="12" t="s">
        <v>260</v>
      </c>
      <c r="E23" s="12" t="s">
        <v>357</v>
      </c>
      <c r="F23" s="12" t="s">
        <v>358</v>
      </c>
      <c r="G23" s="26" t="n">
        <v>10.2764</v>
      </c>
      <c r="H23" s="26" t="n">
        <v>105.9103</v>
      </c>
      <c r="I23" s="25" t="s">
        <v>280</v>
      </c>
      <c r="J23" s="12" t="s">
        <v>359</v>
      </c>
      <c r="K23" s="25" t="s">
        <v>282</v>
      </c>
      <c r="L23" s="12" t="s">
        <v>360</v>
      </c>
      <c r="M23" s="25" t="s">
        <v>113</v>
      </c>
      <c r="N23" s="12" t="s">
        <v>361</v>
      </c>
    </row>
    <row r="24" customFormat="false" ht="19.5" hidden="false" customHeight="true" outlineLevel="0" collapsed="false">
      <c r="A24" s="27" t="s">
        <v>362</v>
      </c>
      <c r="B24" s="9" t="s">
        <v>363</v>
      </c>
      <c r="C24" s="9" t="s">
        <v>364</v>
      </c>
      <c r="D24" s="9" t="s">
        <v>260</v>
      </c>
      <c r="E24" s="9" t="s">
        <v>365</v>
      </c>
      <c r="F24" s="9" t="s">
        <v>366</v>
      </c>
      <c r="G24" s="28" t="n">
        <v>10.80062</v>
      </c>
      <c r="H24" s="28" t="n">
        <v>105.248016</v>
      </c>
      <c r="I24" s="27" t="s">
        <v>362</v>
      </c>
      <c r="J24" s="9" t="s">
        <v>367</v>
      </c>
      <c r="K24" s="27" t="s">
        <v>368</v>
      </c>
      <c r="L24" s="9" t="s">
        <v>369</v>
      </c>
      <c r="M24" s="27" t="s">
        <v>148</v>
      </c>
      <c r="N24" s="9" t="s">
        <v>370</v>
      </c>
    </row>
    <row r="25" customFormat="false" ht="19.5" hidden="false" customHeight="true" outlineLevel="0" collapsed="false">
      <c r="A25" s="25" t="s">
        <v>371</v>
      </c>
      <c r="B25" s="12" t="s">
        <v>372</v>
      </c>
      <c r="C25" s="12" t="s">
        <v>364</v>
      </c>
      <c r="D25" s="12" t="s">
        <v>260</v>
      </c>
      <c r="E25" s="12" t="s">
        <v>373</v>
      </c>
      <c r="F25" s="12" t="s">
        <v>374</v>
      </c>
      <c r="G25" s="26" t="n">
        <v>10.359122</v>
      </c>
      <c r="H25" s="26" t="n">
        <v>106.353</v>
      </c>
      <c r="I25" s="25" t="s">
        <v>371</v>
      </c>
      <c r="J25" s="12" t="s">
        <v>375</v>
      </c>
      <c r="K25" s="25" t="s">
        <v>368</v>
      </c>
      <c r="L25" s="12" t="s">
        <v>369</v>
      </c>
      <c r="M25" s="25" t="s">
        <v>148</v>
      </c>
      <c r="N25" s="12" t="s">
        <v>376</v>
      </c>
    </row>
    <row r="26" customFormat="false" ht="19.5" hidden="false" customHeight="true" outlineLevel="0" collapsed="false">
      <c r="A26" s="27" t="s">
        <v>377</v>
      </c>
      <c r="B26" s="9" t="s">
        <v>378</v>
      </c>
      <c r="C26" s="9" t="s">
        <v>321</v>
      </c>
      <c r="D26" s="9" t="s">
        <v>379</v>
      </c>
      <c r="E26" s="9" t="s">
        <v>219</v>
      </c>
      <c r="F26" s="9" t="s">
        <v>380</v>
      </c>
      <c r="G26" s="28" t="n">
        <v>10.300887</v>
      </c>
      <c r="H26" s="28" t="n">
        <v>106.548484</v>
      </c>
      <c r="I26" s="27" t="s">
        <v>381</v>
      </c>
      <c r="J26" s="9" t="s">
        <v>382</v>
      </c>
      <c r="K26" s="27" t="s">
        <v>223</v>
      </c>
      <c r="L26" s="9" t="s">
        <v>383</v>
      </c>
      <c r="M26" s="27" t="s">
        <v>86</v>
      </c>
      <c r="N26" s="9" t="s">
        <v>384</v>
      </c>
    </row>
    <row r="27" customFormat="false" ht="19.5" hidden="false" customHeight="true" outlineLevel="0" collapsed="false">
      <c r="A27" s="25" t="s">
        <v>385</v>
      </c>
      <c r="B27" s="12" t="s">
        <v>386</v>
      </c>
      <c r="C27" s="12" t="s">
        <v>321</v>
      </c>
      <c r="D27" s="12" t="s">
        <v>387</v>
      </c>
      <c r="E27" s="12" t="s">
        <v>219</v>
      </c>
      <c r="F27" s="12" t="s">
        <v>388</v>
      </c>
      <c r="G27" s="26" t="n">
        <v>10.385387</v>
      </c>
      <c r="H27" s="26" t="n">
        <v>106.657922</v>
      </c>
      <c r="I27" s="25" t="s">
        <v>389</v>
      </c>
      <c r="J27" s="12" t="s">
        <v>390</v>
      </c>
      <c r="K27" s="25" t="s">
        <v>223</v>
      </c>
      <c r="L27" s="12" t="s">
        <v>383</v>
      </c>
      <c r="M27" s="25" t="s">
        <v>86</v>
      </c>
      <c r="N27" s="12" t="s">
        <v>391</v>
      </c>
    </row>
    <row r="28" customFormat="false" ht="19.5" hidden="false" customHeight="true" outlineLevel="0" collapsed="false">
      <c r="A28" s="27" t="s">
        <v>392</v>
      </c>
      <c r="B28" s="9" t="s">
        <v>393</v>
      </c>
      <c r="C28" s="9" t="s">
        <v>321</v>
      </c>
      <c r="D28" s="9" t="s">
        <v>394</v>
      </c>
      <c r="E28" s="9" t="s">
        <v>219</v>
      </c>
      <c r="F28" s="9" t="s">
        <v>395</v>
      </c>
      <c r="G28" s="28" t="n">
        <v>10.311063</v>
      </c>
      <c r="H28" s="28" t="n">
        <v>106.710484</v>
      </c>
      <c r="I28" s="27" t="s">
        <v>396</v>
      </c>
      <c r="J28" s="9" t="s">
        <v>397</v>
      </c>
      <c r="K28" s="27" t="s">
        <v>223</v>
      </c>
      <c r="L28" s="9" t="s">
        <v>383</v>
      </c>
      <c r="M28" s="27" t="s">
        <v>86</v>
      </c>
      <c r="N28" s="9" t="s">
        <v>398</v>
      </c>
    </row>
    <row r="29" customFormat="false" ht="19.5" hidden="false" customHeight="true" outlineLevel="0" collapsed="false">
      <c r="A29" s="25" t="s">
        <v>399</v>
      </c>
      <c r="B29" s="12" t="s">
        <v>400</v>
      </c>
      <c r="C29" s="12" t="s">
        <v>321</v>
      </c>
      <c r="D29" s="12" t="s">
        <v>401</v>
      </c>
      <c r="E29" s="12" t="s">
        <v>219</v>
      </c>
      <c r="F29" s="12" t="s">
        <v>402</v>
      </c>
      <c r="G29" s="26" t="n">
        <v>10.359437</v>
      </c>
      <c r="H29" s="26" t="n">
        <v>106.775703</v>
      </c>
      <c r="I29" s="25" t="s">
        <v>403</v>
      </c>
      <c r="J29" s="12" t="s">
        <v>404</v>
      </c>
      <c r="K29" s="25" t="s">
        <v>223</v>
      </c>
      <c r="L29" s="12" t="s">
        <v>383</v>
      </c>
      <c r="M29" s="25" t="s">
        <v>86</v>
      </c>
      <c r="N29" s="12" t="s">
        <v>398</v>
      </c>
    </row>
    <row r="30" customFormat="false" ht="19.5" hidden="false" customHeight="true" outlineLevel="0" collapsed="false">
      <c r="A30" s="27" t="s">
        <v>405</v>
      </c>
      <c r="B30" s="9" t="s">
        <v>406</v>
      </c>
      <c r="C30" s="9" t="s">
        <v>321</v>
      </c>
      <c r="D30" s="9" t="s">
        <v>407</v>
      </c>
      <c r="E30" s="9" t="s">
        <v>219</v>
      </c>
      <c r="F30" s="9" t="s">
        <v>408</v>
      </c>
      <c r="G30" s="28" t="n">
        <v>10.407787</v>
      </c>
      <c r="H30" s="28" t="n">
        <v>106.645641</v>
      </c>
      <c r="I30" s="27" t="s">
        <v>409</v>
      </c>
      <c r="J30" s="9" t="s">
        <v>410</v>
      </c>
      <c r="K30" s="27" t="s">
        <v>223</v>
      </c>
      <c r="L30" s="9" t="s">
        <v>383</v>
      </c>
      <c r="M30" s="27" t="s">
        <v>86</v>
      </c>
      <c r="N30" s="9" t="s">
        <v>398</v>
      </c>
    </row>
    <row r="31" customFormat="false" ht="19.5" hidden="false" customHeight="true" outlineLevel="0" collapsed="false">
      <c r="A31" s="25" t="s">
        <v>411</v>
      </c>
      <c r="B31" s="12" t="s">
        <v>412</v>
      </c>
      <c r="C31" s="12" t="s">
        <v>321</v>
      </c>
      <c r="D31" s="12" t="s">
        <v>413</v>
      </c>
      <c r="E31" s="12" t="s">
        <v>219</v>
      </c>
      <c r="F31" s="12" t="s">
        <v>414</v>
      </c>
      <c r="G31" s="26" t="n">
        <v>10.412</v>
      </c>
      <c r="H31" s="26" t="n">
        <v>106.565</v>
      </c>
      <c r="I31" s="25" t="s">
        <v>254</v>
      </c>
      <c r="J31" s="12" t="s">
        <v>414</v>
      </c>
      <c r="K31" s="25" t="s">
        <v>255</v>
      </c>
      <c r="L31" s="12" t="s">
        <v>383</v>
      </c>
      <c r="M31" s="25" t="s">
        <v>86</v>
      </c>
      <c r="N31" s="12" t="s">
        <v>415</v>
      </c>
    </row>
    <row r="32" customFormat="false" ht="19.5" hidden="false" customHeight="true" outlineLevel="0" collapsed="false">
      <c r="A32" s="27" t="s">
        <v>416</v>
      </c>
      <c r="B32" s="9" t="s">
        <v>417</v>
      </c>
      <c r="C32" s="9" t="s">
        <v>321</v>
      </c>
      <c r="D32" s="9" t="s">
        <v>418</v>
      </c>
      <c r="E32" s="9" t="s">
        <v>219</v>
      </c>
      <c r="F32" s="9" t="s">
        <v>414</v>
      </c>
      <c r="G32" s="28" t="n">
        <v>10.418</v>
      </c>
      <c r="H32" s="28" t="n">
        <v>106.578</v>
      </c>
      <c r="I32" s="27" t="s">
        <v>254</v>
      </c>
      <c r="J32" s="9" t="s">
        <v>414</v>
      </c>
      <c r="K32" s="27" t="s">
        <v>255</v>
      </c>
      <c r="L32" s="9" t="s">
        <v>383</v>
      </c>
      <c r="M32" s="27" t="s">
        <v>86</v>
      </c>
      <c r="N32" s="9" t="s">
        <v>419</v>
      </c>
    </row>
    <row r="33" customFormat="false" ht="19.5" hidden="false" customHeight="true" outlineLevel="0" collapsed="false">
      <c r="A33" s="25" t="s">
        <v>420</v>
      </c>
      <c r="B33" s="12" t="s">
        <v>421</v>
      </c>
      <c r="C33" s="12" t="s">
        <v>321</v>
      </c>
      <c r="D33" s="12" t="s">
        <v>422</v>
      </c>
      <c r="E33" s="12" t="s">
        <v>219</v>
      </c>
      <c r="F33" s="12" t="s">
        <v>423</v>
      </c>
      <c r="G33" s="26" t="n">
        <v>10.432513</v>
      </c>
      <c r="H33" s="26" t="n">
        <v>106.691891</v>
      </c>
      <c r="I33" s="25" t="s">
        <v>424</v>
      </c>
      <c r="J33" s="12" t="s">
        <v>425</v>
      </c>
      <c r="K33" s="25" t="s">
        <v>223</v>
      </c>
      <c r="L33" s="12" t="s">
        <v>383</v>
      </c>
      <c r="M33" s="25" t="s">
        <v>86</v>
      </c>
      <c r="N33" s="12" t="s">
        <v>398</v>
      </c>
    </row>
    <row r="34" customFormat="false" ht="19.5" hidden="false" customHeight="true" outlineLevel="0" collapsed="false">
      <c r="A34" s="27" t="s">
        <v>426</v>
      </c>
      <c r="B34" s="9" t="s">
        <v>427</v>
      </c>
      <c r="C34" s="9" t="s">
        <v>321</v>
      </c>
      <c r="D34" s="9" t="s">
        <v>428</v>
      </c>
      <c r="E34" s="9" t="s">
        <v>219</v>
      </c>
      <c r="F34" s="9" t="s">
        <v>429</v>
      </c>
      <c r="G34" s="28" t="n">
        <v>10.437938</v>
      </c>
      <c r="H34" s="28" t="n">
        <v>106.737688</v>
      </c>
      <c r="I34" s="27" t="s">
        <v>430</v>
      </c>
      <c r="J34" s="9" t="s">
        <v>431</v>
      </c>
      <c r="K34" s="27" t="s">
        <v>223</v>
      </c>
      <c r="L34" s="9" t="s">
        <v>383</v>
      </c>
      <c r="M34" s="27" t="s">
        <v>86</v>
      </c>
      <c r="N34" s="9" t="s">
        <v>432</v>
      </c>
    </row>
    <row r="35" customFormat="false" ht="19.5" hidden="false" customHeight="true" outlineLevel="0" collapsed="false">
      <c r="A35" s="25" t="s">
        <v>433</v>
      </c>
      <c r="B35" s="12" t="s">
        <v>434</v>
      </c>
      <c r="C35" s="12" t="s">
        <v>321</v>
      </c>
      <c r="D35" s="12" t="s">
        <v>435</v>
      </c>
      <c r="E35" s="12" t="s">
        <v>219</v>
      </c>
      <c r="F35" s="12" t="s">
        <v>436</v>
      </c>
      <c r="G35" s="26" t="n">
        <v>10.311738</v>
      </c>
      <c r="H35" s="26" t="n">
        <v>106.661703</v>
      </c>
      <c r="I35" s="25" t="s">
        <v>437</v>
      </c>
      <c r="J35" s="12" t="s">
        <v>438</v>
      </c>
      <c r="K35" s="25" t="s">
        <v>223</v>
      </c>
      <c r="L35" s="12" t="s">
        <v>383</v>
      </c>
      <c r="M35" s="25" t="s">
        <v>86</v>
      </c>
      <c r="N35" s="12" t="s">
        <v>398</v>
      </c>
    </row>
    <row r="36" customFormat="false" ht="19.5" hidden="false" customHeight="true" outlineLevel="0" collapsed="false">
      <c r="A36" s="27" t="s">
        <v>439</v>
      </c>
      <c r="B36" s="9" t="s">
        <v>440</v>
      </c>
      <c r="C36" s="9" t="s">
        <v>441</v>
      </c>
      <c r="D36" s="9" t="s">
        <v>442</v>
      </c>
      <c r="E36" s="9" t="s">
        <v>219</v>
      </c>
      <c r="F36" s="9" t="s">
        <v>443</v>
      </c>
      <c r="G36" s="28" t="n">
        <v>10.291163</v>
      </c>
      <c r="H36" s="28" t="n">
        <v>106.779016</v>
      </c>
      <c r="I36" s="27" t="s">
        <v>444</v>
      </c>
      <c r="J36" s="9" t="s">
        <v>445</v>
      </c>
      <c r="K36" s="27" t="s">
        <v>223</v>
      </c>
      <c r="L36" s="9" t="s">
        <v>446</v>
      </c>
      <c r="M36" s="27" t="s">
        <v>86</v>
      </c>
      <c r="N36" s="9" t="s">
        <v>447</v>
      </c>
    </row>
    <row r="37" customFormat="false" ht="19.5" hidden="false" customHeight="true" outlineLevel="0" collapsed="false">
      <c r="A37" s="25" t="s">
        <v>448</v>
      </c>
      <c r="B37" s="12" t="s">
        <v>449</v>
      </c>
      <c r="C37" s="12" t="s">
        <v>441</v>
      </c>
      <c r="D37" s="12" t="s">
        <v>450</v>
      </c>
      <c r="E37" s="12" t="s">
        <v>219</v>
      </c>
      <c r="F37" s="12" t="s">
        <v>451</v>
      </c>
      <c r="G37" s="26" t="n">
        <v>10.335</v>
      </c>
      <c r="H37" s="26" t="n">
        <v>106.715</v>
      </c>
      <c r="I37" s="25" t="s">
        <v>254</v>
      </c>
      <c r="J37" s="12" t="s">
        <v>452</v>
      </c>
      <c r="K37" s="25" t="s">
        <v>255</v>
      </c>
      <c r="L37" s="12" t="s">
        <v>453</v>
      </c>
      <c r="M37" s="25" t="s">
        <v>86</v>
      </c>
      <c r="N37" s="12" t="s">
        <v>454</v>
      </c>
    </row>
    <row r="38" customFormat="false" ht="19.5" hidden="false" customHeight="true" outlineLevel="0" collapsed="false">
      <c r="A38" s="27" t="s">
        <v>455</v>
      </c>
      <c r="B38" s="9" t="s">
        <v>456</v>
      </c>
      <c r="C38" s="9" t="s">
        <v>441</v>
      </c>
      <c r="D38" s="9" t="s">
        <v>457</v>
      </c>
      <c r="E38" s="9" t="s">
        <v>219</v>
      </c>
      <c r="F38" s="9" t="s">
        <v>220</v>
      </c>
      <c r="G38" s="28" t="n">
        <v>10.291163</v>
      </c>
      <c r="H38" s="28" t="n">
        <v>106.779016</v>
      </c>
      <c r="I38" s="27" t="s">
        <v>444</v>
      </c>
      <c r="J38" s="9" t="s">
        <v>445</v>
      </c>
      <c r="K38" s="27" t="s">
        <v>223</v>
      </c>
      <c r="L38" s="9" t="s">
        <v>453</v>
      </c>
      <c r="M38" s="27" t="s">
        <v>86</v>
      </c>
      <c r="N38" s="9" t="s">
        <v>458</v>
      </c>
    </row>
    <row r="39" customFormat="false" ht="19.5" hidden="false" customHeight="true" outlineLevel="0" collapsed="false">
      <c r="A39" s="25" t="s">
        <v>459</v>
      </c>
      <c r="B39" s="12" t="s">
        <v>460</v>
      </c>
      <c r="C39" s="12" t="s">
        <v>321</v>
      </c>
      <c r="D39" s="12" t="s">
        <v>461</v>
      </c>
      <c r="E39" s="12" t="s">
        <v>462</v>
      </c>
      <c r="F39" s="12" t="s">
        <v>463</v>
      </c>
      <c r="G39" s="26" t="n">
        <v>10.3685</v>
      </c>
      <c r="H39" s="26" t="n">
        <v>106.378</v>
      </c>
      <c r="I39" s="25" t="s">
        <v>254</v>
      </c>
      <c r="J39" s="12" t="s">
        <v>464</v>
      </c>
      <c r="K39" s="25" t="s">
        <v>255</v>
      </c>
      <c r="L39" s="12" t="s">
        <v>383</v>
      </c>
      <c r="M39" s="25" t="s">
        <v>86</v>
      </c>
      <c r="N39" s="12" t="s">
        <v>465</v>
      </c>
    </row>
    <row r="40" customFormat="false" ht="19.5" hidden="false" customHeight="true" outlineLevel="0" collapsed="false">
      <c r="A40" s="27" t="s">
        <v>466</v>
      </c>
      <c r="B40" s="9" t="s">
        <v>467</v>
      </c>
      <c r="C40" s="9" t="s">
        <v>321</v>
      </c>
      <c r="D40" s="9" t="s">
        <v>468</v>
      </c>
      <c r="E40" s="9" t="s">
        <v>462</v>
      </c>
      <c r="F40" s="9" t="s">
        <v>469</v>
      </c>
      <c r="G40" s="28" t="n">
        <v>10.376638</v>
      </c>
      <c r="H40" s="28" t="n">
        <v>106.344297</v>
      </c>
      <c r="I40" s="27" t="s">
        <v>470</v>
      </c>
      <c r="J40" s="9" t="s">
        <v>471</v>
      </c>
      <c r="K40" s="27" t="s">
        <v>223</v>
      </c>
      <c r="L40" s="9" t="s">
        <v>383</v>
      </c>
      <c r="M40" s="27" t="s">
        <v>86</v>
      </c>
      <c r="N40" s="9" t="s">
        <v>472</v>
      </c>
    </row>
    <row r="41" customFormat="false" ht="19.5" hidden="false" customHeight="true" outlineLevel="0" collapsed="false">
      <c r="A41" s="25" t="s">
        <v>473</v>
      </c>
      <c r="B41" s="12" t="s">
        <v>474</v>
      </c>
      <c r="C41" s="12" t="s">
        <v>441</v>
      </c>
      <c r="D41" s="12" t="s">
        <v>475</v>
      </c>
      <c r="E41" s="12" t="s">
        <v>462</v>
      </c>
      <c r="F41" s="12" t="s">
        <v>476</v>
      </c>
      <c r="G41" s="26" t="n">
        <v>10.363937</v>
      </c>
      <c r="H41" s="26" t="n">
        <v>106.431812</v>
      </c>
      <c r="I41" s="25" t="s">
        <v>477</v>
      </c>
      <c r="J41" s="12" t="s">
        <v>478</v>
      </c>
      <c r="K41" s="25" t="s">
        <v>223</v>
      </c>
      <c r="L41" s="12" t="s">
        <v>383</v>
      </c>
      <c r="M41" s="25" t="s">
        <v>86</v>
      </c>
      <c r="N41" s="12" t="s">
        <v>398</v>
      </c>
    </row>
    <row r="42" customFormat="false" ht="19.5" hidden="false" customHeight="true" outlineLevel="0" collapsed="false">
      <c r="A42" s="27" t="s">
        <v>479</v>
      </c>
      <c r="B42" s="9" t="s">
        <v>480</v>
      </c>
      <c r="C42" s="9" t="s">
        <v>321</v>
      </c>
      <c r="D42" s="9" t="s">
        <v>481</v>
      </c>
      <c r="E42" s="9" t="s">
        <v>462</v>
      </c>
      <c r="F42" s="9" t="s">
        <v>482</v>
      </c>
      <c r="G42" s="28" t="n">
        <v>10.390587</v>
      </c>
      <c r="H42" s="28" t="n">
        <v>106.455078</v>
      </c>
      <c r="I42" s="27" t="s">
        <v>483</v>
      </c>
      <c r="J42" s="9" t="s">
        <v>484</v>
      </c>
      <c r="K42" s="27" t="s">
        <v>223</v>
      </c>
      <c r="L42" s="9" t="s">
        <v>383</v>
      </c>
      <c r="M42" s="27" t="s">
        <v>86</v>
      </c>
      <c r="N42" s="9" t="s">
        <v>485</v>
      </c>
    </row>
    <row r="43" customFormat="false" ht="19.5" hidden="false" customHeight="true" outlineLevel="0" collapsed="false">
      <c r="A43" s="25" t="s">
        <v>486</v>
      </c>
      <c r="B43" s="12" t="s">
        <v>487</v>
      </c>
      <c r="C43" s="12" t="s">
        <v>441</v>
      </c>
      <c r="D43" s="12" t="s">
        <v>488</v>
      </c>
      <c r="E43" s="12" t="s">
        <v>462</v>
      </c>
      <c r="F43" s="12" t="s">
        <v>489</v>
      </c>
      <c r="G43" s="26" t="n">
        <v>10.460787</v>
      </c>
      <c r="H43" s="26" t="n">
        <v>106.382641</v>
      </c>
      <c r="I43" s="25" t="s">
        <v>490</v>
      </c>
      <c r="J43" s="12" t="s">
        <v>491</v>
      </c>
      <c r="K43" s="25" t="s">
        <v>223</v>
      </c>
      <c r="L43" s="12" t="s">
        <v>383</v>
      </c>
      <c r="M43" s="25" t="s">
        <v>86</v>
      </c>
      <c r="N43" s="12" t="s">
        <v>398</v>
      </c>
    </row>
    <row r="44" customFormat="false" ht="19.5" hidden="false" customHeight="true" outlineLevel="0" collapsed="false">
      <c r="A44" s="27" t="s">
        <v>492</v>
      </c>
      <c r="B44" s="9" t="s">
        <v>493</v>
      </c>
      <c r="C44" s="9" t="s">
        <v>441</v>
      </c>
      <c r="D44" s="9" t="s">
        <v>494</v>
      </c>
      <c r="E44" s="9" t="s">
        <v>462</v>
      </c>
      <c r="F44" s="9" t="s">
        <v>495</v>
      </c>
      <c r="G44" s="28" t="n">
        <v>10.355662</v>
      </c>
      <c r="H44" s="28" t="n">
        <v>106.387047</v>
      </c>
      <c r="I44" s="27" t="s">
        <v>496</v>
      </c>
      <c r="J44" s="9" t="s">
        <v>497</v>
      </c>
      <c r="K44" s="27" t="s">
        <v>223</v>
      </c>
      <c r="L44" s="9" t="s">
        <v>383</v>
      </c>
      <c r="M44" s="27" t="s">
        <v>86</v>
      </c>
      <c r="N44" s="9" t="s">
        <v>398</v>
      </c>
    </row>
    <row r="45" customFormat="false" ht="19.5" hidden="false" customHeight="true" outlineLevel="0" collapsed="false">
      <c r="A45" s="25" t="s">
        <v>498</v>
      </c>
      <c r="B45" s="12" t="s">
        <v>499</v>
      </c>
      <c r="C45" s="12" t="s">
        <v>500</v>
      </c>
      <c r="D45" s="12" t="s">
        <v>260</v>
      </c>
      <c r="E45" s="12" t="s">
        <v>501</v>
      </c>
      <c r="F45" s="12" t="s">
        <v>502</v>
      </c>
      <c r="G45" s="26" t="n">
        <v>10.265</v>
      </c>
      <c r="H45" s="26" t="n">
        <v>105.855</v>
      </c>
      <c r="I45" s="25" t="s">
        <v>254</v>
      </c>
      <c r="J45" s="12" t="s">
        <v>503</v>
      </c>
      <c r="K45" s="25" t="s">
        <v>255</v>
      </c>
      <c r="L45" s="12" t="s">
        <v>504</v>
      </c>
      <c r="M45" s="25" t="s">
        <v>104</v>
      </c>
      <c r="N45" s="12" t="s">
        <v>505</v>
      </c>
    </row>
    <row r="46" customFormat="false" ht="19.5" hidden="false" customHeight="true" outlineLevel="0" collapsed="false">
      <c r="A46" s="27" t="s">
        <v>506</v>
      </c>
      <c r="B46" s="9" t="s">
        <v>507</v>
      </c>
      <c r="C46" s="9" t="s">
        <v>500</v>
      </c>
      <c r="D46" s="9" t="s">
        <v>508</v>
      </c>
      <c r="E46" s="9" t="s">
        <v>501</v>
      </c>
      <c r="F46" s="9" t="s">
        <v>509</v>
      </c>
      <c r="G46" s="28" t="n">
        <v>10.198</v>
      </c>
      <c r="H46" s="28" t="n">
        <v>105.612</v>
      </c>
      <c r="I46" s="27" t="s">
        <v>254</v>
      </c>
      <c r="J46" s="9" t="s">
        <v>510</v>
      </c>
      <c r="K46" s="27" t="s">
        <v>255</v>
      </c>
      <c r="L46" s="9" t="s">
        <v>504</v>
      </c>
      <c r="M46" s="27" t="s">
        <v>104</v>
      </c>
      <c r="N46" s="9" t="s">
        <v>511</v>
      </c>
    </row>
    <row r="47" customFormat="false" ht="19.5" hidden="false" customHeight="true" outlineLevel="0" collapsed="false">
      <c r="A47" s="25" t="s">
        <v>512</v>
      </c>
      <c r="B47" s="12" t="s">
        <v>513</v>
      </c>
      <c r="C47" s="12" t="s">
        <v>500</v>
      </c>
      <c r="D47" s="12" t="s">
        <v>514</v>
      </c>
      <c r="E47" s="12" t="s">
        <v>501</v>
      </c>
      <c r="F47" s="12" t="s">
        <v>515</v>
      </c>
      <c r="G47" s="26" t="n">
        <v>10.745</v>
      </c>
      <c r="H47" s="26" t="n">
        <v>105.528</v>
      </c>
      <c r="I47" s="25" t="s">
        <v>254</v>
      </c>
      <c r="J47" s="12" t="s">
        <v>516</v>
      </c>
      <c r="K47" s="25" t="s">
        <v>255</v>
      </c>
      <c r="L47" s="12" t="s">
        <v>517</v>
      </c>
      <c r="M47" s="25" t="s">
        <v>104</v>
      </c>
      <c r="N47" s="12" t="s">
        <v>518</v>
      </c>
    </row>
    <row r="48" customFormat="false" ht="19.5" hidden="false" customHeight="true" outlineLevel="0" collapsed="false">
      <c r="A48" s="27" t="s">
        <v>519</v>
      </c>
      <c r="B48" s="9" t="s">
        <v>520</v>
      </c>
      <c r="C48" s="9" t="s">
        <v>500</v>
      </c>
      <c r="D48" s="9" t="s">
        <v>260</v>
      </c>
      <c r="E48" s="9" t="s">
        <v>521</v>
      </c>
      <c r="F48" s="9" t="s">
        <v>522</v>
      </c>
      <c r="G48" s="28" t="n">
        <v>10.432</v>
      </c>
      <c r="H48" s="28" t="n">
        <v>105.595</v>
      </c>
      <c r="I48" s="27" t="s">
        <v>254</v>
      </c>
      <c r="J48" s="9" t="s">
        <v>523</v>
      </c>
      <c r="K48" s="27" t="s">
        <v>255</v>
      </c>
      <c r="L48" s="9" t="s">
        <v>524</v>
      </c>
      <c r="M48" s="27" t="s">
        <v>95</v>
      </c>
      <c r="N48" s="9" t="s">
        <v>525</v>
      </c>
    </row>
    <row r="49" customFormat="false" ht="19.5" hidden="false" customHeight="true" outlineLevel="0" collapsed="false">
      <c r="A49" s="25" t="s">
        <v>526</v>
      </c>
      <c r="B49" s="12" t="s">
        <v>527</v>
      </c>
      <c r="C49" s="12" t="s">
        <v>500</v>
      </c>
      <c r="D49" s="12" t="s">
        <v>528</v>
      </c>
      <c r="E49" s="12" t="s">
        <v>521</v>
      </c>
      <c r="F49" s="12" t="s">
        <v>529</v>
      </c>
      <c r="G49" s="26" t="n">
        <v>10.785</v>
      </c>
      <c r="H49" s="26" t="n">
        <v>105.335</v>
      </c>
      <c r="I49" s="25" t="s">
        <v>254</v>
      </c>
      <c r="J49" s="12" t="s">
        <v>530</v>
      </c>
      <c r="K49" s="25" t="s">
        <v>255</v>
      </c>
      <c r="L49" s="12" t="s">
        <v>531</v>
      </c>
      <c r="M49" s="25" t="s">
        <v>95</v>
      </c>
      <c r="N49" s="12" t="s">
        <v>532</v>
      </c>
    </row>
    <row r="50" customFormat="false" ht="19.5" hidden="false" customHeight="true" outlineLevel="0" collapsed="false">
      <c r="A50" s="27" t="s">
        <v>533</v>
      </c>
      <c r="B50" s="9" t="s">
        <v>534</v>
      </c>
      <c r="C50" s="9" t="s">
        <v>228</v>
      </c>
      <c r="D50" s="9" t="s">
        <v>260</v>
      </c>
      <c r="E50" s="9" t="s">
        <v>535</v>
      </c>
      <c r="F50" s="9" t="s">
        <v>536</v>
      </c>
      <c r="G50" s="28" t="n">
        <v>10.3245</v>
      </c>
      <c r="H50" s="28" t="n">
        <v>106.4852</v>
      </c>
      <c r="I50" s="27" t="s">
        <v>280</v>
      </c>
      <c r="J50" s="9" t="s">
        <v>537</v>
      </c>
      <c r="K50" s="27" t="s">
        <v>282</v>
      </c>
      <c r="L50" s="9" t="s">
        <v>538</v>
      </c>
      <c r="M50" s="27" t="s">
        <v>86</v>
      </c>
      <c r="N50" s="9" t="s">
        <v>539</v>
      </c>
    </row>
    <row r="51" customFormat="false" ht="19.5" hidden="false" customHeight="true" outlineLevel="0" collapsed="false">
      <c r="A51" s="25" t="s">
        <v>540</v>
      </c>
      <c r="B51" s="12" t="s">
        <v>541</v>
      </c>
      <c r="C51" s="12" t="s">
        <v>228</v>
      </c>
      <c r="D51" s="12" t="s">
        <v>260</v>
      </c>
      <c r="E51" s="12" t="s">
        <v>462</v>
      </c>
      <c r="F51" s="12" t="s">
        <v>542</v>
      </c>
      <c r="G51" s="26" t="n">
        <v>10.3458</v>
      </c>
      <c r="H51" s="26" t="n">
        <v>106.3912</v>
      </c>
      <c r="I51" s="25" t="s">
        <v>280</v>
      </c>
      <c r="J51" s="12" t="s">
        <v>543</v>
      </c>
      <c r="K51" s="25" t="s">
        <v>282</v>
      </c>
      <c r="L51" s="12" t="s">
        <v>538</v>
      </c>
      <c r="M51" s="25" t="s">
        <v>86</v>
      </c>
      <c r="N51" s="12" t="s">
        <v>544</v>
      </c>
    </row>
    <row r="52" customFormat="false" ht="19.5" hidden="false" customHeight="true" outlineLevel="0" collapsed="false">
      <c r="A52" s="27" t="s">
        <v>545</v>
      </c>
      <c r="B52" s="9" t="s">
        <v>546</v>
      </c>
      <c r="C52" s="9" t="s">
        <v>268</v>
      </c>
      <c r="D52" s="9" t="s">
        <v>547</v>
      </c>
      <c r="E52" s="9" t="s">
        <v>548</v>
      </c>
      <c r="F52" s="9" t="s">
        <v>549</v>
      </c>
      <c r="G52" s="28" t="n">
        <v>10.3045</v>
      </c>
      <c r="H52" s="28" t="n">
        <v>106.132</v>
      </c>
      <c r="I52" s="27" t="s">
        <v>280</v>
      </c>
      <c r="J52" s="9" t="s">
        <v>550</v>
      </c>
      <c r="K52" s="27" t="s">
        <v>282</v>
      </c>
      <c r="L52" s="9" t="s">
        <v>538</v>
      </c>
      <c r="M52" s="27" t="s">
        <v>113</v>
      </c>
      <c r="N52" s="9" t="s">
        <v>551</v>
      </c>
    </row>
    <row r="53" customFormat="false" ht="19.5" hidden="false" customHeight="true" outlineLevel="0" collapsed="false">
      <c r="A53" s="25" t="s">
        <v>552</v>
      </c>
      <c r="B53" s="12" t="s">
        <v>553</v>
      </c>
      <c r="C53" s="12" t="s">
        <v>259</v>
      </c>
      <c r="D53" s="12" t="s">
        <v>554</v>
      </c>
      <c r="E53" s="12" t="s">
        <v>219</v>
      </c>
      <c r="F53" s="12" t="s">
        <v>414</v>
      </c>
      <c r="G53" s="26" t="n">
        <v>10.4055</v>
      </c>
      <c r="H53" s="26" t="n">
        <v>106.548</v>
      </c>
      <c r="I53" s="25" t="s">
        <v>254</v>
      </c>
      <c r="J53" s="12" t="s">
        <v>555</v>
      </c>
      <c r="K53" s="25" t="s">
        <v>255</v>
      </c>
      <c r="L53" s="12" t="s">
        <v>538</v>
      </c>
      <c r="M53" s="25" t="s">
        <v>86</v>
      </c>
      <c r="N53" s="12" t="s">
        <v>556</v>
      </c>
    </row>
    <row r="54" customFormat="false" ht="19.5" hidden="false" customHeight="true" outlineLevel="0" collapsed="false">
      <c r="A54" s="27" t="s">
        <v>557</v>
      </c>
      <c r="B54" s="9" t="s">
        <v>558</v>
      </c>
      <c r="C54" s="9" t="s">
        <v>228</v>
      </c>
      <c r="D54" s="9" t="s">
        <v>559</v>
      </c>
      <c r="E54" s="9" t="s">
        <v>535</v>
      </c>
      <c r="F54" s="9" t="s">
        <v>560</v>
      </c>
      <c r="G54" s="28" t="n">
        <v>10.352688</v>
      </c>
      <c r="H54" s="28" t="n">
        <v>106.461188</v>
      </c>
      <c r="I54" s="27" t="s">
        <v>561</v>
      </c>
      <c r="J54" s="9" t="s">
        <v>562</v>
      </c>
      <c r="K54" s="27" t="s">
        <v>223</v>
      </c>
      <c r="L54" s="9" t="s">
        <v>538</v>
      </c>
      <c r="M54" s="27" t="s">
        <v>86</v>
      </c>
      <c r="N54" s="9" t="s">
        <v>563</v>
      </c>
    </row>
    <row r="55" customFormat="false" ht="19.5" hidden="false" customHeight="true" outlineLevel="0" collapsed="false">
      <c r="A55" s="25" t="s">
        <v>564</v>
      </c>
      <c r="B55" s="12" t="s">
        <v>565</v>
      </c>
      <c r="C55" s="12" t="s">
        <v>228</v>
      </c>
      <c r="D55" s="12" t="s">
        <v>566</v>
      </c>
      <c r="E55" s="12" t="s">
        <v>219</v>
      </c>
      <c r="F55" s="12" t="s">
        <v>567</v>
      </c>
      <c r="G55" s="26" t="n">
        <v>10.3362</v>
      </c>
      <c r="H55" s="26" t="n">
        <v>106.4325</v>
      </c>
      <c r="I55" s="25" t="s">
        <v>254</v>
      </c>
      <c r="J55" s="12" t="s">
        <v>568</v>
      </c>
      <c r="K55" s="25" t="s">
        <v>255</v>
      </c>
      <c r="L55" s="12" t="s">
        <v>538</v>
      </c>
      <c r="M55" s="25" t="s">
        <v>86</v>
      </c>
      <c r="N55" s="12" t="s">
        <v>569</v>
      </c>
    </row>
    <row r="56" customFormat="false" ht="19.5" hidden="false" customHeight="true" outlineLevel="0" collapsed="false">
      <c r="A56" s="27" t="s">
        <v>570</v>
      </c>
      <c r="B56" s="9" t="s">
        <v>571</v>
      </c>
      <c r="C56" s="9" t="s">
        <v>268</v>
      </c>
      <c r="D56" s="9" t="s">
        <v>344</v>
      </c>
      <c r="E56" s="9" t="s">
        <v>572</v>
      </c>
      <c r="F56" s="9" t="s">
        <v>573</v>
      </c>
      <c r="G56" s="28" t="n">
        <v>10.2285</v>
      </c>
      <c r="H56" s="28" t="n">
        <v>106.368</v>
      </c>
      <c r="I56" s="27" t="s">
        <v>280</v>
      </c>
      <c r="J56" s="9" t="s">
        <v>574</v>
      </c>
      <c r="K56" s="27" t="s">
        <v>282</v>
      </c>
      <c r="L56" s="9" t="s">
        <v>538</v>
      </c>
      <c r="M56" s="27" t="s">
        <v>86</v>
      </c>
      <c r="N56" s="9" t="s">
        <v>575</v>
      </c>
    </row>
    <row r="57" customFormat="false" ht="19.5" hidden="false" customHeight="true" outlineLevel="0" collapsed="false">
      <c r="A57" s="25" t="s">
        <v>576</v>
      </c>
      <c r="B57" s="12" t="s">
        <v>577</v>
      </c>
      <c r="C57" s="12" t="s">
        <v>268</v>
      </c>
      <c r="D57" s="12" t="s">
        <v>344</v>
      </c>
      <c r="E57" s="12" t="s">
        <v>572</v>
      </c>
      <c r="F57" s="12" t="s">
        <v>578</v>
      </c>
      <c r="G57" s="26" t="n">
        <v>10.264</v>
      </c>
      <c r="H57" s="26" t="n">
        <v>106.285</v>
      </c>
      <c r="I57" s="25" t="s">
        <v>280</v>
      </c>
      <c r="J57" s="12" t="s">
        <v>579</v>
      </c>
      <c r="K57" s="25" t="s">
        <v>282</v>
      </c>
      <c r="L57" s="12" t="s">
        <v>538</v>
      </c>
      <c r="M57" s="25" t="s">
        <v>86</v>
      </c>
      <c r="N57" s="12" t="s">
        <v>575</v>
      </c>
    </row>
    <row r="58" customFormat="false" ht="19.5" hidden="false" customHeight="true" outlineLevel="0" collapsed="false">
      <c r="A58" s="27" t="s">
        <v>580</v>
      </c>
      <c r="B58" s="9" t="s">
        <v>581</v>
      </c>
      <c r="C58" s="9" t="s">
        <v>268</v>
      </c>
      <c r="D58" s="9" t="s">
        <v>344</v>
      </c>
      <c r="E58" s="9" t="s">
        <v>582</v>
      </c>
      <c r="F58" s="9" t="s">
        <v>583</v>
      </c>
      <c r="G58" s="28" t="n">
        <v>10.2625</v>
      </c>
      <c r="H58" s="28" t="n">
        <v>106.131</v>
      </c>
      <c r="I58" s="27" t="s">
        <v>280</v>
      </c>
      <c r="J58" s="9" t="s">
        <v>584</v>
      </c>
      <c r="K58" s="27" t="s">
        <v>282</v>
      </c>
      <c r="L58" s="9" t="s">
        <v>538</v>
      </c>
      <c r="M58" s="27" t="s">
        <v>113</v>
      </c>
      <c r="N58" s="9" t="s">
        <v>585</v>
      </c>
    </row>
    <row r="59" customFormat="false" ht="19.5" hidden="false" customHeight="true" outlineLevel="0" collapsed="false">
      <c r="A59" s="25" t="s">
        <v>586</v>
      </c>
      <c r="B59" s="12" t="s">
        <v>587</v>
      </c>
      <c r="C59" s="12" t="s">
        <v>268</v>
      </c>
      <c r="D59" s="12" t="s">
        <v>588</v>
      </c>
      <c r="E59" s="12" t="s">
        <v>589</v>
      </c>
      <c r="F59" s="12" t="s">
        <v>590</v>
      </c>
      <c r="G59" s="26" t="n">
        <v>10.5385</v>
      </c>
      <c r="H59" s="26" t="n">
        <v>106.4082</v>
      </c>
      <c r="I59" s="25" t="s">
        <v>280</v>
      </c>
      <c r="J59" s="12" t="s">
        <v>591</v>
      </c>
      <c r="K59" s="25" t="s">
        <v>282</v>
      </c>
      <c r="L59" s="12" t="s">
        <v>538</v>
      </c>
      <c r="M59" s="25" t="s">
        <v>86</v>
      </c>
      <c r="N59" s="12" t="s">
        <v>592</v>
      </c>
    </row>
    <row r="60" customFormat="false" ht="19.5" hidden="false" customHeight="true" outlineLevel="0" collapsed="false">
      <c r="A60" s="27" t="s">
        <v>593</v>
      </c>
      <c r="B60" s="9" t="s">
        <v>594</v>
      </c>
      <c r="C60" s="9" t="s">
        <v>259</v>
      </c>
      <c r="D60" s="9" t="s">
        <v>595</v>
      </c>
      <c r="E60" s="9" t="s">
        <v>596</v>
      </c>
      <c r="F60" s="9" t="s">
        <v>597</v>
      </c>
      <c r="G60" s="28" t="n">
        <v>10.432</v>
      </c>
      <c r="H60" s="28" t="n">
        <v>106.632</v>
      </c>
      <c r="I60" s="27" t="s">
        <v>254</v>
      </c>
      <c r="J60" s="9" t="s">
        <v>598</v>
      </c>
      <c r="K60" s="27" t="s">
        <v>255</v>
      </c>
      <c r="L60" s="9" t="s">
        <v>599</v>
      </c>
      <c r="M60" s="27" t="s">
        <v>86</v>
      </c>
      <c r="N60" s="9" t="s">
        <v>600</v>
      </c>
    </row>
    <row r="61" customFormat="false" ht="19.5" hidden="false" customHeight="true" outlineLevel="0" collapsed="false">
      <c r="A61" s="25" t="s">
        <v>601</v>
      </c>
      <c r="B61" s="12" t="s">
        <v>602</v>
      </c>
      <c r="C61" s="12" t="s">
        <v>259</v>
      </c>
      <c r="D61" s="12" t="s">
        <v>595</v>
      </c>
      <c r="E61" s="12" t="s">
        <v>596</v>
      </c>
      <c r="F61" s="12" t="s">
        <v>603</v>
      </c>
      <c r="G61" s="26" t="n">
        <v>10.425</v>
      </c>
      <c r="H61" s="26" t="n">
        <v>106.591</v>
      </c>
      <c r="I61" s="25" t="s">
        <v>254</v>
      </c>
      <c r="J61" s="12" t="s">
        <v>604</v>
      </c>
      <c r="K61" s="25" t="s">
        <v>255</v>
      </c>
      <c r="L61" s="12" t="s">
        <v>599</v>
      </c>
      <c r="M61" s="25" t="s">
        <v>86</v>
      </c>
      <c r="N61" s="12" t="s">
        <v>600</v>
      </c>
    </row>
    <row r="62" customFormat="false" ht="19.5" hidden="false" customHeight="true" outlineLevel="0" collapsed="false">
      <c r="A62" s="27" t="s">
        <v>605</v>
      </c>
      <c r="B62" s="9" t="s">
        <v>606</v>
      </c>
      <c r="C62" s="9" t="s">
        <v>259</v>
      </c>
      <c r="D62" s="9" t="s">
        <v>607</v>
      </c>
      <c r="E62" s="9" t="s">
        <v>608</v>
      </c>
      <c r="F62" s="9" t="s">
        <v>609</v>
      </c>
      <c r="G62" s="28" t="n">
        <v>10.491</v>
      </c>
      <c r="H62" s="28" t="n">
        <v>106.382</v>
      </c>
      <c r="I62" s="27" t="s">
        <v>254</v>
      </c>
      <c r="J62" s="9" t="s">
        <v>610</v>
      </c>
      <c r="K62" s="27" t="s">
        <v>255</v>
      </c>
      <c r="L62" s="9" t="s">
        <v>599</v>
      </c>
      <c r="M62" s="27" t="s">
        <v>86</v>
      </c>
      <c r="N62" s="9" t="s">
        <v>600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6"/>
    <col collapsed="false" customWidth="true" hidden="false" outlineLevel="0" max="3" min="3" style="0" width="42"/>
    <col collapsed="false" customWidth="true" hidden="false" outlineLevel="0" max="4" min="4" style="0" width="37"/>
    <col collapsed="false" customWidth="true" hidden="false" outlineLevel="0" max="5" min="5" style="0" width="18"/>
    <col collapsed="false" customWidth="true" hidden="false" outlineLevel="0" max="6" min="6" style="0" width="15"/>
    <col collapsed="false" customWidth="true" hidden="false" outlineLevel="0" max="7" min="7" style="0" width="34"/>
    <col collapsed="false" customWidth="true" hidden="false" outlineLevel="0" max="8" min="8" style="0" width="16"/>
    <col collapsed="false" customWidth="true" hidden="false" outlineLevel="0" max="9" min="9" style="0" width="29"/>
    <col collapsed="false" customWidth="true" hidden="false" outlineLevel="0" max="10" min="10" style="0" width="27"/>
    <col collapsed="false" customWidth="true" hidden="false" outlineLevel="0" max="12" min="11" style="0" width="42"/>
  </cols>
  <sheetData>
    <row r="1" customFormat="false" ht="27.75" hidden="false" customHeight="true" outlineLevel="0" collapsed="false">
      <c r="A1" s="1" t="s">
        <v>611</v>
      </c>
      <c r="B1" s="1"/>
      <c r="C1" s="1"/>
      <c r="D1" s="1"/>
      <c r="E1" s="1"/>
      <c r="F1" s="1"/>
      <c r="G1" s="1"/>
      <c r="H1" s="1"/>
      <c r="I1" s="1"/>
      <c r="J1" s="1"/>
      <c r="K1" s="1"/>
      <c r="L1" s="1"/>
    </row>
    <row r="2" customFormat="false" ht="19.5" hidden="false" customHeight="true" outlineLevel="0" collapsed="false">
      <c r="A2" s="2" t="s">
        <v>612</v>
      </c>
      <c r="B2" s="2"/>
      <c r="C2" s="2"/>
      <c r="D2" s="2"/>
      <c r="E2" s="2"/>
      <c r="F2" s="2"/>
      <c r="G2" s="2"/>
      <c r="H2" s="2"/>
      <c r="I2" s="2"/>
      <c r="J2" s="2"/>
      <c r="K2" s="2"/>
      <c r="L2" s="2"/>
    </row>
    <row r="4" customFormat="false" ht="24" hidden="false" customHeight="true" outlineLevel="0" collapsed="false">
      <c r="A4" s="24" t="s">
        <v>613</v>
      </c>
      <c r="B4" s="24" t="s">
        <v>201</v>
      </c>
      <c r="C4" s="7" t="s">
        <v>614</v>
      </c>
      <c r="D4" s="7" t="s">
        <v>615</v>
      </c>
      <c r="E4" s="24" t="s">
        <v>616</v>
      </c>
      <c r="F4" s="24" t="s">
        <v>617</v>
      </c>
      <c r="G4" s="24" t="s">
        <v>618</v>
      </c>
      <c r="H4" s="8" t="s">
        <v>619</v>
      </c>
      <c r="I4" s="8" t="s">
        <v>620</v>
      </c>
      <c r="J4" s="24" t="s">
        <v>213</v>
      </c>
      <c r="K4" s="7" t="s">
        <v>621</v>
      </c>
      <c r="L4" s="7" t="s">
        <v>622</v>
      </c>
    </row>
    <row r="5" customFormat="false" ht="19.5" hidden="false" customHeight="true" outlineLevel="0" collapsed="false">
      <c r="A5" s="25" t="s">
        <v>623</v>
      </c>
      <c r="B5" s="25" t="s">
        <v>557</v>
      </c>
      <c r="C5" s="12" t="s">
        <v>624</v>
      </c>
      <c r="D5" s="12" t="s">
        <v>559</v>
      </c>
      <c r="E5" s="25" t="s">
        <v>625</v>
      </c>
      <c r="F5" s="25" t="s">
        <v>626</v>
      </c>
      <c r="G5" s="25" t="s">
        <v>627</v>
      </c>
      <c r="H5" s="14" t="n">
        <v>1.4</v>
      </c>
      <c r="I5" s="29"/>
      <c r="J5" s="25" t="s">
        <v>86</v>
      </c>
      <c r="K5" s="22" t="s">
        <v>197</v>
      </c>
      <c r="L5" s="12" t="s">
        <v>628</v>
      </c>
    </row>
    <row r="6" customFormat="false" ht="19.5" hidden="false" customHeight="true" outlineLevel="0" collapsed="false">
      <c r="A6" s="27" t="s">
        <v>629</v>
      </c>
      <c r="B6" s="27" t="s">
        <v>564</v>
      </c>
      <c r="C6" s="9" t="s">
        <v>630</v>
      </c>
      <c r="D6" s="9" t="s">
        <v>559</v>
      </c>
      <c r="E6" s="27" t="s">
        <v>625</v>
      </c>
      <c r="F6" s="27" t="s">
        <v>626</v>
      </c>
      <c r="G6" s="27" t="s">
        <v>627</v>
      </c>
      <c r="H6" s="11" t="n">
        <v>1.5</v>
      </c>
      <c r="I6" s="30"/>
      <c r="J6" s="27" t="s">
        <v>86</v>
      </c>
      <c r="K6" s="23" t="s">
        <v>197</v>
      </c>
      <c r="L6" s="9" t="s">
        <v>631</v>
      </c>
    </row>
    <row r="7" customFormat="false" ht="19.5" hidden="false" customHeight="true" outlineLevel="0" collapsed="false">
      <c r="A7" s="25" t="s">
        <v>632</v>
      </c>
      <c r="B7" s="25" t="s">
        <v>552</v>
      </c>
      <c r="C7" s="12" t="s">
        <v>633</v>
      </c>
      <c r="D7" s="12" t="s">
        <v>554</v>
      </c>
      <c r="E7" s="25" t="s">
        <v>625</v>
      </c>
      <c r="F7" s="25" t="s">
        <v>626</v>
      </c>
      <c r="G7" s="25" t="s">
        <v>627</v>
      </c>
      <c r="H7" s="14" t="n">
        <v>2.52</v>
      </c>
      <c r="I7" s="29"/>
      <c r="J7" s="25" t="s">
        <v>86</v>
      </c>
      <c r="K7" s="22" t="s">
        <v>197</v>
      </c>
      <c r="L7" s="12" t="s">
        <v>634</v>
      </c>
    </row>
    <row r="8" customFormat="false" ht="19.5" hidden="false" customHeight="true" outlineLevel="0" collapsed="false">
      <c r="A8" s="27" t="s">
        <v>635</v>
      </c>
      <c r="B8" s="27" t="s">
        <v>411</v>
      </c>
      <c r="C8" s="9" t="s">
        <v>636</v>
      </c>
      <c r="D8" s="9" t="s">
        <v>554</v>
      </c>
      <c r="E8" s="27" t="s">
        <v>625</v>
      </c>
      <c r="F8" s="27" t="s">
        <v>626</v>
      </c>
      <c r="G8" s="27" t="s">
        <v>627</v>
      </c>
      <c r="H8" s="11" t="n">
        <v>3.76</v>
      </c>
      <c r="I8" s="30"/>
      <c r="J8" s="27" t="s">
        <v>86</v>
      </c>
      <c r="K8" s="23" t="s">
        <v>197</v>
      </c>
      <c r="L8" s="9" t="s">
        <v>637</v>
      </c>
    </row>
    <row r="9" customFormat="false" ht="19.5" hidden="false" customHeight="true" outlineLevel="0" collapsed="false">
      <c r="A9" s="25" t="s">
        <v>638</v>
      </c>
      <c r="B9" s="25" t="s">
        <v>377</v>
      </c>
      <c r="C9" s="12" t="s">
        <v>639</v>
      </c>
      <c r="D9" s="12" t="s">
        <v>260</v>
      </c>
      <c r="E9" s="25" t="s">
        <v>625</v>
      </c>
      <c r="F9" s="25" t="s">
        <v>626</v>
      </c>
      <c r="G9" s="25" t="s">
        <v>627</v>
      </c>
      <c r="H9" s="14" t="n">
        <v>3.36</v>
      </c>
      <c r="I9" s="29"/>
      <c r="J9" s="25" t="s">
        <v>86</v>
      </c>
      <c r="K9" s="22" t="s">
        <v>197</v>
      </c>
      <c r="L9" s="12" t="s">
        <v>640</v>
      </c>
    </row>
    <row r="10" customFormat="false" ht="19.5" hidden="false" customHeight="true" outlineLevel="0" collapsed="false">
      <c r="A10" s="27" t="s">
        <v>641</v>
      </c>
      <c r="B10" s="27" t="s">
        <v>576</v>
      </c>
      <c r="C10" s="9" t="s">
        <v>642</v>
      </c>
      <c r="D10" s="9" t="s">
        <v>344</v>
      </c>
      <c r="E10" s="27" t="s">
        <v>625</v>
      </c>
      <c r="F10" s="27" t="s">
        <v>626</v>
      </c>
      <c r="G10" s="27" t="s">
        <v>627</v>
      </c>
      <c r="H10" s="11" t="n">
        <v>3.3</v>
      </c>
      <c r="I10" s="30"/>
      <c r="J10" s="27" t="s">
        <v>86</v>
      </c>
      <c r="K10" s="23" t="s">
        <v>197</v>
      </c>
      <c r="L10" s="9" t="s">
        <v>643</v>
      </c>
    </row>
    <row r="11" customFormat="false" ht="19.5" hidden="false" customHeight="true" outlineLevel="0" collapsed="false">
      <c r="A11" s="25" t="s">
        <v>644</v>
      </c>
      <c r="B11" s="25" t="s">
        <v>570</v>
      </c>
      <c r="C11" s="12" t="s">
        <v>645</v>
      </c>
      <c r="D11" s="12" t="s">
        <v>344</v>
      </c>
      <c r="E11" s="25" t="s">
        <v>625</v>
      </c>
      <c r="F11" s="25" t="s">
        <v>626</v>
      </c>
      <c r="G11" s="25" t="s">
        <v>627</v>
      </c>
      <c r="H11" s="14" t="n">
        <v>5.3</v>
      </c>
      <c r="I11" s="29"/>
      <c r="J11" s="25" t="s">
        <v>86</v>
      </c>
      <c r="K11" s="22" t="s">
        <v>197</v>
      </c>
      <c r="L11" s="12" t="s">
        <v>646</v>
      </c>
    </row>
    <row r="12" customFormat="false" ht="19.5" hidden="false" customHeight="true" outlineLevel="0" collapsed="false">
      <c r="A12" s="27" t="s">
        <v>647</v>
      </c>
      <c r="B12" s="27" t="s">
        <v>266</v>
      </c>
      <c r="C12" s="9" t="s">
        <v>648</v>
      </c>
      <c r="D12" s="9" t="s">
        <v>260</v>
      </c>
      <c r="E12" s="27" t="s">
        <v>625</v>
      </c>
      <c r="F12" s="27" t="s">
        <v>626</v>
      </c>
      <c r="G12" s="27" t="s">
        <v>627</v>
      </c>
      <c r="H12" s="11" t="n">
        <v>1.4</v>
      </c>
      <c r="I12" s="30"/>
      <c r="J12" s="27" t="s">
        <v>86</v>
      </c>
      <c r="K12" s="23" t="s">
        <v>197</v>
      </c>
      <c r="L12" s="9" t="s">
        <v>649</v>
      </c>
    </row>
    <row r="13" customFormat="false" ht="19.5" hidden="false" customHeight="true" outlineLevel="0" collapsed="false">
      <c r="A13" s="25" t="s">
        <v>650</v>
      </c>
      <c r="B13" s="25" t="s">
        <v>533</v>
      </c>
      <c r="C13" s="12" t="s">
        <v>651</v>
      </c>
      <c r="D13" s="12" t="s">
        <v>260</v>
      </c>
      <c r="E13" s="25" t="s">
        <v>625</v>
      </c>
      <c r="F13" s="25" t="s">
        <v>626</v>
      </c>
      <c r="G13" s="25" t="s">
        <v>627</v>
      </c>
      <c r="H13" s="14" t="n">
        <v>2.4</v>
      </c>
      <c r="I13" s="29"/>
      <c r="J13" s="25" t="s">
        <v>86</v>
      </c>
      <c r="K13" s="22" t="s">
        <v>197</v>
      </c>
      <c r="L13" s="12" t="s">
        <v>652</v>
      </c>
    </row>
    <row r="14" customFormat="false" ht="19.5" hidden="false" customHeight="true" outlineLevel="0" collapsed="false">
      <c r="A14" s="27" t="s">
        <v>653</v>
      </c>
      <c r="B14" s="27" t="s">
        <v>540</v>
      </c>
      <c r="C14" s="9" t="s">
        <v>654</v>
      </c>
      <c r="D14" s="9" t="s">
        <v>260</v>
      </c>
      <c r="E14" s="27" t="s">
        <v>625</v>
      </c>
      <c r="F14" s="27" t="s">
        <v>626</v>
      </c>
      <c r="G14" s="27" t="s">
        <v>627</v>
      </c>
      <c r="H14" s="11" t="n">
        <v>1.9</v>
      </c>
      <c r="I14" s="30"/>
      <c r="J14" s="27" t="s">
        <v>86</v>
      </c>
      <c r="K14" s="23" t="s">
        <v>197</v>
      </c>
      <c r="L14" s="9" t="s">
        <v>655</v>
      </c>
    </row>
    <row r="15" customFormat="false" ht="19.5" hidden="false" customHeight="true" outlineLevel="0" collapsed="false">
      <c r="A15" s="25" t="s">
        <v>656</v>
      </c>
      <c r="B15" s="25" t="s">
        <v>257</v>
      </c>
      <c r="C15" s="12" t="s">
        <v>657</v>
      </c>
      <c r="D15" s="12" t="s">
        <v>260</v>
      </c>
      <c r="E15" s="25" t="s">
        <v>625</v>
      </c>
      <c r="F15" s="25" t="s">
        <v>626</v>
      </c>
      <c r="G15" s="25" t="s">
        <v>627</v>
      </c>
      <c r="H15" s="14" t="n">
        <v>2.05</v>
      </c>
      <c r="I15" s="29"/>
      <c r="J15" s="25" t="s">
        <v>86</v>
      </c>
      <c r="K15" s="22" t="s">
        <v>197</v>
      </c>
      <c r="L15" s="12" t="s">
        <v>658</v>
      </c>
    </row>
    <row r="16" customFormat="false" ht="19.5" hidden="false" customHeight="true" outlineLevel="0" collapsed="false">
      <c r="A16" s="27" t="s">
        <v>659</v>
      </c>
      <c r="B16" s="27" t="s">
        <v>586</v>
      </c>
      <c r="C16" s="9" t="s">
        <v>660</v>
      </c>
      <c r="D16" s="9" t="s">
        <v>588</v>
      </c>
      <c r="E16" s="27" t="s">
        <v>625</v>
      </c>
      <c r="F16" s="27" t="s">
        <v>626</v>
      </c>
      <c r="G16" s="27" t="s">
        <v>627</v>
      </c>
      <c r="H16" s="11" t="n">
        <v>1.45</v>
      </c>
      <c r="I16" s="30"/>
      <c r="J16" s="27" t="s">
        <v>86</v>
      </c>
      <c r="K16" s="23" t="s">
        <v>197</v>
      </c>
      <c r="L16" s="9" t="s">
        <v>661</v>
      </c>
    </row>
    <row r="17" customFormat="false" ht="19.5" hidden="false" customHeight="true" outlineLevel="0" collapsed="false">
      <c r="A17" s="25" t="s">
        <v>662</v>
      </c>
      <c r="B17" s="25" t="s">
        <v>557</v>
      </c>
      <c r="C17" s="12" t="s">
        <v>624</v>
      </c>
      <c r="D17" s="12" t="s">
        <v>559</v>
      </c>
      <c r="E17" s="25" t="s">
        <v>663</v>
      </c>
      <c r="F17" s="25" t="s">
        <v>626</v>
      </c>
      <c r="G17" s="25" t="s">
        <v>627</v>
      </c>
      <c r="H17" s="14" t="n">
        <v>3</v>
      </c>
      <c r="I17" s="29"/>
      <c r="J17" s="25" t="s">
        <v>86</v>
      </c>
      <c r="K17" s="22" t="s">
        <v>664</v>
      </c>
      <c r="L17" s="12" t="s">
        <v>665</v>
      </c>
    </row>
    <row r="18" customFormat="false" ht="19.5" hidden="false" customHeight="true" outlineLevel="0" collapsed="false">
      <c r="A18" s="27" t="s">
        <v>666</v>
      </c>
      <c r="B18" s="27" t="s">
        <v>564</v>
      </c>
      <c r="C18" s="9" t="s">
        <v>630</v>
      </c>
      <c r="D18" s="9" t="s">
        <v>559</v>
      </c>
      <c r="E18" s="27" t="s">
        <v>663</v>
      </c>
      <c r="F18" s="27" t="s">
        <v>626</v>
      </c>
      <c r="G18" s="27" t="s">
        <v>627</v>
      </c>
      <c r="H18" s="11" t="n">
        <v>2.6</v>
      </c>
      <c r="I18" s="30"/>
      <c r="J18" s="27" t="s">
        <v>86</v>
      </c>
      <c r="K18" s="23" t="s">
        <v>664</v>
      </c>
      <c r="L18" s="9" t="s">
        <v>665</v>
      </c>
    </row>
    <row r="19" customFormat="false" ht="19.5" hidden="false" customHeight="true" outlineLevel="0" collapsed="false">
      <c r="A19" s="25" t="s">
        <v>667</v>
      </c>
      <c r="B19" s="25" t="s">
        <v>552</v>
      </c>
      <c r="C19" s="12" t="s">
        <v>633</v>
      </c>
      <c r="D19" s="12" t="s">
        <v>554</v>
      </c>
      <c r="E19" s="25" t="s">
        <v>663</v>
      </c>
      <c r="F19" s="25" t="s">
        <v>626</v>
      </c>
      <c r="G19" s="25" t="s">
        <v>627</v>
      </c>
      <c r="H19" s="14" t="n">
        <v>4.9</v>
      </c>
      <c r="I19" s="29"/>
      <c r="J19" s="25" t="s">
        <v>86</v>
      </c>
      <c r="K19" s="22" t="s">
        <v>664</v>
      </c>
      <c r="L19" s="12" t="s">
        <v>665</v>
      </c>
    </row>
    <row r="20" customFormat="false" ht="19.5" hidden="false" customHeight="true" outlineLevel="0" collapsed="false">
      <c r="A20" s="27" t="s">
        <v>668</v>
      </c>
      <c r="B20" s="27" t="s">
        <v>411</v>
      </c>
      <c r="C20" s="9" t="s">
        <v>636</v>
      </c>
      <c r="D20" s="9" t="s">
        <v>554</v>
      </c>
      <c r="E20" s="27" t="s">
        <v>663</v>
      </c>
      <c r="F20" s="27" t="s">
        <v>626</v>
      </c>
      <c r="G20" s="27" t="s">
        <v>627</v>
      </c>
      <c r="H20" s="11" t="n">
        <v>5.82</v>
      </c>
      <c r="I20" s="30"/>
      <c r="J20" s="27" t="s">
        <v>86</v>
      </c>
      <c r="K20" s="23" t="s">
        <v>664</v>
      </c>
      <c r="L20" s="9" t="s">
        <v>665</v>
      </c>
    </row>
    <row r="21" customFormat="false" ht="19.5" hidden="false" customHeight="true" outlineLevel="0" collapsed="false">
      <c r="A21" s="25" t="s">
        <v>669</v>
      </c>
      <c r="B21" s="25" t="s">
        <v>377</v>
      </c>
      <c r="C21" s="12" t="s">
        <v>639</v>
      </c>
      <c r="D21" s="12" t="s">
        <v>260</v>
      </c>
      <c r="E21" s="25" t="s">
        <v>663</v>
      </c>
      <c r="F21" s="25" t="s">
        <v>626</v>
      </c>
      <c r="G21" s="25" t="s">
        <v>627</v>
      </c>
      <c r="H21" s="14" t="n">
        <v>5.4</v>
      </c>
      <c r="I21" s="29"/>
      <c r="J21" s="25" t="s">
        <v>86</v>
      </c>
      <c r="K21" s="22" t="s">
        <v>664</v>
      </c>
      <c r="L21" s="12" t="s">
        <v>665</v>
      </c>
    </row>
    <row r="22" customFormat="false" ht="19.5" hidden="false" customHeight="true" outlineLevel="0" collapsed="false">
      <c r="A22" s="27" t="s">
        <v>670</v>
      </c>
      <c r="B22" s="27" t="s">
        <v>576</v>
      </c>
      <c r="C22" s="9" t="s">
        <v>642</v>
      </c>
      <c r="D22" s="9" t="s">
        <v>344</v>
      </c>
      <c r="E22" s="27" t="s">
        <v>663</v>
      </c>
      <c r="F22" s="27" t="s">
        <v>626</v>
      </c>
      <c r="G22" s="27" t="s">
        <v>627</v>
      </c>
      <c r="H22" s="11" t="n">
        <v>3.2</v>
      </c>
      <c r="I22" s="30"/>
      <c r="J22" s="27" t="s">
        <v>86</v>
      </c>
      <c r="K22" s="23" t="s">
        <v>664</v>
      </c>
      <c r="L22" s="9" t="s">
        <v>665</v>
      </c>
    </row>
    <row r="23" customFormat="false" ht="19.5" hidden="false" customHeight="true" outlineLevel="0" collapsed="false">
      <c r="A23" s="25" t="s">
        <v>671</v>
      </c>
      <c r="B23" s="25" t="s">
        <v>570</v>
      </c>
      <c r="C23" s="12" t="s">
        <v>645</v>
      </c>
      <c r="D23" s="12" t="s">
        <v>344</v>
      </c>
      <c r="E23" s="25" t="s">
        <v>663</v>
      </c>
      <c r="F23" s="25" t="s">
        <v>626</v>
      </c>
      <c r="G23" s="25" t="s">
        <v>627</v>
      </c>
      <c r="H23" s="14" t="n">
        <v>7.1</v>
      </c>
      <c r="I23" s="29"/>
      <c r="J23" s="25" t="s">
        <v>86</v>
      </c>
      <c r="K23" s="22" t="s">
        <v>664</v>
      </c>
      <c r="L23" s="12" t="s">
        <v>665</v>
      </c>
    </row>
    <row r="24" customFormat="false" ht="19.5" hidden="false" customHeight="true" outlineLevel="0" collapsed="false">
      <c r="A24" s="27" t="s">
        <v>672</v>
      </c>
      <c r="B24" s="27" t="s">
        <v>266</v>
      </c>
      <c r="C24" s="9" t="s">
        <v>648</v>
      </c>
      <c r="D24" s="9" t="s">
        <v>260</v>
      </c>
      <c r="E24" s="27" t="s">
        <v>663</v>
      </c>
      <c r="F24" s="27" t="s">
        <v>626</v>
      </c>
      <c r="G24" s="27" t="s">
        <v>627</v>
      </c>
      <c r="H24" s="11" t="n">
        <v>1.3</v>
      </c>
      <c r="I24" s="30"/>
      <c r="J24" s="27" t="s">
        <v>86</v>
      </c>
      <c r="K24" s="23" t="s">
        <v>664</v>
      </c>
      <c r="L24" s="9" t="s">
        <v>665</v>
      </c>
    </row>
    <row r="25" customFormat="false" ht="19.5" hidden="false" customHeight="true" outlineLevel="0" collapsed="false">
      <c r="A25" s="25" t="s">
        <v>673</v>
      </c>
      <c r="B25" s="25" t="s">
        <v>533</v>
      </c>
      <c r="C25" s="12" t="s">
        <v>651</v>
      </c>
      <c r="D25" s="12" t="s">
        <v>260</v>
      </c>
      <c r="E25" s="25" t="s">
        <v>663</v>
      </c>
      <c r="F25" s="25" t="s">
        <v>626</v>
      </c>
      <c r="G25" s="25" t="s">
        <v>627</v>
      </c>
      <c r="H25" s="14" t="n">
        <v>3.7</v>
      </c>
      <c r="I25" s="29"/>
      <c r="J25" s="25" t="s">
        <v>86</v>
      </c>
      <c r="K25" s="22" t="s">
        <v>664</v>
      </c>
      <c r="L25" s="12" t="s">
        <v>665</v>
      </c>
    </row>
    <row r="26" customFormat="false" ht="19.5" hidden="false" customHeight="true" outlineLevel="0" collapsed="false">
      <c r="A26" s="27" t="s">
        <v>674</v>
      </c>
      <c r="B26" s="27" t="s">
        <v>540</v>
      </c>
      <c r="C26" s="9" t="s">
        <v>654</v>
      </c>
      <c r="D26" s="9" t="s">
        <v>260</v>
      </c>
      <c r="E26" s="27" t="s">
        <v>663</v>
      </c>
      <c r="F26" s="27" t="s">
        <v>626</v>
      </c>
      <c r="G26" s="27" t="s">
        <v>627</v>
      </c>
      <c r="H26" s="11" t="n">
        <v>1.6</v>
      </c>
      <c r="I26" s="30"/>
      <c r="J26" s="27" t="s">
        <v>86</v>
      </c>
      <c r="K26" s="23" t="s">
        <v>664</v>
      </c>
      <c r="L26" s="9" t="s">
        <v>665</v>
      </c>
    </row>
    <row r="27" customFormat="false" ht="19.5" hidden="false" customHeight="true" outlineLevel="0" collapsed="false">
      <c r="A27" s="25" t="s">
        <v>675</v>
      </c>
      <c r="B27" s="25" t="s">
        <v>276</v>
      </c>
      <c r="C27" s="12" t="s">
        <v>676</v>
      </c>
      <c r="D27" s="12" t="s">
        <v>260</v>
      </c>
      <c r="E27" s="25" t="s">
        <v>663</v>
      </c>
      <c r="F27" s="25" t="s">
        <v>626</v>
      </c>
      <c r="G27" s="25" t="s">
        <v>627</v>
      </c>
      <c r="H27" s="14" t="n">
        <v>0.6</v>
      </c>
      <c r="I27" s="29"/>
      <c r="J27" s="25" t="s">
        <v>86</v>
      </c>
      <c r="K27" s="22" t="s">
        <v>664</v>
      </c>
      <c r="L27" s="12" t="s">
        <v>665</v>
      </c>
    </row>
    <row r="28" customFormat="false" ht="19.5" hidden="false" customHeight="true" outlineLevel="0" collapsed="false">
      <c r="A28" s="27" t="s">
        <v>677</v>
      </c>
      <c r="B28" s="27" t="s">
        <v>257</v>
      </c>
      <c r="C28" s="9" t="s">
        <v>657</v>
      </c>
      <c r="D28" s="9" t="s">
        <v>260</v>
      </c>
      <c r="E28" s="27" t="s">
        <v>663</v>
      </c>
      <c r="F28" s="27" t="s">
        <v>626</v>
      </c>
      <c r="G28" s="27" t="s">
        <v>627</v>
      </c>
      <c r="H28" s="11" t="n">
        <v>1.88</v>
      </c>
      <c r="I28" s="30"/>
      <c r="J28" s="27" t="s">
        <v>86</v>
      </c>
      <c r="K28" s="23" t="s">
        <v>664</v>
      </c>
      <c r="L28" s="9" t="s">
        <v>665</v>
      </c>
    </row>
    <row r="29" customFormat="false" ht="19.5" hidden="false" customHeight="true" outlineLevel="0" collapsed="false">
      <c r="A29" s="25" t="s">
        <v>678</v>
      </c>
      <c r="B29" s="25" t="s">
        <v>586</v>
      </c>
      <c r="C29" s="12" t="s">
        <v>660</v>
      </c>
      <c r="D29" s="12" t="s">
        <v>588</v>
      </c>
      <c r="E29" s="25" t="s">
        <v>663</v>
      </c>
      <c r="F29" s="25" t="s">
        <v>626</v>
      </c>
      <c r="G29" s="25" t="s">
        <v>627</v>
      </c>
      <c r="H29" s="14" t="n">
        <v>8.1</v>
      </c>
      <c r="I29" s="29"/>
      <c r="J29" s="25" t="s">
        <v>86</v>
      </c>
      <c r="K29" s="22" t="s">
        <v>664</v>
      </c>
      <c r="L29" s="12" t="s">
        <v>665</v>
      </c>
    </row>
    <row r="30" customFormat="false" ht="19.5" hidden="false" customHeight="true" outlineLevel="0" collapsed="false">
      <c r="A30" s="27" t="s">
        <v>679</v>
      </c>
      <c r="B30" s="27" t="s">
        <v>557</v>
      </c>
      <c r="C30" s="9" t="s">
        <v>624</v>
      </c>
      <c r="D30" s="9" t="s">
        <v>559</v>
      </c>
      <c r="E30" s="27" t="s">
        <v>680</v>
      </c>
      <c r="F30" s="27" t="s">
        <v>626</v>
      </c>
      <c r="G30" s="27" t="s">
        <v>627</v>
      </c>
      <c r="H30" s="11" t="n">
        <v>3.2</v>
      </c>
      <c r="I30" s="31" t="n">
        <v>0.2</v>
      </c>
      <c r="J30" s="27" t="s">
        <v>86</v>
      </c>
      <c r="K30" s="23" t="s">
        <v>681</v>
      </c>
      <c r="L30" s="9" t="s">
        <v>682</v>
      </c>
    </row>
    <row r="31" customFormat="false" ht="19.5" hidden="false" customHeight="true" outlineLevel="0" collapsed="false">
      <c r="A31" s="25" t="s">
        <v>683</v>
      </c>
      <c r="B31" s="25" t="s">
        <v>564</v>
      </c>
      <c r="C31" s="12" t="s">
        <v>630</v>
      </c>
      <c r="D31" s="12" t="s">
        <v>559</v>
      </c>
      <c r="E31" s="25" t="s">
        <v>680</v>
      </c>
      <c r="F31" s="25" t="s">
        <v>626</v>
      </c>
      <c r="G31" s="25" t="s">
        <v>627</v>
      </c>
      <c r="H31" s="14" t="n">
        <v>2.4</v>
      </c>
      <c r="I31" s="32" t="n">
        <v>-0.2</v>
      </c>
      <c r="J31" s="25" t="s">
        <v>86</v>
      </c>
      <c r="K31" s="22" t="s">
        <v>681</v>
      </c>
      <c r="L31" s="12" t="s">
        <v>682</v>
      </c>
    </row>
    <row r="32" customFormat="false" ht="19.5" hidden="false" customHeight="true" outlineLevel="0" collapsed="false">
      <c r="A32" s="27" t="s">
        <v>684</v>
      </c>
      <c r="B32" s="27" t="s">
        <v>552</v>
      </c>
      <c r="C32" s="9" t="s">
        <v>633</v>
      </c>
      <c r="D32" s="9" t="s">
        <v>554</v>
      </c>
      <c r="E32" s="27" t="s">
        <v>680</v>
      </c>
      <c r="F32" s="27" t="s">
        <v>626</v>
      </c>
      <c r="G32" s="27" t="s">
        <v>627</v>
      </c>
      <c r="H32" s="11" t="n">
        <v>4.76</v>
      </c>
      <c r="I32" s="31" t="n">
        <v>-0.14</v>
      </c>
      <c r="J32" s="27" t="s">
        <v>86</v>
      </c>
      <c r="K32" s="23" t="s">
        <v>681</v>
      </c>
      <c r="L32" s="9" t="s">
        <v>682</v>
      </c>
    </row>
    <row r="33" customFormat="false" ht="19.5" hidden="false" customHeight="true" outlineLevel="0" collapsed="false">
      <c r="A33" s="25" t="s">
        <v>685</v>
      </c>
      <c r="B33" s="25" t="s">
        <v>411</v>
      </c>
      <c r="C33" s="12" t="s">
        <v>636</v>
      </c>
      <c r="D33" s="12" t="s">
        <v>554</v>
      </c>
      <c r="E33" s="25" t="s">
        <v>680</v>
      </c>
      <c r="F33" s="25" t="s">
        <v>626</v>
      </c>
      <c r="G33" s="25" t="s">
        <v>627</v>
      </c>
      <c r="H33" s="14" t="n">
        <v>6.3</v>
      </c>
      <c r="I33" s="32" t="n">
        <v>0.48</v>
      </c>
      <c r="J33" s="25" t="s">
        <v>86</v>
      </c>
      <c r="K33" s="22" t="s">
        <v>681</v>
      </c>
      <c r="L33" s="12" t="s">
        <v>682</v>
      </c>
    </row>
    <row r="34" customFormat="false" ht="19.5" hidden="false" customHeight="true" outlineLevel="0" collapsed="false">
      <c r="A34" s="27" t="s">
        <v>686</v>
      </c>
      <c r="B34" s="27" t="s">
        <v>377</v>
      </c>
      <c r="C34" s="9" t="s">
        <v>639</v>
      </c>
      <c r="D34" s="9" t="s">
        <v>260</v>
      </c>
      <c r="E34" s="27" t="s">
        <v>680</v>
      </c>
      <c r="F34" s="27" t="s">
        <v>626</v>
      </c>
      <c r="G34" s="27" t="s">
        <v>627</v>
      </c>
      <c r="H34" s="11" t="n">
        <v>5.55</v>
      </c>
      <c r="I34" s="31" t="n">
        <v>0.15</v>
      </c>
      <c r="J34" s="27" t="s">
        <v>86</v>
      </c>
      <c r="K34" s="23" t="s">
        <v>681</v>
      </c>
      <c r="L34" s="9" t="s">
        <v>682</v>
      </c>
    </row>
    <row r="35" customFormat="false" ht="19.5" hidden="false" customHeight="true" outlineLevel="0" collapsed="false">
      <c r="A35" s="25" t="s">
        <v>687</v>
      </c>
      <c r="B35" s="25" t="s">
        <v>576</v>
      </c>
      <c r="C35" s="12" t="s">
        <v>642</v>
      </c>
      <c r="D35" s="12" t="s">
        <v>344</v>
      </c>
      <c r="E35" s="25" t="s">
        <v>680</v>
      </c>
      <c r="F35" s="25" t="s">
        <v>626</v>
      </c>
      <c r="G35" s="25" t="s">
        <v>627</v>
      </c>
      <c r="H35" s="14" t="n">
        <v>2.9</v>
      </c>
      <c r="I35" s="32" t="n">
        <v>-0.3</v>
      </c>
      <c r="J35" s="25" t="s">
        <v>86</v>
      </c>
      <c r="K35" s="22" t="s">
        <v>681</v>
      </c>
      <c r="L35" s="12" t="s">
        <v>682</v>
      </c>
    </row>
    <row r="36" customFormat="false" ht="19.5" hidden="false" customHeight="true" outlineLevel="0" collapsed="false">
      <c r="A36" s="27" t="s">
        <v>688</v>
      </c>
      <c r="B36" s="27" t="s">
        <v>570</v>
      </c>
      <c r="C36" s="9" t="s">
        <v>645</v>
      </c>
      <c r="D36" s="9" t="s">
        <v>344</v>
      </c>
      <c r="E36" s="27" t="s">
        <v>680</v>
      </c>
      <c r="F36" s="27" t="s">
        <v>626</v>
      </c>
      <c r="G36" s="27" t="s">
        <v>627</v>
      </c>
      <c r="H36" s="11" t="n">
        <v>6.8</v>
      </c>
      <c r="I36" s="31" t="n">
        <v>-0.3</v>
      </c>
      <c r="J36" s="27" t="s">
        <v>86</v>
      </c>
      <c r="K36" s="23" t="s">
        <v>681</v>
      </c>
      <c r="L36" s="9" t="s">
        <v>682</v>
      </c>
    </row>
    <row r="37" customFormat="false" ht="19.5" hidden="false" customHeight="true" outlineLevel="0" collapsed="false">
      <c r="A37" s="25" t="s">
        <v>689</v>
      </c>
      <c r="B37" s="25" t="s">
        <v>266</v>
      </c>
      <c r="C37" s="12" t="s">
        <v>648</v>
      </c>
      <c r="D37" s="12" t="s">
        <v>260</v>
      </c>
      <c r="E37" s="25" t="s">
        <v>680</v>
      </c>
      <c r="F37" s="25" t="s">
        <v>626</v>
      </c>
      <c r="G37" s="25" t="s">
        <v>627</v>
      </c>
      <c r="H37" s="14" t="n">
        <v>1</v>
      </c>
      <c r="I37" s="32" t="n">
        <v>-0.3</v>
      </c>
      <c r="J37" s="25" t="s">
        <v>86</v>
      </c>
      <c r="K37" s="22" t="s">
        <v>681</v>
      </c>
      <c r="L37" s="12" t="s">
        <v>682</v>
      </c>
    </row>
    <row r="38" customFormat="false" ht="19.5" hidden="false" customHeight="true" outlineLevel="0" collapsed="false">
      <c r="A38" s="27" t="s">
        <v>690</v>
      </c>
      <c r="B38" s="27" t="s">
        <v>533</v>
      </c>
      <c r="C38" s="9" t="s">
        <v>651</v>
      </c>
      <c r="D38" s="9" t="s">
        <v>260</v>
      </c>
      <c r="E38" s="27" t="s">
        <v>680</v>
      </c>
      <c r="F38" s="27" t="s">
        <v>626</v>
      </c>
      <c r="G38" s="27" t="s">
        <v>627</v>
      </c>
      <c r="H38" s="11" t="n">
        <v>3.3</v>
      </c>
      <c r="I38" s="31" t="n">
        <v>-0.4</v>
      </c>
      <c r="J38" s="27" t="s">
        <v>86</v>
      </c>
      <c r="K38" s="23" t="s">
        <v>681</v>
      </c>
      <c r="L38" s="9" t="s">
        <v>682</v>
      </c>
    </row>
    <row r="39" customFormat="false" ht="19.5" hidden="false" customHeight="true" outlineLevel="0" collapsed="false">
      <c r="A39" s="25" t="s">
        <v>691</v>
      </c>
      <c r="B39" s="25" t="s">
        <v>540</v>
      </c>
      <c r="C39" s="12" t="s">
        <v>654</v>
      </c>
      <c r="D39" s="12" t="s">
        <v>260</v>
      </c>
      <c r="E39" s="25" t="s">
        <v>680</v>
      </c>
      <c r="F39" s="25" t="s">
        <v>626</v>
      </c>
      <c r="G39" s="25" t="s">
        <v>627</v>
      </c>
      <c r="H39" s="14" t="n">
        <v>1.55</v>
      </c>
      <c r="I39" s="32" t="n">
        <v>-0.05</v>
      </c>
      <c r="J39" s="25" t="s">
        <v>86</v>
      </c>
      <c r="K39" s="22" t="s">
        <v>681</v>
      </c>
      <c r="L39" s="12" t="s">
        <v>682</v>
      </c>
    </row>
    <row r="40" customFormat="false" ht="19.5" hidden="false" customHeight="true" outlineLevel="0" collapsed="false">
      <c r="A40" s="27" t="s">
        <v>692</v>
      </c>
      <c r="B40" s="27" t="s">
        <v>276</v>
      </c>
      <c r="C40" s="9" t="s">
        <v>676</v>
      </c>
      <c r="D40" s="9" t="s">
        <v>260</v>
      </c>
      <c r="E40" s="27" t="s">
        <v>680</v>
      </c>
      <c r="F40" s="27" t="s">
        <v>626</v>
      </c>
      <c r="G40" s="27" t="s">
        <v>627</v>
      </c>
      <c r="H40" s="11" t="n">
        <v>0.5</v>
      </c>
      <c r="I40" s="31" t="n">
        <v>-0.1</v>
      </c>
      <c r="J40" s="27" t="s">
        <v>86</v>
      </c>
      <c r="K40" s="23" t="s">
        <v>681</v>
      </c>
      <c r="L40" s="9" t="s">
        <v>682</v>
      </c>
    </row>
    <row r="41" customFormat="false" ht="19.5" hidden="false" customHeight="true" outlineLevel="0" collapsed="false">
      <c r="A41" s="25" t="s">
        <v>693</v>
      </c>
      <c r="B41" s="25" t="s">
        <v>257</v>
      </c>
      <c r="C41" s="12" t="s">
        <v>657</v>
      </c>
      <c r="D41" s="12" t="s">
        <v>260</v>
      </c>
      <c r="E41" s="25" t="s">
        <v>680</v>
      </c>
      <c r="F41" s="25" t="s">
        <v>626</v>
      </c>
      <c r="G41" s="25" t="s">
        <v>627</v>
      </c>
      <c r="H41" s="14" t="n">
        <v>1.72</v>
      </c>
      <c r="I41" s="32" t="n">
        <v>-0.16</v>
      </c>
      <c r="J41" s="25" t="s">
        <v>86</v>
      </c>
      <c r="K41" s="22" t="s">
        <v>681</v>
      </c>
      <c r="L41" s="12" t="s">
        <v>682</v>
      </c>
    </row>
    <row r="42" customFormat="false" ht="19.5" hidden="false" customHeight="true" outlineLevel="0" collapsed="false">
      <c r="A42" s="27" t="s">
        <v>694</v>
      </c>
      <c r="B42" s="27" t="s">
        <v>586</v>
      </c>
      <c r="C42" s="9" t="s">
        <v>660</v>
      </c>
      <c r="D42" s="9" t="s">
        <v>588</v>
      </c>
      <c r="E42" s="27" t="s">
        <v>680</v>
      </c>
      <c r="F42" s="27" t="s">
        <v>626</v>
      </c>
      <c r="G42" s="27" t="s">
        <v>627</v>
      </c>
      <c r="H42" s="11" t="n">
        <v>7.7</v>
      </c>
      <c r="I42" s="31" t="n">
        <v>-0.4</v>
      </c>
      <c r="J42" s="27" t="s">
        <v>86</v>
      </c>
      <c r="K42" s="23" t="s">
        <v>681</v>
      </c>
      <c r="L42" s="9" t="s">
        <v>682</v>
      </c>
    </row>
    <row r="43" customFormat="false" ht="19.5" hidden="false" customHeight="true" outlineLevel="0" collapsed="false">
      <c r="A43" s="25" t="s">
        <v>695</v>
      </c>
      <c r="B43" s="25" t="s">
        <v>557</v>
      </c>
      <c r="C43" s="12" t="s">
        <v>624</v>
      </c>
      <c r="D43" s="12" t="s">
        <v>559</v>
      </c>
      <c r="E43" s="25" t="s">
        <v>696</v>
      </c>
      <c r="F43" s="25" t="s">
        <v>626</v>
      </c>
      <c r="G43" s="25" t="s">
        <v>627</v>
      </c>
      <c r="H43" s="14" t="n">
        <v>3.3</v>
      </c>
      <c r="I43" s="32" t="n">
        <v>0.1</v>
      </c>
      <c r="J43" s="25" t="s">
        <v>86</v>
      </c>
      <c r="K43" s="22" t="s">
        <v>697</v>
      </c>
      <c r="L43" s="12" t="s">
        <v>698</v>
      </c>
    </row>
    <row r="44" customFormat="false" ht="19.5" hidden="false" customHeight="true" outlineLevel="0" collapsed="false">
      <c r="A44" s="27" t="s">
        <v>699</v>
      </c>
      <c r="B44" s="27" t="s">
        <v>564</v>
      </c>
      <c r="C44" s="9" t="s">
        <v>630</v>
      </c>
      <c r="D44" s="9" t="s">
        <v>559</v>
      </c>
      <c r="E44" s="27" t="s">
        <v>696</v>
      </c>
      <c r="F44" s="27" t="s">
        <v>626</v>
      </c>
      <c r="G44" s="27" t="s">
        <v>627</v>
      </c>
      <c r="H44" s="11" t="n">
        <v>2.2</v>
      </c>
      <c r="I44" s="31" t="n">
        <v>-0.2</v>
      </c>
      <c r="J44" s="27" t="s">
        <v>86</v>
      </c>
      <c r="K44" s="23" t="s">
        <v>697</v>
      </c>
      <c r="L44" s="9" t="s">
        <v>698</v>
      </c>
    </row>
    <row r="45" customFormat="false" ht="19.5" hidden="false" customHeight="true" outlineLevel="0" collapsed="false">
      <c r="A45" s="25" t="s">
        <v>700</v>
      </c>
      <c r="B45" s="25" t="s">
        <v>552</v>
      </c>
      <c r="C45" s="12" t="s">
        <v>633</v>
      </c>
      <c r="D45" s="12" t="s">
        <v>554</v>
      </c>
      <c r="E45" s="25" t="s">
        <v>696</v>
      </c>
      <c r="F45" s="25" t="s">
        <v>626</v>
      </c>
      <c r="G45" s="25" t="s">
        <v>627</v>
      </c>
      <c r="H45" s="14" t="n">
        <v>4.9</v>
      </c>
      <c r="I45" s="32" t="n">
        <v>0.14</v>
      </c>
      <c r="J45" s="25" t="s">
        <v>86</v>
      </c>
      <c r="K45" s="22" t="s">
        <v>697</v>
      </c>
      <c r="L45" s="12" t="s">
        <v>698</v>
      </c>
    </row>
    <row r="46" customFormat="false" ht="19.5" hidden="false" customHeight="true" outlineLevel="0" collapsed="false">
      <c r="A46" s="27" t="s">
        <v>701</v>
      </c>
      <c r="B46" s="27" t="s">
        <v>411</v>
      </c>
      <c r="C46" s="9" t="s">
        <v>636</v>
      </c>
      <c r="D46" s="9" t="s">
        <v>554</v>
      </c>
      <c r="E46" s="27" t="s">
        <v>696</v>
      </c>
      <c r="F46" s="27" t="s">
        <v>626</v>
      </c>
      <c r="G46" s="27" t="s">
        <v>627</v>
      </c>
      <c r="H46" s="11" t="n">
        <v>6.5</v>
      </c>
      <c r="I46" s="31" t="n">
        <v>0.2</v>
      </c>
      <c r="J46" s="27" t="s">
        <v>86</v>
      </c>
      <c r="K46" s="23" t="s">
        <v>697</v>
      </c>
      <c r="L46" s="9" t="s">
        <v>698</v>
      </c>
    </row>
    <row r="47" customFormat="false" ht="19.5" hidden="false" customHeight="true" outlineLevel="0" collapsed="false">
      <c r="A47" s="25" t="s">
        <v>702</v>
      </c>
      <c r="B47" s="25" t="s">
        <v>377</v>
      </c>
      <c r="C47" s="12" t="s">
        <v>639</v>
      </c>
      <c r="D47" s="12" t="s">
        <v>260</v>
      </c>
      <c r="E47" s="25" t="s">
        <v>696</v>
      </c>
      <c r="F47" s="25" t="s">
        <v>626</v>
      </c>
      <c r="G47" s="25" t="s">
        <v>627</v>
      </c>
      <c r="H47" s="14" t="n">
        <v>5.55</v>
      </c>
      <c r="I47" s="32" t="n">
        <v>0</v>
      </c>
      <c r="J47" s="25" t="s">
        <v>86</v>
      </c>
      <c r="K47" s="22" t="s">
        <v>697</v>
      </c>
      <c r="L47" s="12" t="s">
        <v>698</v>
      </c>
    </row>
    <row r="48" customFormat="false" ht="19.5" hidden="false" customHeight="true" outlineLevel="0" collapsed="false">
      <c r="A48" s="27" t="s">
        <v>703</v>
      </c>
      <c r="B48" s="27" t="s">
        <v>576</v>
      </c>
      <c r="C48" s="9" t="s">
        <v>642</v>
      </c>
      <c r="D48" s="9" t="s">
        <v>344</v>
      </c>
      <c r="E48" s="27" t="s">
        <v>696</v>
      </c>
      <c r="F48" s="27" t="s">
        <v>626</v>
      </c>
      <c r="G48" s="27" t="s">
        <v>627</v>
      </c>
      <c r="H48" s="11" t="n">
        <v>2.8</v>
      </c>
      <c r="I48" s="31" t="n">
        <v>-0.1</v>
      </c>
      <c r="J48" s="27" t="s">
        <v>86</v>
      </c>
      <c r="K48" s="23" t="s">
        <v>697</v>
      </c>
      <c r="L48" s="9" t="s">
        <v>698</v>
      </c>
    </row>
    <row r="49" customFormat="false" ht="19.5" hidden="false" customHeight="true" outlineLevel="0" collapsed="false">
      <c r="A49" s="25" t="s">
        <v>704</v>
      </c>
      <c r="B49" s="25" t="s">
        <v>570</v>
      </c>
      <c r="C49" s="12" t="s">
        <v>645</v>
      </c>
      <c r="D49" s="12" t="s">
        <v>344</v>
      </c>
      <c r="E49" s="25" t="s">
        <v>696</v>
      </c>
      <c r="F49" s="25" t="s">
        <v>626</v>
      </c>
      <c r="G49" s="25" t="s">
        <v>627</v>
      </c>
      <c r="H49" s="14" t="n">
        <v>6.6</v>
      </c>
      <c r="I49" s="32" t="n">
        <v>-0.2</v>
      </c>
      <c r="J49" s="25" t="s">
        <v>86</v>
      </c>
      <c r="K49" s="22" t="s">
        <v>697</v>
      </c>
      <c r="L49" s="12" t="s">
        <v>698</v>
      </c>
    </row>
    <row r="50" customFormat="false" ht="19.5" hidden="false" customHeight="true" outlineLevel="0" collapsed="false">
      <c r="A50" s="27" t="s">
        <v>705</v>
      </c>
      <c r="B50" s="27" t="s">
        <v>266</v>
      </c>
      <c r="C50" s="9" t="s">
        <v>648</v>
      </c>
      <c r="D50" s="9" t="s">
        <v>260</v>
      </c>
      <c r="E50" s="27" t="s">
        <v>696</v>
      </c>
      <c r="F50" s="27" t="s">
        <v>626</v>
      </c>
      <c r="G50" s="27" t="s">
        <v>627</v>
      </c>
      <c r="H50" s="11" t="n">
        <v>0.8</v>
      </c>
      <c r="I50" s="31" t="n">
        <v>-0.2</v>
      </c>
      <c r="J50" s="27" t="s">
        <v>86</v>
      </c>
      <c r="K50" s="23" t="s">
        <v>697</v>
      </c>
      <c r="L50" s="9" t="s">
        <v>698</v>
      </c>
    </row>
    <row r="51" customFormat="false" ht="19.5" hidden="false" customHeight="true" outlineLevel="0" collapsed="false">
      <c r="A51" s="25" t="s">
        <v>706</v>
      </c>
      <c r="B51" s="25" t="s">
        <v>533</v>
      </c>
      <c r="C51" s="12" t="s">
        <v>651</v>
      </c>
      <c r="D51" s="12" t="s">
        <v>260</v>
      </c>
      <c r="E51" s="25" t="s">
        <v>696</v>
      </c>
      <c r="F51" s="25" t="s">
        <v>626</v>
      </c>
      <c r="G51" s="25" t="s">
        <v>627</v>
      </c>
      <c r="H51" s="14" t="n">
        <v>2.8</v>
      </c>
      <c r="I51" s="32" t="n">
        <v>-0.5</v>
      </c>
      <c r="J51" s="25" t="s">
        <v>86</v>
      </c>
      <c r="K51" s="22" t="s">
        <v>697</v>
      </c>
      <c r="L51" s="12" t="s">
        <v>698</v>
      </c>
    </row>
    <row r="52" customFormat="false" ht="19.5" hidden="false" customHeight="true" outlineLevel="0" collapsed="false">
      <c r="A52" s="27" t="s">
        <v>707</v>
      </c>
      <c r="B52" s="27" t="s">
        <v>540</v>
      </c>
      <c r="C52" s="9" t="s">
        <v>654</v>
      </c>
      <c r="D52" s="9" t="s">
        <v>260</v>
      </c>
      <c r="E52" s="27" t="s">
        <v>696</v>
      </c>
      <c r="F52" s="27" t="s">
        <v>626</v>
      </c>
      <c r="G52" s="27" t="s">
        <v>627</v>
      </c>
      <c r="H52" s="11" t="n">
        <v>1.45</v>
      </c>
      <c r="I52" s="31" t="n">
        <v>-0.1</v>
      </c>
      <c r="J52" s="27" t="s">
        <v>86</v>
      </c>
      <c r="K52" s="23" t="s">
        <v>697</v>
      </c>
      <c r="L52" s="9" t="s">
        <v>698</v>
      </c>
    </row>
    <row r="53" customFormat="false" ht="19.5" hidden="false" customHeight="true" outlineLevel="0" collapsed="false">
      <c r="A53" s="25" t="s">
        <v>708</v>
      </c>
      <c r="B53" s="25" t="s">
        <v>276</v>
      </c>
      <c r="C53" s="12" t="s">
        <v>676</v>
      </c>
      <c r="D53" s="12" t="s">
        <v>260</v>
      </c>
      <c r="E53" s="25" t="s">
        <v>696</v>
      </c>
      <c r="F53" s="25" t="s">
        <v>626</v>
      </c>
      <c r="G53" s="25" t="s">
        <v>627</v>
      </c>
      <c r="H53" s="14" t="n">
        <v>0.4</v>
      </c>
      <c r="I53" s="32" t="n">
        <v>-0.1</v>
      </c>
      <c r="J53" s="25" t="s">
        <v>86</v>
      </c>
      <c r="K53" s="22" t="s">
        <v>697</v>
      </c>
      <c r="L53" s="12" t="s">
        <v>698</v>
      </c>
    </row>
    <row r="54" customFormat="false" ht="19.5" hidden="false" customHeight="true" outlineLevel="0" collapsed="false">
      <c r="A54" s="27" t="s">
        <v>709</v>
      </c>
      <c r="B54" s="27" t="s">
        <v>257</v>
      </c>
      <c r="C54" s="9" t="s">
        <v>657</v>
      </c>
      <c r="D54" s="9" t="s">
        <v>260</v>
      </c>
      <c r="E54" s="27" t="s">
        <v>696</v>
      </c>
      <c r="F54" s="27" t="s">
        <v>626</v>
      </c>
      <c r="G54" s="27" t="s">
        <v>627</v>
      </c>
      <c r="H54" s="11" t="n">
        <v>1.56</v>
      </c>
      <c r="I54" s="31" t="n">
        <v>-0.16</v>
      </c>
      <c r="J54" s="27" t="s">
        <v>86</v>
      </c>
      <c r="K54" s="23" t="s">
        <v>697</v>
      </c>
      <c r="L54" s="9" t="s">
        <v>698</v>
      </c>
    </row>
    <row r="55" customFormat="false" ht="19.5" hidden="false" customHeight="true" outlineLevel="0" collapsed="false">
      <c r="A55" s="25" t="s">
        <v>710</v>
      </c>
      <c r="B55" s="25" t="s">
        <v>586</v>
      </c>
      <c r="C55" s="12" t="s">
        <v>660</v>
      </c>
      <c r="D55" s="12" t="s">
        <v>588</v>
      </c>
      <c r="E55" s="25" t="s">
        <v>696</v>
      </c>
      <c r="F55" s="25" t="s">
        <v>626</v>
      </c>
      <c r="G55" s="25" t="s">
        <v>627</v>
      </c>
      <c r="H55" s="14" t="n">
        <v>7.5</v>
      </c>
      <c r="I55" s="32" t="n">
        <v>-0.2</v>
      </c>
      <c r="J55" s="25" t="s">
        <v>86</v>
      </c>
      <c r="K55" s="22" t="s">
        <v>697</v>
      </c>
      <c r="L55" s="12" t="s">
        <v>698</v>
      </c>
    </row>
    <row r="56" customFormat="false" ht="19.5" hidden="false" customHeight="true" outlineLevel="0" collapsed="false">
      <c r="A56" s="27" t="s">
        <v>711</v>
      </c>
      <c r="B56" s="27" t="s">
        <v>557</v>
      </c>
      <c r="C56" s="9" t="s">
        <v>624</v>
      </c>
      <c r="D56" s="9" t="s">
        <v>559</v>
      </c>
      <c r="E56" s="27" t="s">
        <v>712</v>
      </c>
      <c r="F56" s="27" t="s">
        <v>626</v>
      </c>
      <c r="G56" s="27" t="s">
        <v>627</v>
      </c>
      <c r="H56" s="11" t="n">
        <v>3.4</v>
      </c>
      <c r="I56" s="31" t="n">
        <v>0.1</v>
      </c>
      <c r="J56" s="27" t="s">
        <v>86</v>
      </c>
      <c r="K56" s="23" t="s">
        <v>713</v>
      </c>
      <c r="L56" s="9" t="s">
        <v>714</v>
      </c>
    </row>
    <row r="57" customFormat="false" ht="19.5" hidden="false" customHeight="true" outlineLevel="0" collapsed="false">
      <c r="A57" s="25" t="s">
        <v>715</v>
      </c>
      <c r="B57" s="25" t="s">
        <v>564</v>
      </c>
      <c r="C57" s="12" t="s">
        <v>630</v>
      </c>
      <c r="D57" s="12" t="s">
        <v>559</v>
      </c>
      <c r="E57" s="25" t="s">
        <v>712</v>
      </c>
      <c r="F57" s="25" t="s">
        <v>626</v>
      </c>
      <c r="G57" s="25" t="s">
        <v>627</v>
      </c>
      <c r="H57" s="14" t="n">
        <v>2</v>
      </c>
      <c r="I57" s="32" t="n">
        <v>-0.2</v>
      </c>
      <c r="J57" s="25" t="s">
        <v>86</v>
      </c>
      <c r="K57" s="22" t="s">
        <v>713</v>
      </c>
      <c r="L57" s="12" t="s">
        <v>714</v>
      </c>
    </row>
    <row r="58" customFormat="false" ht="19.5" hidden="false" customHeight="true" outlineLevel="0" collapsed="false">
      <c r="A58" s="27" t="s">
        <v>716</v>
      </c>
      <c r="B58" s="27" t="s">
        <v>552</v>
      </c>
      <c r="C58" s="9" t="s">
        <v>633</v>
      </c>
      <c r="D58" s="9" t="s">
        <v>554</v>
      </c>
      <c r="E58" s="27" t="s">
        <v>712</v>
      </c>
      <c r="F58" s="27" t="s">
        <v>626</v>
      </c>
      <c r="G58" s="27" t="s">
        <v>627</v>
      </c>
      <c r="H58" s="11" t="n">
        <v>4.9</v>
      </c>
      <c r="I58" s="31" t="n">
        <v>0</v>
      </c>
      <c r="J58" s="27" t="s">
        <v>86</v>
      </c>
      <c r="K58" s="23" t="s">
        <v>713</v>
      </c>
      <c r="L58" s="9" t="s">
        <v>714</v>
      </c>
    </row>
    <row r="59" customFormat="false" ht="19.5" hidden="false" customHeight="true" outlineLevel="0" collapsed="false">
      <c r="A59" s="25" t="s">
        <v>717</v>
      </c>
      <c r="B59" s="25" t="s">
        <v>411</v>
      </c>
      <c r="C59" s="12" t="s">
        <v>636</v>
      </c>
      <c r="D59" s="12" t="s">
        <v>554</v>
      </c>
      <c r="E59" s="25" t="s">
        <v>712</v>
      </c>
      <c r="F59" s="25" t="s">
        <v>626</v>
      </c>
      <c r="G59" s="25" t="s">
        <v>627</v>
      </c>
      <c r="H59" s="14" t="n">
        <v>6.6</v>
      </c>
      <c r="I59" s="32" t="n">
        <v>0.1</v>
      </c>
      <c r="J59" s="25" t="s">
        <v>86</v>
      </c>
      <c r="K59" s="22" t="s">
        <v>713</v>
      </c>
      <c r="L59" s="12" t="s">
        <v>714</v>
      </c>
    </row>
    <row r="60" customFormat="false" ht="19.5" hidden="false" customHeight="true" outlineLevel="0" collapsed="false">
      <c r="A60" s="27" t="s">
        <v>718</v>
      </c>
      <c r="B60" s="27" t="s">
        <v>377</v>
      </c>
      <c r="C60" s="9" t="s">
        <v>639</v>
      </c>
      <c r="D60" s="9" t="s">
        <v>260</v>
      </c>
      <c r="E60" s="27" t="s">
        <v>712</v>
      </c>
      <c r="F60" s="27" t="s">
        <v>626</v>
      </c>
      <c r="G60" s="27" t="s">
        <v>627</v>
      </c>
      <c r="H60" s="11" t="n">
        <v>5.7</v>
      </c>
      <c r="I60" s="31" t="n">
        <v>0.15</v>
      </c>
      <c r="J60" s="27" t="s">
        <v>86</v>
      </c>
      <c r="K60" s="23" t="s">
        <v>713</v>
      </c>
      <c r="L60" s="9" t="s">
        <v>714</v>
      </c>
    </row>
    <row r="61" customFormat="false" ht="19.5" hidden="false" customHeight="true" outlineLevel="0" collapsed="false">
      <c r="A61" s="25" t="s">
        <v>719</v>
      </c>
      <c r="B61" s="25" t="s">
        <v>576</v>
      </c>
      <c r="C61" s="12" t="s">
        <v>642</v>
      </c>
      <c r="D61" s="12" t="s">
        <v>344</v>
      </c>
      <c r="E61" s="25" t="s">
        <v>712</v>
      </c>
      <c r="F61" s="25" t="s">
        <v>626</v>
      </c>
      <c r="G61" s="25" t="s">
        <v>627</v>
      </c>
      <c r="H61" s="14" t="n">
        <v>2.7</v>
      </c>
      <c r="I61" s="32" t="n">
        <v>-0.1</v>
      </c>
      <c r="J61" s="25" t="s">
        <v>86</v>
      </c>
      <c r="K61" s="22" t="s">
        <v>713</v>
      </c>
      <c r="L61" s="12" t="s">
        <v>714</v>
      </c>
    </row>
    <row r="62" customFormat="false" ht="19.5" hidden="false" customHeight="true" outlineLevel="0" collapsed="false">
      <c r="A62" s="27" t="s">
        <v>720</v>
      </c>
      <c r="B62" s="27" t="s">
        <v>570</v>
      </c>
      <c r="C62" s="9" t="s">
        <v>645</v>
      </c>
      <c r="D62" s="9" t="s">
        <v>344</v>
      </c>
      <c r="E62" s="27" t="s">
        <v>712</v>
      </c>
      <c r="F62" s="27" t="s">
        <v>626</v>
      </c>
      <c r="G62" s="27" t="s">
        <v>627</v>
      </c>
      <c r="H62" s="11" t="n">
        <v>6.6</v>
      </c>
      <c r="I62" s="31" t="n">
        <v>0</v>
      </c>
      <c r="J62" s="27" t="s">
        <v>86</v>
      </c>
      <c r="K62" s="23" t="s">
        <v>713</v>
      </c>
      <c r="L62" s="9" t="s">
        <v>714</v>
      </c>
    </row>
    <row r="63" customFormat="false" ht="19.5" hidden="false" customHeight="true" outlineLevel="0" collapsed="false">
      <c r="A63" s="25" t="s">
        <v>721</v>
      </c>
      <c r="B63" s="25" t="s">
        <v>266</v>
      </c>
      <c r="C63" s="12" t="s">
        <v>648</v>
      </c>
      <c r="D63" s="12" t="s">
        <v>260</v>
      </c>
      <c r="E63" s="25" t="s">
        <v>712</v>
      </c>
      <c r="F63" s="25" t="s">
        <v>626</v>
      </c>
      <c r="G63" s="25" t="s">
        <v>627</v>
      </c>
      <c r="H63" s="14" t="n">
        <v>0.5</v>
      </c>
      <c r="I63" s="32" t="n">
        <v>-0.3</v>
      </c>
      <c r="J63" s="25" t="s">
        <v>86</v>
      </c>
      <c r="K63" s="22" t="s">
        <v>713</v>
      </c>
      <c r="L63" s="12" t="s">
        <v>714</v>
      </c>
    </row>
    <row r="64" customFormat="false" ht="19.5" hidden="false" customHeight="true" outlineLevel="0" collapsed="false">
      <c r="A64" s="27" t="s">
        <v>722</v>
      </c>
      <c r="B64" s="27" t="s">
        <v>533</v>
      </c>
      <c r="C64" s="9" t="s">
        <v>651</v>
      </c>
      <c r="D64" s="9" t="s">
        <v>260</v>
      </c>
      <c r="E64" s="27" t="s">
        <v>712</v>
      </c>
      <c r="F64" s="27" t="s">
        <v>626</v>
      </c>
      <c r="G64" s="27" t="s">
        <v>627</v>
      </c>
      <c r="H64" s="11" t="n">
        <v>2.7</v>
      </c>
      <c r="I64" s="31" t="n">
        <v>-0.1</v>
      </c>
      <c r="J64" s="27" t="s">
        <v>86</v>
      </c>
      <c r="K64" s="23" t="s">
        <v>713</v>
      </c>
      <c r="L64" s="9" t="s">
        <v>714</v>
      </c>
    </row>
    <row r="65" customFormat="false" ht="19.5" hidden="false" customHeight="true" outlineLevel="0" collapsed="false">
      <c r="A65" s="25" t="s">
        <v>723</v>
      </c>
      <c r="B65" s="25" t="s">
        <v>540</v>
      </c>
      <c r="C65" s="12" t="s">
        <v>654</v>
      </c>
      <c r="D65" s="12" t="s">
        <v>260</v>
      </c>
      <c r="E65" s="25" t="s">
        <v>712</v>
      </c>
      <c r="F65" s="25" t="s">
        <v>626</v>
      </c>
      <c r="G65" s="25" t="s">
        <v>627</v>
      </c>
      <c r="H65" s="14" t="n">
        <v>1</v>
      </c>
      <c r="I65" s="32" t="n">
        <v>-0.45</v>
      </c>
      <c r="J65" s="25" t="s">
        <v>86</v>
      </c>
      <c r="K65" s="22" t="s">
        <v>713</v>
      </c>
      <c r="L65" s="12" t="s">
        <v>714</v>
      </c>
    </row>
    <row r="66" customFormat="false" ht="19.5" hidden="false" customHeight="true" outlineLevel="0" collapsed="false">
      <c r="A66" s="27" t="s">
        <v>724</v>
      </c>
      <c r="B66" s="27" t="s">
        <v>276</v>
      </c>
      <c r="C66" s="9" t="s">
        <v>676</v>
      </c>
      <c r="D66" s="9" t="s">
        <v>260</v>
      </c>
      <c r="E66" s="27" t="s">
        <v>712</v>
      </c>
      <c r="F66" s="27" t="s">
        <v>626</v>
      </c>
      <c r="G66" s="27" t="s">
        <v>627</v>
      </c>
      <c r="H66" s="11" t="n">
        <v>0.3</v>
      </c>
      <c r="I66" s="31" t="n">
        <v>-0.1</v>
      </c>
      <c r="J66" s="27" t="s">
        <v>86</v>
      </c>
      <c r="K66" s="23" t="s">
        <v>713</v>
      </c>
      <c r="L66" s="9" t="s">
        <v>714</v>
      </c>
    </row>
    <row r="67" customFormat="false" ht="19.5" hidden="false" customHeight="true" outlineLevel="0" collapsed="false">
      <c r="A67" s="25" t="s">
        <v>725</v>
      </c>
      <c r="B67" s="25" t="s">
        <v>257</v>
      </c>
      <c r="C67" s="12" t="s">
        <v>657</v>
      </c>
      <c r="D67" s="12" t="s">
        <v>260</v>
      </c>
      <c r="E67" s="25" t="s">
        <v>712</v>
      </c>
      <c r="F67" s="25" t="s">
        <v>626</v>
      </c>
      <c r="G67" s="25" t="s">
        <v>627</v>
      </c>
      <c r="H67" s="14" t="n">
        <v>1.5</v>
      </c>
      <c r="I67" s="32" t="n">
        <v>-0.06</v>
      </c>
      <c r="J67" s="25" t="s">
        <v>86</v>
      </c>
      <c r="K67" s="22" t="s">
        <v>713</v>
      </c>
      <c r="L67" s="12" t="s">
        <v>714</v>
      </c>
    </row>
    <row r="68" customFormat="false" ht="19.5" hidden="false" customHeight="true" outlineLevel="0" collapsed="false">
      <c r="A68" s="27" t="s">
        <v>726</v>
      </c>
      <c r="B68" s="27" t="s">
        <v>586</v>
      </c>
      <c r="C68" s="9" t="s">
        <v>660</v>
      </c>
      <c r="D68" s="9" t="s">
        <v>588</v>
      </c>
      <c r="E68" s="27" t="s">
        <v>712</v>
      </c>
      <c r="F68" s="27" t="s">
        <v>626</v>
      </c>
      <c r="G68" s="27" t="s">
        <v>627</v>
      </c>
      <c r="H68" s="11" t="n">
        <v>7.4</v>
      </c>
      <c r="I68" s="31" t="n">
        <v>-0.1</v>
      </c>
      <c r="J68" s="27" t="s">
        <v>86</v>
      </c>
      <c r="K68" s="23" t="s">
        <v>713</v>
      </c>
      <c r="L68" s="9" t="s">
        <v>714</v>
      </c>
    </row>
    <row r="69" customFormat="false" ht="19.5" hidden="false" customHeight="true" outlineLevel="0" collapsed="false">
      <c r="A69" s="25" t="s">
        <v>727</v>
      </c>
      <c r="B69" s="25" t="s">
        <v>557</v>
      </c>
      <c r="C69" s="12" t="s">
        <v>624</v>
      </c>
      <c r="D69" s="12" t="s">
        <v>559</v>
      </c>
      <c r="E69" s="25" t="s">
        <v>728</v>
      </c>
      <c r="F69" s="25" t="s">
        <v>626</v>
      </c>
      <c r="G69" s="25" t="s">
        <v>627</v>
      </c>
      <c r="H69" s="14" t="n">
        <v>3.5</v>
      </c>
      <c r="I69" s="32" t="n">
        <v>0.1</v>
      </c>
      <c r="J69" s="25" t="s">
        <v>86</v>
      </c>
      <c r="K69" s="22" t="s">
        <v>729</v>
      </c>
      <c r="L69" s="12" t="s">
        <v>730</v>
      </c>
    </row>
    <row r="70" customFormat="false" ht="19.5" hidden="false" customHeight="true" outlineLevel="0" collapsed="false">
      <c r="A70" s="27" t="s">
        <v>731</v>
      </c>
      <c r="B70" s="27" t="s">
        <v>564</v>
      </c>
      <c r="C70" s="9" t="s">
        <v>630</v>
      </c>
      <c r="D70" s="9" t="s">
        <v>559</v>
      </c>
      <c r="E70" s="27" t="s">
        <v>728</v>
      </c>
      <c r="F70" s="27" t="s">
        <v>626</v>
      </c>
      <c r="G70" s="27" t="s">
        <v>627</v>
      </c>
      <c r="H70" s="11" t="n">
        <v>1.8</v>
      </c>
      <c r="I70" s="31" t="n">
        <v>-0.2</v>
      </c>
      <c r="J70" s="27" t="s">
        <v>86</v>
      </c>
      <c r="K70" s="23" t="s">
        <v>729</v>
      </c>
      <c r="L70" s="9" t="s">
        <v>730</v>
      </c>
    </row>
    <row r="71" customFormat="false" ht="19.5" hidden="false" customHeight="true" outlineLevel="0" collapsed="false">
      <c r="A71" s="25" t="s">
        <v>732</v>
      </c>
      <c r="B71" s="25" t="s">
        <v>552</v>
      </c>
      <c r="C71" s="12" t="s">
        <v>633</v>
      </c>
      <c r="D71" s="12" t="s">
        <v>554</v>
      </c>
      <c r="E71" s="25" t="s">
        <v>728</v>
      </c>
      <c r="F71" s="25" t="s">
        <v>626</v>
      </c>
      <c r="G71" s="25" t="s">
        <v>627</v>
      </c>
      <c r="H71" s="14" t="n">
        <v>4.9</v>
      </c>
      <c r="I71" s="32" t="n">
        <v>0</v>
      </c>
      <c r="J71" s="25" t="s">
        <v>86</v>
      </c>
      <c r="K71" s="22" t="s">
        <v>729</v>
      </c>
      <c r="L71" s="12" t="s">
        <v>730</v>
      </c>
    </row>
    <row r="72" customFormat="false" ht="19.5" hidden="false" customHeight="true" outlineLevel="0" collapsed="false">
      <c r="A72" s="27" t="s">
        <v>733</v>
      </c>
      <c r="B72" s="27" t="s">
        <v>411</v>
      </c>
      <c r="C72" s="9" t="s">
        <v>636</v>
      </c>
      <c r="D72" s="9" t="s">
        <v>554</v>
      </c>
      <c r="E72" s="27" t="s">
        <v>728</v>
      </c>
      <c r="F72" s="27" t="s">
        <v>626</v>
      </c>
      <c r="G72" s="27" t="s">
        <v>627</v>
      </c>
      <c r="H72" s="11" t="n">
        <v>6.7</v>
      </c>
      <c r="I72" s="31" t="n">
        <v>0.1</v>
      </c>
      <c r="J72" s="27" t="s">
        <v>86</v>
      </c>
      <c r="K72" s="23" t="s">
        <v>729</v>
      </c>
      <c r="L72" s="9" t="s">
        <v>730</v>
      </c>
    </row>
    <row r="73" customFormat="false" ht="19.5" hidden="false" customHeight="true" outlineLevel="0" collapsed="false">
      <c r="A73" s="25" t="s">
        <v>734</v>
      </c>
      <c r="B73" s="25" t="s">
        <v>377</v>
      </c>
      <c r="C73" s="12" t="s">
        <v>639</v>
      </c>
      <c r="D73" s="12" t="s">
        <v>260</v>
      </c>
      <c r="E73" s="25" t="s">
        <v>728</v>
      </c>
      <c r="F73" s="25" t="s">
        <v>626</v>
      </c>
      <c r="G73" s="25" t="s">
        <v>627</v>
      </c>
      <c r="H73" s="14" t="n">
        <v>6</v>
      </c>
      <c r="I73" s="32" t="n">
        <v>0.3</v>
      </c>
      <c r="J73" s="25" t="s">
        <v>86</v>
      </c>
      <c r="K73" s="22" t="s">
        <v>729</v>
      </c>
      <c r="L73" s="12" t="s">
        <v>730</v>
      </c>
    </row>
    <row r="74" customFormat="false" ht="19.5" hidden="false" customHeight="true" outlineLevel="0" collapsed="false">
      <c r="A74" s="27" t="s">
        <v>735</v>
      </c>
      <c r="B74" s="27" t="s">
        <v>576</v>
      </c>
      <c r="C74" s="9" t="s">
        <v>642</v>
      </c>
      <c r="D74" s="9" t="s">
        <v>344</v>
      </c>
      <c r="E74" s="27" t="s">
        <v>728</v>
      </c>
      <c r="F74" s="27" t="s">
        <v>626</v>
      </c>
      <c r="G74" s="27" t="s">
        <v>627</v>
      </c>
      <c r="H74" s="11" t="n">
        <v>2.6</v>
      </c>
      <c r="I74" s="31" t="n">
        <v>-0.1</v>
      </c>
      <c r="J74" s="27" t="s">
        <v>86</v>
      </c>
      <c r="K74" s="23" t="s">
        <v>729</v>
      </c>
      <c r="L74" s="9" t="s">
        <v>730</v>
      </c>
    </row>
    <row r="75" customFormat="false" ht="19.5" hidden="false" customHeight="true" outlineLevel="0" collapsed="false">
      <c r="A75" s="25" t="s">
        <v>736</v>
      </c>
      <c r="B75" s="25" t="s">
        <v>570</v>
      </c>
      <c r="C75" s="12" t="s">
        <v>645</v>
      </c>
      <c r="D75" s="12" t="s">
        <v>344</v>
      </c>
      <c r="E75" s="25" t="s">
        <v>728</v>
      </c>
      <c r="F75" s="25" t="s">
        <v>626</v>
      </c>
      <c r="G75" s="25" t="s">
        <v>627</v>
      </c>
      <c r="H75" s="14" t="n">
        <v>6.4</v>
      </c>
      <c r="I75" s="32" t="n">
        <v>-0.2</v>
      </c>
      <c r="J75" s="25" t="s">
        <v>86</v>
      </c>
      <c r="K75" s="22" t="s">
        <v>729</v>
      </c>
      <c r="L75" s="12" t="s">
        <v>730</v>
      </c>
    </row>
    <row r="76" customFormat="false" ht="19.5" hidden="false" customHeight="true" outlineLevel="0" collapsed="false">
      <c r="A76" s="27" t="s">
        <v>737</v>
      </c>
      <c r="B76" s="27" t="s">
        <v>266</v>
      </c>
      <c r="C76" s="9" t="s">
        <v>648</v>
      </c>
      <c r="D76" s="9" t="s">
        <v>260</v>
      </c>
      <c r="E76" s="27" t="s">
        <v>728</v>
      </c>
      <c r="F76" s="27" t="s">
        <v>626</v>
      </c>
      <c r="G76" s="27" t="s">
        <v>627</v>
      </c>
      <c r="H76" s="11" t="n">
        <v>0.4</v>
      </c>
      <c r="I76" s="31" t="n">
        <v>-0.1</v>
      </c>
      <c r="J76" s="27" t="s">
        <v>86</v>
      </c>
      <c r="K76" s="23" t="s">
        <v>729</v>
      </c>
      <c r="L76" s="9" t="s">
        <v>730</v>
      </c>
    </row>
    <row r="77" customFormat="false" ht="19.5" hidden="false" customHeight="true" outlineLevel="0" collapsed="false">
      <c r="A77" s="25" t="s">
        <v>738</v>
      </c>
      <c r="B77" s="25" t="s">
        <v>533</v>
      </c>
      <c r="C77" s="12" t="s">
        <v>651</v>
      </c>
      <c r="D77" s="12" t="s">
        <v>260</v>
      </c>
      <c r="E77" s="25" t="s">
        <v>728</v>
      </c>
      <c r="F77" s="25" t="s">
        <v>626</v>
      </c>
      <c r="G77" s="25" t="s">
        <v>627</v>
      </c>
      <c r="H77" s="14" t="n">
        <v>2.4</v>
      </c>
      <c r="I77" s="32" t="n">
        <v>-0.3</v>
      </c>
      <c r="J77" s="25" t="s">
        <v>86</v>
      </c>
      <c r="K77" s="22" t="s">
        <v>729</v>
      </c>
      <c r="L77" s="12" t="s">
        <v>730</v>
      </c>
    </row>
    <row r="78" customFormat="false" ht="19.5" hidden="false" customHeight="true" outlineLevel="0" collapsed="false">
      <c r="A78" s="27" t="s">
        <v>739</v>
      </c>
      <c r="B78" s="27" t="s">
        <v>540</v>
      </c>
      <c r="C78" s="9" t="s">
        <v>654</v>
      </c>
      <c r="D78" s="9" t="s">
        <v>260</v>
      </c>
      <c r="E78" s="27" t="s">
        <v>728</v>
      </c>
      <c r="F78" s="27" t="s">
        <v>626</v>
      </c>
      <c r="G78" s="27" t="s">
        <v>627</v>
      </c>
      <c r="H78" s="11" t="n">
        <v>0.6</v>
      </c>
      <c r="I78" s="31" t="n">
        <v>-0.4</v>
      </c>
      <c r="J78" s="27" t="s">
        <v>86</v>
      </c>
      <c r="K78" s="23" t="s">
        <v>729</v>
      </c>
      <c r="L78" s="9" t="s">
        <v>730</v>
      </c>
    </row>
    <row r="79" customFormat="false" ht="19.5" hidden="false" customHeight="true" outlineLevel="0" collapsed="false">
      <c r="A79" s="25" t="s">
        <v>740</v>
      </c>
      <c r="B79" s="25" t="s">
        <v>276</v>
      </c>
      <c r="C79" s="12" t="s">
        <v>676</v>
      </c>
      <c r="D79" s="12" t="s">
        <v>260</v>
      </c>
      <c r="E79" s="25" t="s">
        <v>728</v>
      </c>
      <c r="F79" s="25" t="s">
        <v>626</v>
      </c>
      <c r="G79" s="25" t="s">
        <v>627</v>
      </c>
      <c r="H79" s="14" t="n">
        <v>0.2</v>
      </c>
      <c r="I79" s="32" t="n">
        <v>-0.1</v>
      </c>
      <c r="J79" s="25" t="s">
        <v>86</v>
      </c>
      <c r="K79" s="22" t="s">
        <v>729</v>
      </c>
      <c r="L79" s="12" t="s">
        <v>730</v>
      </c>
    </row>
    <row r="80" customFormat="false" ht="19.5" hidden="false" customHeight="true" outlineLevel="0" collapsed="false">
      <c r="A80" s="27" t="s">
        <v>741</v>
      </c>
      <c r="B80" s="27" t="s">
        <v>257</v>
      </c>
      <c r="C80" s="9" t="s">
        <v>657</v>
      </c>
      <c r="D80" s="9" t="s">
        <v>260</v>
      </c>
      <c r="E80" s="27" t="s">
        <v>728</v>
      </c>
      <c r="F80" s="27" t="s">
        <v>626</v>
      </c>
      <c r="G80" s="27" t="s">
        <v>627</v>
      </c>
      <c r="H80" s="11" t="n">
        <v>1.4</v>
      </c>
      <c r="I80" s="31" t="n">
        <v>-0.1</v>
      </c>
      <c r="J80" s="27" t="s">
        <v>86</v>
      </c>
      <c r="K80" s="23" t="s">
        <v>729</v>
      </c>
      <c r="L80" s="9" t="s">
        <v>730</v>
      </c>
    </row>
    <row r="81" customFormat="false" ht="19.5" hidden="false" customHeight="true" outlineLevel="0" collapsed="false">
      <c r="A81" s="25" t="s">
        <v>742</v>
      </c>
      <c r="B81" s="25" t="s">
        <v>586</v>
      </c>
      <c r="C81" s="12" t="s">
        <v>660</v>
      </c>
      <c r="D81" s="12" t="s">
        <v>588</v>
      </c>
      <c r="E81" s="25" t="s">
        <v>728</v>
      </c>
      <c r="F81" s="25" t="s">
        <v>626</v>
      </c>
      <c r="G81" s="25" t="s">
        <v>627</v>
      </c>
      <c r="H81" s="14" t="n">
        <v>7.3</v>
      </c>
      <c r="I81" s="32" t="n">
        <v>-0.1</v>
      </c>
      <c r="J81" s="25" t="s">
        <v>86</v>
      </c>
      <c r="K81" s="22" t="s">
        <v>729</v>
      </c>
      <c r="L81" s="12" t="s">
        <v>730</v>
      </c>
    </row>
    <row r="82" customFormat="false" ht="19.5" hidden="false" customHeight="true" outlineLevel="0" collapsed="false">
      <c r="A82" s="27" t="s">
        <v>743</v>
      </c>
      <c r="B82" s="27" t="s">
        <v>411</v>
      </c>
      <c r="C82" s="9" t="s">
        <v>636</v>
      </c>
      <c r="D82" s="9" t="s">
        <v>554</v>
      </c>
      <c r="E82" s="27" t="s">
        <v>744</v>
      </c>
      <c r="F82" s="27" t="s">
        <v>626</v>
      </c>
      <c r="G82" s="27" t="s">
        <v>745</v>
      </c>
      <c r="H82" s="11" t="n">
        <v>7</v>
      </c>
      <c r="I82" s="30"/>
      <c r="J82" s="27" t="s">
        <v>86</v>
      </c>
      <c r="K82" s="23" t="s">
        <v>197</v>
      </c>
      <c r="L82" s="9" t="s">
        <v>746</v>
      </c>
    </row>
    <row r="83" customFormat="false" ht="19.5" hidden="false" customHeight="true" outlineLevel="0" collapsed="false">
      <c r="A83" s="25" t="s">
        <v>747</v>
      </c>
      <c r="B83" s="25" t="s">
        <v>377</v>
      </c>
      <c r="C83" s="12" t="s">
        <v>639</v>
      </c>
      <c r="D83" s="12" t="s">
        <v>260</v>
      </c>
      <c r="E83" s="25" t="s">
        <v>744</v>
      </c>
      <c r="F83" s="25" t="s">
        <v>626</v>
      </c>
      <c r="G83" s="25" t="s">
        <v>745</v>
      </c>
      <c r="H83" s="14" t="n">
        <v>6.02</v>
      </c>
      <c r="I83" s="29"/>
      <c r="J83" s="25" t="s">
        <v>86</v>
      </c>
      <c r="K83" s="22" t="s">
        <v>197</v>
      </c>
      <c r="L83" s="12" t="s">
        <v>748</v>
      </c>
    </row>
    <row r="84" customFormat="false" ht="19.5" hidden="false" customHeight="true" outlineLevel="0" collapsed="false">
      <c r="A84" s="27" t="s">
        <v>749</v>
      </c>
      <c r="B84" s="27" t="s">
        <v>576</v>
      </c>
      <c r="C84" s="9" t="s">
        <v>642</v>
      </c>
      <c r="D84" s="9" t="s">
        <v>344</v>
      </c>
      <c r="E84" s="27" t="s">
        <v>744</v>
      </c>
      <c r="F84" s="27" t="s">
        <v>626</v>
      </c>
      <c r="G84" s="27" t="s">
        <v>745</v>
      </c>
      <c r="H84" s="11" t="n">
        <v>5.2</v>
      </c>
      <c r="I84" s="30"/>
      <c r="J84" s="27" t="s">
        <v>86</v>
      </c>
      <c r="K84" s="23" t="s">
        <v>197</v>
      </c>
      <c r="L84" s="9" t="s">
        <v>750</v>
      </c>
    </row>
    <row r="85" customFormat="false" ht="19.5" hidden="false" customHeight="true" outlineLevel="0" collapsed="false">
      <c r="A85" s="25" t="s">
        <v>751</v>
      </c>
      <c r="B85" s="25" t="s">
        <v>570</v>
      </c>
      <c r="C85" s="12" t="s">
        <v>645</v>
      </c>
      <c r="D85" s="12" t="s">
        <v>344</v>
      </c>
      <c r="E85" s="25" t="s">
        <v>744</v>
      </c>
      <c r="F85" s="25" t="s">
        <v>626</v>
      </c>
      <c r="G85" s="25" t="s">
        <v>745</v>
      </c>
      <c r="H85" s="14" t="n">
        <v>7</v>
      </c>
      <c r="I85" s="29"/>
      <c r="J85" s="25" t="s">
        <v>86</v>
      </c>
      <c r="K85" s="22" t="s">
        <v>197</v>
      </c>
      <c r="L85" s="12" t="s">
        <v>752</v>
      </c>
    </row>
    <row r="86" customFormat="false" ht="19.5" hidden="false" customHeight="true" outlineLevel="0" collapsed="false">
      <c r="A86" s="27" t="s">
        <v>753</v>
      </c>
      <c r="B86" s="27" t="s">
        <v>266</v>
      </c>
      <c r="C86" s="9" t="s">
        <v>648</v>
      </c>
      <c r="D86" s="9" t="s">
        <v>260</v>
      </c>
      <c r="E86" s="27" t="s">
        <v>744</v>
      </c>
      <c r="F86" s="27" t="s">
        <v>626</v>
      </c>
      <c r="G86" s="27" t="s">
        <v>745</v>
      </c>
      <c r="H86" s="11" t="n">
        <v>3.5</v>
      </c>
      <c r="I86" s="30"/>
      <c r="J86" s="27" t="s">
        <v>86</v>
      </c>
      <c r="K86" s="23" t="s">
        <v>197</v>
      </c>
      <c r="L86" s="9" t="s">
        <v>754</v>
      </c>
    </row>
    <row r="87" customFormat="false" ht="19.5" hidden="false" customHeight="true" outlineLevel="0" collapsed="false">
      <c r="A87" s="25" t="s">
        <v>755</v>
      </c>
      <c r="B87" s="25" t="s">
        <v>533</v>
      </c>
      <c r="C87" s="12" t="s">
        <v>651</v>
      </c>
      <c r="D87" s="12" t="s">
        <v>260</v>
      </c>
      <c r="E87" s="25" t="s">
        <v>744</v>
      </c>
      <c r="F87" s="25" t="s">
        <v>626</v>
      </c>
      <c r="G87" s="25" t="s">
        <v>745</v>
      </c>
      <c r="H87" s="14" t="n">
        <v>5.1</v>
      </c>
      <c r="I87" s="29"/>
      <c r="J87" s="25" t="s">
        <v>86</v>
      </c>
      <c r="K87" s="22" t="s">
        <v>197</v>
      </c>
      <c r="L87" s="12" t="s">
        <v>756</v>
      </c>
    </row>
    <row r="88" customFormat="false" ht="19.5" hidden="false" customHeight="true" outlineLevel="0" collapsed="false">
      <c r="A88" s="27" t="s">
        <v>757</v>
      </c>
      <c r="B88" s="27" t="s">
        <v>540</v>
      </c>
      <c r="C88" s="9" t="s">
        <v>654</v>
      </c>
      <c r="D88" s="9" t="s">
        <v>260</v>
      </c>
      <c r="E88" s="27" t="s">
        <v>744</v>
      </c>
      <c r="F88" s="27" t="s">
        <v>626</v>
      </c>
      <c r="G88" s="27" t="s">
        <v>745</v>
      </c>
      <c r="H88" s="11" t="n">
        <v>3.6</v>
      </c>
      <c r="I88" s="30"/>
      <c r="J88" s="27" t="s">
        <v>86</v>
      </c>
      <c r="K88" s="23" t="s">
        <v>197</v>
      </c>
      <c r="L88" s="9" t="s">
        <v>758</v>
      </c>
    </row>
    <row r="89" customFormat="false" ht="19.5" hidden="false" customHeight="true" outlineLevel="0" collapsed="false">
      <c r="A89" s="25" t="s">
        <v>759</v>
      </c>
      <c r="B89" s="25" t="s">
        <v>257</v>
      </c>
      <c r="C89" s="12" t="s">
        <v>657</v>
      </c>
      <c r="D89" s="12" t="s">
        <v>260</v>
      </c>
      <c r="E89" s="25" t="s">
        <v>744</v>
      </c>
      <c r="F89" s="25" t="s">
        <v>626</v>
      </c>
      <c r="G89" s="25" t="s">
        <v>745</v>
      </c>
      <c r="H89" s="14" t="n">
        <v>4.7</v>
      </c>
      <c r="I89" s="29"/>
      <c r="J89" s="25" t="s">
        <v>86</v>
      </c>
      <c r="K89" s="22" t="s">
        <v>197</v>
      </c>
      <c r="L89" s="12" t="s">
        <v>760</v>
      </c>
    </row>
    <row r="90" customFormat="false" ht="19.5" hidden="false" customHeight="true" outlineLevel="0" collapsed="false">
      <c r="A90" s="27" t="s">
        <v>761</v>
      </c>
      <c r="B90" s="27" t="s">
        <v>586</v>
      </c>
      <c r="C90" s="9" t="s">
        <v>660</v>
      </c>
      <c r="D90" s="9" t="s">
        <v>588</v>
      </c>
      <c r="E90" s="27" t="s">
        <v>744</v>
      </c>
      <c r="F90" s="27" t="s">
        <v>626</v>
      </c>
      <c r="G90" s="27" t="s">
        <v>745</v>
      </c>
      <c r="H90" s="11" t="n">
        <v>3.9</v>
      </c>
      <c r="I90" s="30"/>
      <c r="J90" s="27" t="s">
        <v>86</v>
      </c>
      <c r="K90" s="23" t="s">
        <v>197</v>
      </c>
      <c r="L90" s="9" t="s">
        <v>762</v>
      </c>
    </row>
    <row r="91" customFormat="false" ht="19.5" hidden="false" customHeight="true" outlineLevel="0" collapsed="false">
      <c r="A91" s="25" t="s">
        <v>763</v>
      </c>
      <c r="B91" s="25" t="s">
        <v>564</v>
      </c>
      <c r="C91" s="12" t="s">
        <v>630</v>
      </c>
      <c r="D91" s="12" t="s">
        <v>559</v>
      </c>
      <c r="E91" s="25" t="s">
        <v>764</v>
      </c>
      <c r="F91" s="25" t="s">
        <v>626</v>
      </c>
      <c r="G91" s="25" t="s">
        <v>745</v>
      </c>
      <c r="H91" s="14" t="n">
        <v>6.6</v>
      </c>
      <c r="I91" s="29"/>
      <c r="J91" s="25" t="s">
        <v>86</v>
      </c>
      <c r="K91" s="22" t="s">
        <v>664</v>
      </c>
      <c r="L91" s="12" t="s">
        <v>765</v>
      </c>
    </row>
    <row r="92" customFormat="false" ht="19.5" hidden="false" customHeight="true" outlineLevel="0" collapsed="false">
      <c r="A92" s="27" t="s">
        <v>766</v>
      </c>
      <c r="B92" s="27" t="s">
        <v>411</v>
      </c>
      <c r="C92" s="9" t="s">
        <v>636</v>
      </c>
      <c r="D92" s="9" t="s">
        <v>554</v>
      </c>
      <c r="E92" s="27" t="s">
        <v>764</v>
      </c>
      <c r="F92" s="27" t="s">
        <v>626</v>
      </c>
      <c r="G92" s="27" t="s">
        <v>745</v>
      </c>
      <c r="H92" s="11" t="n">
        <v>14</v>
      </c>
      <c r="I92" s="30"/>
      <c r="J92" s="27" t="s">
        <v>86</v>
      </c>
      <c r="K92" s="23" t="s">
        <v>664</v>
      </c>
      <c r="L92" s="9" t="s">
        <v>765</v>
      </c>
    </row>
    <row r="93" customFormat="false" ht="19.5" hidden="false" customHeight="true" outlineLevel="0" collapsed="false">
      <c r="A93" s="25" t="s">
        <v>767</v>
      </c>
      <c r="B93" s="25" t="s">
        <v>377</v>
      </c>
      <c r="C93" s="12" t="s">
        <v>639</v>
      </c>
      <c r="D93" s="12" t="s">
        <v>260</v>
      </c>
      <c r="E93" s="25" t="s">
        <v>764</v>
      </c>
      <c r="F93" s="25" t="s">
        <v>626</v>
      </c>
      <c r="G93" s="25" t="s">
        <v>745</v>
      </c>
      <c r="H93" s="14" t="n">
        <v>8.2</v>
      </c>
      <c r="I93" s="29"/>
      <c r="J93" s="25" t="s">
        <v>86</v>
      </c>
      <c r="K93" s="22" t="s">
        <v>664</v>
      </c>
      <c r="L93" s="12" t="s">
        <v>765</v>
      </c>
    </row>
    <row r="94" customFormat="false" ht="19.5" hidden="false" customHeight="true" outlineLevel="0" collapsed="false">
      <c r="A94" s="27" t="s">
        <v>768</v>
      </c>
      <c r="B94" s="27" t="s">
        <v>576</v>
      </c>
      <c r="C94" s="9" t="s">
        <v>642</v>
      </c>
      <c r="D94" s="9" t="s">
        <v>344</v>
      </c>
      <c r="E94" s="27" t="s">
        <v>764</v>
      </c>
      <c r="F94" s="27" t="s">
        <v>626</v>
      </c>
      <c r="G94" s="27" t="s">
        <v>745</v>
      </c>
      <c r="H94" s="11" t="n">
        <v>9.8</v>
      </c>
      <c r="I94" s="30"/>
      <c r="J94" s="27" t="s">
        <v>86</v>
      </c>
      <c r="K94" s="23" t="s">
        <v>664</v>
      </c>
      <c r="L94" s="9" t="s">
        <v>765</v>
      </c>
    </row>
    <row r="95" customFormat="false" ht="19.5" hidden="false" customHeight="true" outlineLevel="0" collapsed="false">
      <c r="A95" s="25" t="s">
        <v>769</v>
      </c>
      <c r="B95" s="25" t="s">
        <v>570</v>
      </c>
      <c r="C95" s="12" t="s">
        <v>645</v>
      </c>
      <c r="D95" s="12" t="s">
        <v>344</v>
      </c>
      <c r="E95" s="25" t="s">
        <v>764</v>
      </c>
      <c r="F95" s="25" t="s">
        <v>626</v>
      </c>
      <c r="G95" s="25" t="s">
        <v>745</v>
      </c>
      <c r="H95" s="14" t="n">
        <v>14.4</v>
      </c>
      <c r="I95" s="29"/>
      <c r="J95" s="25" t="s">
        <v>86</v>
      </c>
      <c r="K95" s="22" t="s">
        <v>664</v>
      </c>
      <c r="L95" s="12" t="s">
        <v>765</v>
      </c>
    </row>
    <row r="96" customFormat="false" ht="19.5" hidden="false" customHeight="true" outlineLevel="0" collapsed="false">
      <c r="A96" s="27" t="s">
        <v>770</v>
      </c>
      <c r="B96" s="27" t="s">
        <v>266</v>
      </c>
      <c r="C96" s="9" t="s">
        <v>648</v>
      </c>
      <c r="D96" s="9" t="s">
        <v>260</v>
      </c>
      <c r="E96" s="27" t="s">
        <v>764</v>
      </c>
      <c r="F96" s="27" t="s">
        <v>626</v>
      </c>
      <c r="G96" s="27" t="s">
        <v>745</v>
      </c>
      <c r="H96" s="11" t="n">
        <v>5.88</v>
      </c>
      <c r="I96" s="30"/>
      <c r="J96" s="27" t="s">
        <v>86</v>
      </c>
      <c r="K96" s="23" t="s">
        <v>664</v>
      </c>
      <c r="L96" s="9" t="s">
        <v>765</v>
      </c>
    </row>
    <row r="97" customFormat="false" ht="19.5" hidden="false" customHeight="true" outlineLevel="0" collapsed="false">
      <c r="A97" s="25" t="s">
        <v>771</v>
      </c>
      <c r="B97" s="25" t="s">
        <v>533</v>
      </c>
      <c r="C97" s="12" t="s">
        <v>651</v>
      </c>
      <c r="D97" s="12" t="s">
        <v>260</v>
      </c>
      <c r="E97" s="25" t="s">
        <v>764</v>
      </c>
      <c r="F97" s="25" t="s">
        <v>626</v>
      </c>
      <c r="G97" s="25" t="s">
        <v>745</v>
      </c>
      <c r="H97" s="14" t="n">
        <v>8.5</v>
      </c>
      <c r="I97" s="29"/>
      <c r="J97" s="25" t="s">
        <v>86</v>
      </c>
      <c r="K97" s="22" t="s">
        <v>664</v>
      </c>
      <c r="L97" s="12" t="s">
        <v>765</v>
      </c>
    </row>
    <row r="98" customFormat="false" ht="19.5" hidden="false" customHeight="true" outlineLevel="0" collapsed="false">
      <c r="A98" s="27" t="s">
        <v>772</v>
      </c>
      <c r="B98" s="27" t="s">
        <v>540</v>
      </c>
      <c r="C98" s="9" t="s">
        <v>654</v>
      </c>
      <c r="D98" s="9" t="s">
        <v>260</v>
      </c>
      <c r="E98" s="27" t="s">
        <v>764</v>
      </c>
      <c r="F98" s="27" t="s">
        <v>626</v>
      </c>
      <c r="G98" s="27" t="s">
        <v>745</v>
      </c>
      <c r="H98" s="11" t="n">
        <v>6.26</v>
      </c>
      <c r="I98" s="30"/>
      <c r="J98" s="27" t="s">
        <v>86</v>
      </c>
      <c r="K98" s="23" t="s">
        <v>664</v>
      </c>
      <c r="L98" s="9" t="s">
        <v>765</v>
      </c>
    </row>
    <row r="99" customFormat="false" ht="19.5" hidden="false" customHeight="true" outlineLevel="0" collapsed="false">
      <c r="A99" s="25" t="s">
        <v>773</v>
      </c>
      <c r="B99" s="25" t="s">
        <v>276</v>
      </c>
      <c r="C99" s="12" t="s">
        <v>676</v>
      </c>
      <c r="D99" s="12" t="s">
        <v>260</v>
      </c>
      <c r="E99" s="25" t="s">
        <v>764</v>
      </c>
      <c r="F99" s="25" t="s">
        <v>626</v>
      </c>
      <c r="G99" s="25" t="s">
        <v>745</v>
      </c>
      <c r="H99" s="14" t="n">
        <v>5.8</v>
      </c>
      <c r="I99" s="29"/>
      <c r="J99" s="25" t="s">
        <v>86</v>
      </c>
      <c r="K99" s="22" t="s">
        <v>664</v>
      </c>
      <c r="L99" s="12" t="s">
        <v>765</v>
      </c>
    </row>
    <row r="100" customFormat="false" ht="19.5" hidden="false" customHeight="true" outlineLevel="0" collapsed="false">
      <c r="A100" s="27" t="s">
        <v>774</v>
      </c>
      <c r="B100" s="27" t="s">
        <v>257</v>
      </c>
      <c r="C100" s="9" t="s">
        <v>657</v>
      </c>
      <c r="D100" s="9" t="s">
        <v>260</v>
      </c>
      <c r="E100" s="27" t="s">
        <v>764</v>
      </c>
      <c r="F100" s="27" t="s">
        <v>626</v>
      </c>
      <c r="G100" s="27" t="s">
        <v>745</v>
      </c>
      <c r="H100" s="11" t="n">
        <v>6.9</v>
      </c>
      <c r="I100" s="30"/>
      <c r="J100" s="27" t="s">
        <v>86</v>
      </c>
      <c r="K100" s="23" t="s">
        <v>664</v>
      </c>
      <c r="L100" s="9" t="s">
        <v>765</v>
      </c>
    </row>
    <row r="101" customFormat="false" ht="19.5" hidden="false" customHeight="true" outlineLevel="0" collapsed="false">
      <c r="A101" s="25" t="s">
        <v>775</v>
      </c>
      <c r="B101" s="25" t="s">
        <v>586</v>
      </c>
      <c r="C101" s="12" t="s">
        <v>660</v>
      </c>
      <c r="D101" s="12" t="s">
        <v>588</v>
      </c>
      <c r="E101" s="25" t="s">
        <v>764</v>
      </c>
      <c r="F101" s="25" t="s">
        <v>626</v>
      </c>
      <c r="G101" s="25" t="s">
        <v>745</v>
      </c>
      <c r="H101" s="14" t="n">
        <v>10.45</v>
      </c>
      <c r="I101" s="29"/>
      <c r="J101" s="25" t="s">
        <v>86</v>
      </c>
      <c r="K101" s="22" t="s">
        <v>664</v>
      </c>
      <c r="L101" s="12" t="s">
        <v>765</v>
      </c>
    </row>
    <row r="102" customFormat="false" ht="19.5" hidden="false" customHeight="true" outlineLevel="0" collapsed="false">
      <c r="A102" s="27" t="s">
        <v>776</v>
      </c>
      <c r="B102" s="27" t="s">
        <v>564</v>
      </c>
      <c r="C102" s="9" t="s">
        <v>630</v>
      </c>
      <c r="D102" s="9" t="s">
        <v>559</v>
      </c>
      <c r="E102" s="27" t="s">
        <v>777</v>
      </c>
      <c r="F102" s="27" t="s">
        <v>626</v>
      </c>
      <c r="G102" s="27" t="s">
        <v>745</v>
      </c>
      <c r="H102" s="11" t="n">
        <v>6</v>
      </c>
      <c r="I102" s="31" t="n">
        <v>-0.6</v>
      </c>
      <c r="J102" s="27" t="s">
        <v>86</v>
      </c>
      <c r="K102" s="23" t="s">
        <v>681</v>
      </c>
      <c r="L102" s="9" t="s">
        <v>778</v>
      </c>
    </row>
    <row r="103" customFormat="false" ht="19.5" hidden="false" customHeight="true" outlineLevel="0" collapsed="false">
      <c r="A103" s="25" t="s">
        <v>779</v>
      </c>
      <c r="B103" s="25" t="s">
        <v>411</v>
      </c>
      <c r="C103" s="12" t="s">
        <v>636</v>
      </c>
      <c r="D103" s="12" t="s">
        <v>554</v>
      </c>
      <c r="E103" s="25" t="s">
        <v>777</v>
      </c>
      <c r="F103" s="25" t="s">
        <v>626</v>
      </c>
      <c r="G103" s="25" t="s">
        <v>745</v>
      </c>
      <c r="H103" s="14" t="n">
        <v>13.8</v>
      </c>
      <c r="I103" s="32" t="n">
        <v>-0.2</v>
      </c>
      <c r="J103" s="25" t="s">
        <v>86</v>
      </c>
      <c r="K103" s="22" t="s">
        <v>681</v>
      </c>
      <c r="L103" s="12" t="s">
        <v>778</v>
      </c>
    </row>
    <row r="104" customFormat="false" ht="19.5" hidden="false" customHeight="true" outlineLevel="0" collapsed="false">
      <c r="A104" s="27" t="s">
        <v>780</v>
      </c>
      <c r="B104" s="27" t="s">
        <v>377</v>
      </c>
      <c r="C104" s="9" t="s">
        <v>639</v>
      </c>
      <c r="D104" s="9" t="s">
        <v>260</v>
      </c>
      <c r="E104" s="27" t="s">
        <v>777</v>
      </c>
      <c r="F104" s="27" t="s">
        <v>626</v>
      </c>
      <c r="G104" s="27" t="s">
        <v>745</v>
      </c>
      <c r="H104" s="11" t="n">
        <v>7</v>
      </c>
      <c r="I104" s="31" t="n">
        <v>-1.2</v>
      </c>
      <c r="J104" s="27" t="s">
        <v>86</v>
      </c>
      <c r="K104" s="23" t="s">
        <v>681</v>
      </c>
      <c r="L104" s="9" t="s">
        <v>778</v>
      </c>
    </row>
    <row r="105" customFormat="false" ht="19.5" hidden="false" customHeight="true" outlineLevel="0" collapsed="false">
      <c r="A105" s="25" t="s">
        <v>781</v>
      </c>
      <c r="B105" s="25" t="s">
        <v>576</v>
      </c>
      <c r="C105" s="12" t="s">
        <v>642</v>
      </c>
      <c r="D105" s="12" t="s">
        <v>344</v>
      </c>
      <c r="E105" s="25" t="s">
        <v>777</v>
      </c>
      <c r="F105" s="25" t="s">
        <v>626</v>
      </c>
      <c r="G105" s="25" t="s">
        <v>745</v>
      </c>
      <c r="H105" s="14" t="n">
        <v>9.4</v>
      </c>
      <c r="I105" s="32" t="n">
        <v>-0.4</v>
      </c>
      <c r="J105" s="25" t="s">
        <v>86</v>
      </c>
      <c r="K105" s="22" t="s">
        <v>681</v>
      </c>
      <c r="L105" s="12" t="s">
        <v>778</v>
      </c>
    </row>
    <row r="106" customFormat="false" ht="19.5" hidden="false" customHeight="true" outlineLevel="0" collapsed="false">
      <c r="A106" s="27" t="s">
        <v>782</v>
      </c>
      <c r="B106" s="27" t="s">
        <v>570</v>
      </c>
      <c r="C106" s="9" t="s">
        <v>645</v>
      </c>
      <c r="D106" s="9" t="s">
        <v>344</v>
      </c>
      <c r="E106" s="27" t="s">
        <v>777</v>
      </c>
      <c r="F106" s="27" t="s">
        <v>626</v>
      </c>
      <c r="G106" s="27" t="s">
        <v>745</v>
      </c>
      <c r="H106" s="11" t="n">
        <v>14.4</v>
      </c>
      <c r="I106" s="31" t="n">
        <v>0</v>
      </c>
      <c r="J106" s="27" t="s">
        <v>86</v>
      </c>
      <c r="K106" s="23" t="s">
        <v>681</v>
      </c>
      <c r="L106" s="9" t="s">
        <v>778</v>
      </c>
    </row>
    <row r="107" customFormat="false" ht="19.5" hidden="false" customHeight="true" outlineLevel="0" collapsed="false">
      <c r="A107" s="25" t="s">
        <v>783</v>
      </c>
      <c r="B107" s="25" t="s">
        <v>266</v>
      </c>
      <c r="C107" s="12" t="s">
        <v>648</v>
      </c>
      <c r="D107" s="12" t="s">
        <v>260</v>
      </c>
      <c r="E107" s="25" t="s">
        <v>777</v>
      </c>
      <c r="F107" s="25" t="s">
        <v>626</v>
      </c>
      <c r="G107" s="25" t="s">
        <v>745</v>
      </c>
      <c r="H107" s="14" t="n">
        <v>5.6</v>
      </c>
      <c r="I107" s="32" t="n">
        <v>-0.28</v>
      </c>
      <c r="J107" s="25" t="s">
        <v>86</v>
      </c>
      <c r="K107" s="22" t="s">
        <v>681</v>
      </c>
      <c r="L107" s="12" t="s">
        <v>778</v>
      </c>
    </row>
    <row r="108" customFormat="false" ht="19.5" hidden="false" customHeight="true" outlineLevel="0" collapsed="false">
      <c r="A108" s="27" t="s">
        <v>784</v>
      </c>
      <c r="B108" s="27" t="s">
        <v>533</v>
      </c>
      <c r="C108" s="9" t="s">
        <v>651</v>
      </c>
      <c r="D108" s="9" t="s">
        <v>260</v>
      </c>
      <c r="E108" s="27" t="s">
        <v>777</v>
      </c>
      <c r="F108" s="27" t="s">
        <v>626</v>
      </c>
      <c r="G108" s="27" t="s">
        <v>745</v>
      </c>
      <c r="H108" s="11" t="n">
        <v>7.4</v>
      </c>
      <c r="I108" s="31" t="n">
        <v>-1.1</v>
      </c>
      <c r="J108" s="27" t="s">
        <v>86</v>
      </c>
      <c r="K108" s="23" t="s">
        <v>681</v>
      </c>
      <c r="L108" s="9" t="s">
        <v>778</v>
      </c>
    </row>
    <row r="109" customFormat="false" ht="19.5" hidden="false" customHeight="true" outlineLevel="0" collapsed="false">
      <c r="A109" s="25" t="s">
        <v>785</v>
      </c>
      <c r="B109" s="25" t="s">
        <v>540</v>
      </c>
      <c r="C109" s="12" t="s">
        <v>654</v>
      </c>
      <c r="D109" s="12" t="s">
        <v>260</v>
      </c>
      <c r="E109" s="25" t="s">
        <v>777</v>
      </c>
      <c r="F109" s="25" t="s">
        <v>626</v>
      </c>
      <c r="G109" s="25" t="s">
        <v>745</v>
      </c>
      <c r="H109" s="14" t="n">
        <v>6</v>
      </c>
      <c r="I109" s="32" t="n">
        <v>-0.26</v>
      </c>
      <c r="J109" s="25" t="s">
        <v>86</v>
      </c>
      <c r="K109" s="22" t="s">
        <v>681</v>
      </c>
      <c r="L109" s="12" t="s">
        <v>778</v>
      </c>
    </row>
    <row r="110" customFormat="false" ht="19.5" hidden="false" customHeight="true" outlineLevel="0" collapsed="false">
      <c r="A110" s="27" t="s">
        <v>786</v>
      </c>
      <c r="B110" s="27" t="s">
        <v>276</v>
      </c>
      <c r="C110" s="9" t="s">
        <v>676</v>
      </c>
      <c r="D110" s="9" t="s">
        <v>260</v>
      </c>
      <c r="E110" s="27" t="s">
        <v>777</v>
      </c>
      <c r="F110" s="27" t="s">
        <v>626</v>
      </c>
      <c r="G110" s="27" t="s">
        <v>745</v>
      </c>
      <c r="H110" s="11" t="n">
        <v>5.4</v>
      </c>
      <c r="I110" s="31" t="n">
        <v>-0.4</v>
      </c>
      <c r="J110" s="27" t="s">
        <v>86</v>
      </c>
      <c r="K110" s="23" t="s">
        <v>681</v>
      </c>
      <c r="L110" s="9" t="s">
        <v>778</v>
      </c>
    </row>
    <row r="111" customFormat="false" ht="19.5" hidden="false" customHeight="true" outlineLevel="0" collapsed="false">
      <c r="A111" s="25" t="s">
        <v>787</v>
      </c>
      <c r="B111" s="25" t="s">
        <v>257</v>
      </c>
      <c r="C111" s="12" t="s">
        <v>657</v>
      </c>
      <c r="D111" s="12" t="s">
        <v>260</v>
      </c>
      <c r="E111" s="25" t="s">
        <v>777</v>
      </c>
      <c r="F111" s="25" t="s">
        <v>626</v>
      </c>
      <c r="G111" s="25" t="s">
        <v>745</v>
      </c>
      <c r="H111" s="14" t="n">
        <v>6.28</v>
      </c>
      <c r="I111" s="32" t="n">
        <v>-0.62</v>
      </c>
      <c r="J111" s="25" t="s">
        <v>86</v>
      </c>
      <c r="K111" s="22" t="s">
        <v>681</v>
      </c>
      <c r="L111" s="12" t="s">
        <v>778</v>
      </c>
    </row>
    <row r="112" customFormat="false" ht="19.5" hidden="false" customHeight="true" outlineLevel="0" collapsed="false">
      <c r="A112" s="27" t="s">
        <v>788</v>
      </c>
      <c r="B112" s="27" t="s">
        <v>586</v>
      </c>
      <c r="C112" s="9" t="s">
        <v>660</v>
      </c>
      <c r="D112" s="9" t="s">
        <v>588</v>
      </c>
      <c r="E112" s="27" t="s">
        <v>777</v>
      </c>
      <c r="F112" s="27" t="s">
        <v>626</v>
      </c>
      <c r="G112" s="27" t="s">
        <v>745</v>
      </c>
      <c r="H112" s="11" t="n">
        <v>10.3</v>
      </c>
      <c r="I112" s="31" t="n">
        <v>-0.15</v>
      </c>
      <c r="J112" s="27" t="s">
        <v>86</v>
      </c>
      <c r="K112" s="23" t="s">
        <v>681</v>
      </c>
      <c r="L112" s="9" t="s">
        <v>778</v>
      </c>
    </row>
    <row r="113" customFormat="false" ht="19.5" hidden="false" customHeight="true" outlineLevel="0" collapsed="false">
      <c r="A113" s="25" t="s">
        <v>789</v>
      </c>
      <c r="B113" s="25" t="s">
        <v>564</v>
      </c>
      <c r="C113" s="12" t="s">
        <v>630</v>
      </c>
      <c r="D113" s="12" t="s">
        <v>559</v>
      </c>
      <c r="E113" s="25" t="s">
        <v>790</v>
      </c>
      <c r="F113" s="25" t="s">
        <v>626</v>
      </c>
      <c r="G113" s="25" t="s">
        <v>745</v>
      </c>
      <c r="H113" s="14" t="n">
        <v>5.5</v>
      </c>
      <c r="I113" s="32" t="n">
        <v>-0.5</v>
      </c>
      <c r="J113" s="25" t="s">
        <v>86</v>
      </c>
      <c r="K113" s="22" t="s">
        <v>697</v>
      </c>
      <c r="L113" s="12" t="s">
        <v>791</v>
      </c>
    </row>
    <row r="114" customFormat="false" ht="19.5" hidden="false" customHeight="true" outlineLevel="0" collapsed="false">
      <c r="A114" s="27" t="s">
        <v>792</v>
      </c>
      <c r="B114" s="27" t="s">
        <v>411</v>
      </c>
      <c r="C114" s="9" t="s">
        <v>636</v>
      </c>
      <c r="D114" s="9" t="s">
        <v>554</v>
      </c>
      <c r="E114" s="27" t="s">
        <v>790</v>
      </c>
      <c r="F114" s="27" t="s">
        <v>626</v>
      </c>
      <c r="G114" s="27" t="s">
        <v>745</v>
      </c>
      <c r="H114" s="11" t="n">
        <v>12.5</v>
      </c>
      <c r="I114" s="31" t="n">
        <v>-1.3</v>
      </c>
      <c r="J114" s="27" t="s">
        <v>86</v>
      </c>
      <c r="K114" s="23" t="s">
        <v>697</v>
      </c>
      <c r="L114" s="9" t="s">
        <v>791</v>
      </c>
    </row>
    <row r="115" customFormat="false" ht="19.5" hidden="false" customHeight="true" outlineLevel="0" collapsed="false">
      <c r="A115" s="25" t="s">
        <v>793</v>
      </c>
      <c r="B115" s="25" t="s">
        <v>377</v>
      </c>
      <c r="C115" s="12" t="s">
        <v>639</v>
      </c>
      <c r="D115" s="12" t="s">
        <v>260</v>
      </c>
      <c r="E115" s="25" t="s">
        <v>790</v>
      </c>
      <c r="F115" s="25" t="s">
        <v>626</v>
      </c>
      <c r="G115" s="25" t="s">
        <v>745</v>
      </c>
      <c r="H115" s="14" t="n">
        <v>6.4</v>
      </c>
      <c r="I115" s="32" t="n">
        <v>-0.6</v>
      </c>
      <c r="J115" s="25" t="s">
        <v>86</v>
      </c>
      <c r="K115" s="22" t="s">
        <v>697</v>
      </c>
      <c r="L115" s="12" t="s">
        <v>791</v>
      </c>
    </row>
    <row r="116" customFormat="false" ht="19.5" hidden="false" customHeight="true" outlineLevel="0" collapsed="false">
      <c r="A116" s="27" t="s">
        <v>794</v>
      </c>
      <c r="B116" s="27" t="s">
        <v>576</v>
      </c>
      <c r="C116" s="9" t="s">
        <v>642</v>
      </c>
      <c r="D116" s="9" t="s">
        <v>344</v>
      </c>
      <c r="E116" s="27" t="s">
        <v>790</v>
      </c>
      <c r="F116" s="27" t="s">
        <v>626</v>
      </c>
      <c r="G116" s="27" t="s">
        <v>745</v>
      </c>
      <c r="H116" s="11" t="n">
        <v>8.7</v>
      </c>
      <c r="I116" s="31" t="n">
        <v>-0.7</v>
      </c>
      <c r="J116" s="27" t="s">
        <v>86</v>
      </c>
      <c r="K116" s="23" t="s">
        <v>697</v>
      </c>
      <c r="L116" s="9" t="s">
        <v>791</v>
      </c>
    </row>
    <row r="117" customFormat="false" ht="19.5" hidden="false" customHeight="true" outlineLevel="0" collapsed="false">
      <c r="A117" s="25" t="s">
        <v>795</v>
      </c>
      <c r="B117" s="25" t="s">
        <v>570</v>
      </c>
      <c r="C117" s="12" t="s">
        <v>645</v>
      </c>
      <c r="D117" s="12" t="s">
        <v>344</v>
      </c>
      <c r="E117" s="25" t="s">
        <v>790</v>
      </c>
      <c r="F117" s="25" t="s">
        <v>626</v>
      </c>
      <c r="G117" s="25" t="s">
        <v>745</v>
      </c>
      <c r="H117" s="14" t="n">
        <v>13.4</v>
      </c>
      <c r="I117" s="32" t="n">
        <v>-1</v>
      </c>
      <c r="J117" s="25" t="s">
        <v>86</v>
      </c>
      <c r="K117" s="22" t="s">
        <v>697</v>
      </c>
      <c r="L117" s="12" t="s">
        <v>791</v>
      </c>
    </row>
    <row r="118" customFormat="false" ht="19.5" hidden="false" customHeight="true" outlineLevel="0" collapsed="false">
      <c r="A118" s="27" t="s">
        <v>796</v>
      </c>
      <c r="B118" s="27" t="s">
        <v>266</v>
      </c>
      <c r="C118" s="9" t="s">
        <v>648</v>
      </c>
      <c r="D118" s="9" t="s">
        <v>260</v>
      </c>
      <c r="E118" s="27" t="s">
        <v>790</v>
      </c>
      <c r="F118" s="27" t="s">
        <v>626</v>
      </c>
      <c r="G118" s="27" t="s">
        <v>745</v>
      </c>
      <c r="H118" s="11" t="n">
        <v>4.8</v>
      </c>
      <c r="I118" s="31" t="n">
        <v>-0.8</v>
      </c>
      <c r="J118" s="27" t="s">
        <v>86</v>
      </c>
      <c r="K118" s="23" t="s">
        <v>697</v>
      </c>
      <c r="L118" s="9" t="s">
        <v>791</v>
      </c>
    </row>
    <row r="119" customFormat="false" ht="19.5" hidden="false" customHeight="true" outlineLevel="0" collapsed="false">
      <c r="A119" s="25" t="s">
        <v>797</v>
      </c>
      <c r="B119" s="25" t="s">
        <v>533</v>
      </c>
      <c r="C119" s="12" t="s">
        <v>651</v>
      </c>
      <c r="D119" s="12" t="s">
        <v>260</v>
      </c>
      <c r="E119" s="25" t="s">
        <v>790</v>
      </c>
      <c r="F119" s="25" t="s">
        <v>626</v>
      </c>
      <c r="G119" s="25" t="s">
        <v>745</v>
      </c>
      <c r="H119" s="14" t="n">
        <v>7.2</v>
      </c>
      <c r="I119" s="32" t="n">
        <v>-0.2</v>
      </c>
      <c r="J119" s="25" t="s">
        <v>86</v>
      </c>
      <c r="K119" s="22" t="s">
        <v>697</v>
      </c>
      <c r="L119" s="12" t="s">
        <v>791</v>
      </c>
    </row>
    <row r="120" customFormat="false" ht="19.5" hidden="false" customHeight="true" outlineLevel="0" collapsed="false">
      <c r="A120" s="27" t="s">
        <v>798</v>
      </c>
      <c r="B120" s="27" t="s">
        <v>540</v>
      </c>
      <c r="C120" s="9" t="s">
        <v>654</v>
      </c>
      <c r="D120" s="9" t="s">
        <v>260</v>
      </c>
      <c r="E120" s="27" t="s">
        <v>790</v>
      </c>
      <c r="F120" s="27" t="s">
        <v>626</v>
      </c>
      <c r="G120" s="27" t="s">
        <v>745</v>
      </c>
      <c r="H120" s="11" t="n">
        <v>5.2</v>
      </c>
      <c r="I120" s="31" t="n">
        <v>-0.8</v>
      </c>
      <c r="J120" s="27" t="s">
        <v>86</v>
      </c>
      <c r="K120" s="23" t="s">
        <v>697</v>
      </c>
      <c r="L120" s="9" t="s">
        <v>791</v>
      </c>
    </row>
    <row r="121" customFormat="false" ht="19.5" hidden="false" customHeight="true" outlineLevel="0" collapsed="false">
      <c r="A121" s="25" t="s">
        <v>799</v>
      </c>
      <c r="B121" s="25" t="s">
        <v>276</v>
      </c>
      <c r="C121" s="12" t="s">
        <v>676</v>
      </c>
      <c r="D121" s="12" t="s">
        <v>260</v>
      </c>
      <c r="E121" s="25" t="s">
        <v>790</v>
      </c>
      <c r="F121" s="25" t="s">
        <v>626</v>
      </c>
      <c r="G121" s="25" t="s">
        <v>745</v>
      </c>
      <c r="H121" s="14" t="n">
        <v>4.4</v>
      </c>
      <c r="I121" s="32" t="n">
        <v>-1</v>
      </c>
      <c r="J121" s="25" t="s">
        <v>86</v>
      </c>
      <c r="K121" s="22" t="s">
        <v>697</v>
      </c>
      <c r="L121" s="12" t="s">
        <v>791</v>
      </c>
    </row>
    <row r="122" customFormat="false" ht="19.5" hidden="false" customHeight="true" outlineLevel="0" collapsed="false">
      <c r="A122" s="27" t="s">
        <v>800</v>
      </c>
      <c r="B122" s="27" t="s">
        <v>257</v>
      </c>
      <c r="C122" s="9" t="s">
        <v>657</v>
      </c>
      <c r="D122" s="9" t="s">
        <v>260</v>
      </c>
      <c r="E122" s="27" t="s">
        <v>790</v>
      </c>
      <c r="F122" s="27" t="s">
        <v>626</v>
      </c>
      <c r="G122" s="27" t="s">
        <v>745</v>
      </c>
      <c r="H122" s="11" t="n">
        <v>5.4</v>
      </c>
      <c r="I122" s="31" t="n">
        <v>-0.88</v>
      </c>
      <c r="J122" s="27" t="s">
        <v>86</v>
      </c>
      <c r="K122" s="23" t="s">
        <v>697</v>
      </c>
      <c r="L122" s="9" t="s">
        <v>791</v>
      </c>
    </row>
    <row r="123" customFormat="false" ht="19.5" hidden="false" customHeight="true" outlineLevel="0" collapsed="false">
      <c r="A123" s="25" t="s">
        <v>801</v>
      </c>
      <c r="B123" s="25" t="s">
        <v>586</v>
      </c>
      <c r="C123" s="12" t="s">
        <v>660</v>
      </c>
      <c r="D123" s="12" t="s">
        <v>588</v>
      </c>
      <c r="E123" s="25" t="s">
        <v>790</v>
      </c>
      <c r="F123" s="25" t="s">
        <v>626</v>
      </c>
      <c r="G123" s="25" t="s">
        <v>745</v>
      </c>
      <c r="H123" s="14" t="n">
        <v>10.2</v>
      </c>
      <c r="I123" s="32" t="n">
        <v>-0.1</v>
      </c>
      <c r="J123" s="25" t="s">
        <v>86</v>
      </c>
      <c r="K123" s="22" t="s">
        <v>697</v>
      </c>
      <c r="L123" s="12" t="s">
        <v>791</v>
      </c>
    </row>
    <row r="124" customFormat="false" ht="19.5" hidden="false" customHeight="true" outlineLevel="0" collapsed="false">
      <c r="A124" s="27" t="s">
        <v>802</v>
      </c>
      <c r="B124" s="27" t="s">
        <v>564</v>
      </c>
      <c r="C124" s="9" t="s">
        <v>630</v>
      </c>
      <c r="D124" s="9" t="s">
        <v>559</v>
      </c>
      <c r="E124" s="27" t="s">
        <v>803</v>
      </c>
      <c r="F124" s="27" t="s">
        <v>626</v>
      </c>
      <c r="G124" s="27" t="s">
        <v>745</v>
      </c>
      <c r="H124" s="11" t="n">
        <v>4.8</v>
      </c>
      <c r="I124" s="31" t="n">
        <v>-0.7</v>
      </c>
      <c r="J124" s="27" t="s">
        <v>86</v>
      </c>
      <c r="K124" s="23" t="s">
        <v>713</v>
      </c>
      <c r="L124" s="9" t="s">
        <v>804</v>
      </c>
    </row>
    <row r="125" customFormat="false" ht="19.5" hidden="false" customHeight="true" outlineLevel="0" collapsed="false">
      <c r="A125" s="25" t="s">
        <v>805</v>
      </c>
      <c r="B125" s="25" t="s">
        <v>411</v>
      </c>
      <c r="C125" s="12" t="s">
        <v>636</v>
      </c>
      <c r="D125" s="12" t="s">
        <v>554</v>
      </c>
      <c r="E125" s="25" t="s">
        <v>803</v>
      </c>
      <c r="F125" s="25" t="s">
        <v>626</v>
      </c>
      <c r="G125" s="25" t="s">
        <v>745</v>
      </c>
      <c r="H125" s="14" t="n">
        <v>12</v>
      </c>
      <c r="I125" s="32" t="n">
        <v>-0.5</v>
      </c>
      <c r="J125" s="25" t="s">
        <v>86</v>
      </c>
      <c r="K125" s="22" t="s">
        <v>713</v>
      </c>
      <c r="L125" s="12" t="s">
        <v>804</v>
      </c>
    </row>
    <row r="126" customFormat="false" ht="19.5" hidden="false" customHeight="true" outlineLevel="0" collapsed="false">
      <c r="A126" s="27" t="s">
        <v>806</v>
      </c>
      <c r="B126" s="27" t="s">
        <v>377</v>
      </c>
      <c r="C126" s="9" t="s">
        <v>639</v>
      </c>
      <c r="D126" s="9" t="s">
        <v>260</v>
      </c>
      <c r="E126" s="27" t="s">
        <v>803</v>
      </c>
      <c r="F126" s="27" t="s">
        <v>626</v>
      </c>
      <c r="G126" s="27" t="s">
        <v>745</v>
      </c>
      <c r="H126" s="11" t="n">
        <v>6.2</v>
      </c>
      <c r="I126" s="31" t="n">
        <v>-0.2</v>
      </c>
      <c r="J126" s="27" t="s">
        <v>86</v>
      </c>
      <c r="K126" s="23" t="s">
        <v>713</v>
      </c>
      <c r="L126" s="9" t="s">
        <v>804</v>
      </c>
    </row>
    <row r="127" customFormat="false" ht="19.5" hidden="false" customHeight="true" outlineLevel="0" collapsed="false">
      <c r="A127" s="25" t="s">
        <v>807</v>
      </c>
      <c r="B127" s="25" t="s">
        <v>576</v>
      </c>
      <c r="C127" s="12" t="s">
        <v>642</v>
      </c>
      <c r="D127" s="12" t="s">
        <v>344</v>
      </c>
      <c r="E127" s="25" t="s">
        <v>803</v>
      </c>
      <c r="F127" s="25" t="s">
        <v>626</v>
      </c>
      <c r="G127" s="25" t="s">
        <v>745</v>
      </c>
      <c r="H127" s="14" t="n">
        <v>7.9</v>
      </c>
      <c r="I127" s="32" t="n">
        <v>-0.8</v>
      </c>
      <c r="J127" s="25" t="s">
        <v>86</v>
      </c>
      <c r="K127" s="22" t="s">
        <v>713</v>
      </c>
      <c r="L127" s="12" t="s">
        <v>804</v>
      </c>
    </row>
    <row r="128" customFormat="false" ht="19.5" hidden="false" customHeight="true" outlineLevel="0" collapsed="false">
      <c r="A128" s="27" t="s">
        <v>808</v>
      </c>
      <c r="B128" s="27" t="s">
        <v>570</v>
      </c>
      <c r="C128" s="9" t="s">
        <v>645</v>
      </c>
      <c r="D128" s="9" t="s">
        <v>344</v>
      </c>
      <c r="E128" s="27" t="s">
        <v>803</v>
      </c>
      <c r="F128" s="27" t="s">
        <v>626</v>
      </c>
      <c r="G128" s="27" t="s">
        <v>745</v>
      </c>
      <c r="H128" s="11" t="n">
        <v>12.4</v>
      </c>
      <c r="I128" s="31" t="n">
        <v>-1</v>
      </c>
      <c r="J128" s="27" t="s">
        <v>86</v>
      </c>
      <c r="K128" s="23" t="s">
        <v>713</v>
      </c>
      <c r="L128" s="9" t="s">
        <v>804</v>
      </c>
    </row>
    <row r="129" customFormat="false" ht="19.5" hidden="false" customHeight="true" outlineLevel="0" collapsed="false">
      <c r="A129" s="25" t="s">
        <v>809</v>
      </c>
      <c r="B129" s="25" t="s">
        <v>266</v>
      </c>
      <c r="C129" s="12" t="s">
        <v>648</v>
      </c>
      <c r="D129" s="12" t="s">
        <v>260</v>
      </c>
      <c r="E129" s="25" t="s">
        <v>803</v>
      </c>
      <c r="F129" s="25" t="s">
        <v>626</v>
      </c>
      <c r="G129" s="25" t="s">
        <v>745</v>
      </c>
      <c r="H129" s="14" t="n">
        <v>3.7</v>
      </c>
      <c r="I129" s="32" t="n">
        <v>-1.1</v>
      </c>
      <c r="J129" s="25" t="s">
        <v>86</v>
      </c>
      <c r="K129" s="22" t="s">
        <v>713</v>
      </c>
      <c r="L129" s="12" t="s">
        <v>804</v>
      </c>
    </row>
    <row r="130" customFormat="false" ht="19.5" hidden="false" customHeight="true" outlineLevel="0" collapsed="false">
      <c r="A130" s="27" t="s">
        <v>810</v>
      </c>
      <c r="B130" s="27" t="s">
        <v>533</v>
      </c>
      <c r="C130" s="9" t="s">
        <v>651</v>
      </c>
      <c r="D130" s="9" t="s">
        <v>260</v>
      </c>
      <c r="E130" s="27" t="s">
        <v>803</v>
      </c>
      <c r="F130" s="27" t="s">
        <v>626</v>
      </c>
      <c r="G130" s="27" t="s">
        <v>745</v>
      </c>
      <c r="H130" s="11" t="n">
        <v>6.7</v>
      </c>
      <c r="I130" s="31" t="n">
        <v>-0.5</v>
      </c>
      <c r="J130" s="27" t="s">
        <v>86</v>
      </c>
      <c r="K130" s="23" t="s">
        <v>713</v>
      </c>
      <c r="L130" s="9" t="s">
        <v>804</v>
      </c>
    </row>
    <row r="131" customFormat="false" ht="19.5" hidden="false" customHeight="true" outlineLevel="0" collapsed="false">
      <c r="A131" s="25" t="s">
        <v>811</v>
      </c>
      <c r="B131" s="25" t="s">
        <v>540</v>
      </c>
      <c r="C131" s="12" t="s">
        <v>654</v>
      </c>
      <c r="D131" s="12" t="s">
        <v>260</v>
      </c>
      <c r="E131" s="25" t="s">
        <v>803</v>
      </c>
      <c r="F131" s="25" t="s">
        <v>626</v>
      </c>
      <c r="G131" s="25" t="s">
        <v>745</v>
      </c>
      <c r="H131" s="14" t="n">
        <v>4.2</v>
      </c>
      <c r="I131" s="32" t="n">
        <v>-1</v>
      </c>
      <c r="J131" s="25" t="s">
        <v>86</v>
      </c>
      <c r="K131" s="22" t="s">
        <v>713</v>
      </c>
      <c r="L131" s="12" t="s">
        <v>804</v>
      </c>
    </row>
    <row r="132" customFormat="false" ht="19.5" hidden="false" customHeight="true" outlineLevel="0" collapsed="false">
      <c r="A132" s="27" t="s">
        <v>812</v>
      </c>
      <c r="B132" s="27" t="s">
        <v>276</v>
      </c>
      <c r="C132" s="9" t="s">
        <v>676</v>
      </c>
      <c r="D132" s="9" t="s">
        <v>260</v>
      </c>
      <c r="E132" s="27" t="s">
        <v>803</v>
      </c>
      <c r="F132" s="27" t="s">
        <v>626</v>
      </c>
      <c r="G132" s="27" t="s">
        <v>745</v>
      </c>
      <c r="H132" s="11" t="n">
        <v>3.3</v>
      </c>
      <c r="I132" s="31" t="n">
        <v>-1.1</v>
      </c>
      <c r="J132" s="27" t="s">
        <v>86</v>
      </c>
      <c r="K132" s="23" t="s">
        <v>713</v>
      </c>
      <c r="L132" s="9" t="s">
        <v>804</v>
      </c>
    </row>
    <row r="133" customFormat="false" ht="19.5" hidden="false" customHeight="true" outlineLevel="0" collapsed="false">
      <c r="A133" s="25" t="s">
        <v>813</v>
      </c>
      <c r="B133" s="25" t="s">
        <v>257</v>
      </c>
      <c r="C133" s="12" t="s">
        <v>657</v>
      </c>
      <c r="D133" s="12" t="s">
        <v>260</v>
      </c>
      <c r="E133" s="25" t="s">
        <v>803</v>
      </c>
      <c r="F133" s="25" t="s">
        <v>626</v>
      </c>
      <c r="G133" s="25" t="s">
        <v>745</v>
      </c>
      <c r="H133" s="14" t="n">
        <v>5</v>
      </c>
      <c r="I133" s="32" t="n">
        <v>-0.4</v>
      </c>
      <c r="J133" s="25" t="s">
        <v>86</v>
      </c>
      <c r="K133" s="22" t="s">
        <v>713</v>
      </c>
      <c r="L133" s="12" t="s">
        <v>804</v>
      </c>
    </row>
    <row r="134" customFormat="false" ht="19.5" hidden="false" customHeight="true" outlineLevel="0" collapsed="false">
      <c r="A134" s="27" t="s">
        <v>814</v>
      </c>
      <c r="B134" s="27" t="s">
        <v>586</v>
      </c>
      <c r="C134" s="9" t="s">
        <v>660</v>
      </c>
      <c r="D134" s="9" t="s">
        <v>588</v>
      </c>
      <c r="E134" s="27" t="s">
        <v>803</v>
      </c>
      <c r="F134" s="27" t="s">
        <v>626</v>
      </c>
      <c r="G134" s="27" t="s">
        <v>745</v>
      </c>
      <c r="H134" s="11" t="n">
        <v>10.7</v>
      </c>
      <c r="I134" s="31" t="n">
        <v>0.5</v>
      </c>
      <c r="J134" s="27" t="s">
        <v>86</v>
      </c>
      <c r="K134" s="23" t="s">
        <v>713</v>
      </c>
      <c r="L134" s="9" t="s">
        <v>804</v>
      </c>
    </row>
    <row r="135" customFormat="false" ht="19.5" hidden="false" customHeight="true" outlineLevel="0" collapsed="false">
      <c r="A135" s="25" t="s">
        <v>815</v>
      </c>
      <c r="B135" s="25" t="s">
        <v>564</v>
      </c>
      <c r="C135" s="12" t="s">
        <v>630</v>
      </c>
      <c r="D135" s="12" t="s">
        <v>559</v>
      </c>
      <c r="E135" s="25" t="s">
        <v>816</v>
      </c>
      <c r="F135" s="25" t="s">
        <v>626</v>
      </c>
      <c r="G135" s="25" t="s">
        <v>745</v>
      </c>
      <c r="H135" s="14" t="n">
        <v>4.5</v>
      </c>
      <c r="I135" s="32" t="n">
        <v>-0.3</v>
      </c>
      <c r="J135" s="25" t="s">
        <v>86</v>
      </c>
      <c r="K135" s="22" t="s">
        <v>729</v>
      </c>
      <c r="L135" s="12" t="s">
        <v>817</v>
      </c>
    </row>
    <row r="136" customFormat="false" ht="19.5" hidden="false" customHeight="true" outlineLevel="0" collapsed="false">
      <c r="A136" s="27" t="s">
        <v>818</v>
      </c>
      <c r="B136" s="27" t="s">
        <v>411</v>
      </c>
      <c r="C136" s="9" t="s">
        <v>636</v>
      </c>
      <c r="D136" s="9" t="s">
        <v>554</v>
      </c>
      <c r="E136" s="27" t="s">
        <v>816</v>
      </c>
      <c r="F136" s="27" t="s">
        <v>626</v>
      </c>
      <c r="G136" s="27" t="s">
        <v>745</v>
      </c>
      <c r="H136" s="11" t="n">
        <v>11.4</v>
      </c>
      <c r="I136" s="31" t="n">
        <v>-0.6</v>
      </c>
      <c r="J136" s="27" t="s">
        <v>86</v>
      </c>
      <c r="K136" s="23" t="s">
        <v>729</v>
      </c>
      <c r="L136" s="9" t="s">
        <v>817</v>
      </c>
    </row>
    <row r="137" customFormat="false" ht="19.5" hidden="false" customHeight="true" outlineLevel="0" collapsed="false">
      <c r="A137" s="25" t="s">
        <v>819</v>
      </c>
      <c r="B137" s="25" t="s">
        <v>377</v>
      </c>
      <c r="C137" s="12" t="s">
        <v>639</v>
      </c>
      <c r="D137" s="12" t="s">
        <v>260</v>
      </c>
      <c r="E137" s="25" t="s">
        <v>816</v>
      </c>
      <c r="F137" s="25" t="s">
        <v>626</v>
      </c>
      <c r="G137" s="25" t="s">
        <v>745</v>
      </c>
      <c r="H137" s="14" t="n">
        <v>5.8</v>
      </c>
      <c r="I137" s="32" t="n">
        <v>-0.4</v>
      </c>
      <c r="J137" s="25" t="s">
        <v>86</v>
      </c>
      <c r="K137" s="22" t="s">
        <v>729</v>
      </c>
      <c r="L137" s="12" t="s">
        <v>817</v>
      </c>
    </row>
    <row r="138" customFormat="false" ht="19.5" hidden="false" customHeight="true" outlineLevel="0" collapsed="false">
      <c r="A138" s="27" t="s">
        <v>820</v>
      </c>
      <c r="B138" s="27" t="s">
        <v>576</v>
      </c>
      <c r="C138" s="9" t="s">
        <v>642</v>
      </c>
      <c r="D138" s="9" t="s">
        <v>344</v>
      </c>
      <c r="E138" s="27" t="s">
        <v>816</v>
      </c>
      <c r="F138" s="27" t="s">
        <v>626</v>
      </c>
      <c r="G138" s="27" t="s">
        <v>745</v>
      </c>
      <c r="H138" s="11" t="n">
        <v>7.4</v>
      </c>
      <c r="I138" s="31" t="n">
        <v>-0.5</v>
      </c>
      <c r="J138" s="27" t="s">
        <v>86</v>
      </c>
      <c r="K138" s="23" t="s">
        <v>729</v>
      </c>
      <c r="L138" s="9" t="s">
        <v>817</v>
      </c>
    </row>
    <row r="139" customFormat="false" ht="19.5" hidden="false" customHeight="true" outlineLevel="0" collapsed="false">
      <c r="A139" s="25" t="s">
        <v>821</v>
      </c>
      <c r="B139" s="25" t="s">
        <v>570</v>
      </c>
      <c r="C139" s="12" t="s">
        <v>645</v>
      </c>
      <c r="D139" s="12" t="s">
        <v>344</v>
      </c>
      <c r="E139" s="25" t="s">
        <v>816</v>
      </c>
      <c r="F139" s="25" t="s">
        <v>626</v>
      </c>
      <c r="G139" s="25" t="s">
        <v>745</v>
      </c>
      <c r="H139" s="14" t="n">
        <v>12.3</v>
      </c>
      <c r="I139" s="32" t="n">
        <v>-0.1</v>
      </c>
      <c r="J139" s="25" t="s">
        <v>86</v>
      </c>
      <c r="K139" s="22" t="s">
        <v>729</v>
      </c>
      <c r="L139" s="12" t="s">
        <v>817</v>
      </c>
    </row>
    <row r="140" customFormat="false" ht="19.5" hidden="false" customHeight="true" outlineLevel="0" collapsed="false">
      <c r="A140" s="27" t="s">
        <v>822</v>
      </c>
      <c r="B140" s="27" t="s">
        <v>266</v>
      </c>
      <c r="C140" s="9" t="s">
        <v>648</v>
      </c>
      <c r="D140" s="9" t="s">
        <v>260</v>
      </c>
      <c r="E140" s="27" t="s">
        <v>816</v>
      </c>
      <c r="F140" s="27" t="s">
        <v>626</v>
      </c>
      <c r="G140" s="27" t="s">
        <v>745</v>
      </c>
      <c r="H140" s="11" t="n">
        <v>3.3</v>
      </c>
      <c r="I140" s="31" t="n">
        <v>-0.4</v>
      </c>
      <c r="J140" s="27" t="s">
        <v>86</v>
      </c>
      <c r="K140" s="23" t="s">
        <v>729</v>
      </c>
      <c r="L140" s="9" t="s">
        <v>817</v>
      </c>
    </row>
    <row r="141" customFormat="false" ht="19.5" hidden="false" customHeight="true" outlineLevel="0" collapsed="false">
      <c r="A141" s="25" t="s">
        <v>823</v>
      </c>
      <c r="B141" s="25" t="s">
        <v>533</v>
      </c>
      <c r="C141" s="12" t="s">
        <v>651</v>
      </c>
      <c r="D141" s="12" t="s">
        <v>260</v>
      </c>
      <c r="E141" s="25" t="s">
        <v>816</v>
      </c>
      <c r="F141" s="25" t="s">
        <v>626</v>
      </c>
      <c r="G141" s="25" t="s">
        <v>745</v>
      </c>
      <c r="H141" s="14" t="n">
        <v>5.8</v>
      </c>
      <c r="I141" s="32" t="n">
        <v>-0.9</v>
      </c>
      <c r="J141" s="25" t="s">
        <v>86</v>
      </c>
      <c r="K141" s="22" t="s">
        <v>729</v>
      </c>
      <c r="L141" s="12" t="s">
        <v>817</v>
      </c>
    </row>
    <row r="142" customFormat="false" ht="19.5" hidden="false" customHeight="true" outlineLevel="0" collapsed="false">
      <c r="A142" s="27" t="s">
        <v>824</v>
      </c>
      <c r="B142" s="27" t="s">
        <v>540</v>
      </c>
      <c r="C142" s="9" t="s">
        <v>654</v>
      </c>
      <c r="D142" s="9" t="s">
        <v>260</v>
      </c>
      <c r="E142" s="27" t="s">
        <v>816</v>
      </c>
      <c r="F142" s="27" t="s">
        <v>626</v>
      </c>
      <c r="G142" s="27" t="s">
        <v>745</v>
      </c>
      <c r="H142" s="11" t="n">
        <v>3.4</v>
      </c>
      <c r="I142" s="31" t="n">
        <v>-0.8</v>
      </c>
      <c r="J142" s="27" t="s">
        <v>86</v>
      </c>
      <c r="K142" s="23" t="s">
        <v>729</v>
      </c>
      <c r="L142" s="9" t="s">
        <v>817</v>
      </c>
    </row>
    <row r="143" customFormat="false" ht="19.5" hidden="false" customHeight="true" outlineLevel="0" collapsed="false">
      <c r="A143" s="25" t="s">
        <v>825</v>
      </c>
      <c r="B143" s="25" t="s">
        <v>276</v>
      </c>
      <c r="C143" s="12" t="s">
        <v>676</v>
      </c>
      <c r="D143" s="12" t="s">
        <v>260</v>
      </c>
      <c r="E143" s="25" t="s">
        <v>816</v>
      </c>
      <c r="F143" s="25" t="s">
        <v>626</v>
      </c>
      <c r="G143" s="25" t="s">
        <v>745</v>
      </c>
      <c r="H143" s="14" t="n">
        <v>2.9</v>
      </c>
      <c r="I143" s="32" t="n">
        <v>-0.4</v>
      </c>
      <c r="J143" s="25" t="s">
        <v>86</v>
      </c>
      <c r="K143" s="22" t="s">
        <v>729</v>
      </c>
      <c r="L143" s="12" t="s">
        <v>817</v>
      </c>
    </row>
    <row r="144" customFormat="false" ht="19.5" hidden="false" customHeight="true" outlineLevel="0" collapsed="false">
      <c r="A144" s="27" t="s">
        <v>826</v>
      </c>
      <c r="B144" s="27" t="s">
        <v>257</v>
      </c>
      <c r="C144" s="9" t="s">
        <v>657</v>
      </c>
      <c r="D144" s="9" t="s">
        <v>260</v>
      </c>
      <c r="E144" s="27" t="s">
        <v>816</v>
      </c>
      <c r="F144" s="27" t="s">
        <v>626</v>
      </c>
      <c r="G144" s="27" t="s">
        <v>745</v>
      </c>
      <c r="H144" s="11" t="n">
        <v>4.6</v>
      </c>
      <c r="I144" s="31" t="n">
        <v>-0.4</v>
      </c>
      <c r="J144" s="27" t="s">
        <v>86</v>
      </c>
      <c r="K144" s="23" t="s">
        <v>729</v>
      </c>
      <c r="L144" s="9" t="s">
        <v>817</v>
      </c>
    </row>
    <row r="145" customFormat="false" ht="19.5" hidden="false" customHeight="true" outlineLevel="0" collapsed="false">
      <c r="A145" s="25" t="s">
        <v>827</v>
      </c>
      <c r="B145" s="25" t="s">
        <v>586</v>
      </c>
      <c r="C145" s="12" t="s">
        <v>660</v>
      </c>
      <c r="D145" s="12" t="s">
        <v>588</v>
      </c>
      <c r="E145" s="25" t="s">
        <v>816</v>
      </c>
      <c r="F145" s="25" t="s">
        <v>626</v>
      </c>
      <c r="G145" s="25" t="s">
        <v>745</v>
      </c>
      <c r="H145" s="14" t="n">
        <v>10.7</v>
      </c>
      <c r="I145" s="32" t="n">
        <v>0</v>
      </c>
      <c r="J145" s="25" t="s">
        <v>86</v>
      </c>
      <c r="K145" s="22" t="s">
        <v>729</v>
      </c>
      <c r="L145" s="12" t="s">
        <v>817</v>
      </c>
    </row>
    <row r="146" customFormat="false" ht="19.5" hidden="false" customHeight="true" outlineLevel="0" collapsed="false">
      <c r="A146" s="27" t="s">
        <v>828</v>
      </c>
      <c r="B146" s="27" t="s">
        <v>300</v>
      </c>
      <c r="C146" s="9" t="s">
        <v>829</v>
      </c>
      <c r="D146" s="9" t="s">
        <v>260</v>
      </c>
      <c r="E146" s="27" t="s">
        <v>830</v>
      </c>
      <c r="F146" s="27" t="s">
        <v>626</v>
      </c>
      <c r="G146" s="27" t="s">
        <v>831</v>
      </c>
      <c r="H146" s="11" t="n">
        <v>0.06</v>
      </c>
      <c r="I146" s="30"/>
      <c r="J146" s="27" t="s">
        <v>113</v>
      </c>
      <c r="K146" s="23" t="s">
        <v>832</v>
      </c>
      <c r="L146" s="9" t="s">
        <v>833</v>
      </c>
    </row>
    <row r="147" customFormat="false" ht="19.5" hidden="false" customHeight="true" outlineLevel="0" collapsed="false">
      <c r="A147" s="25" t="s">
        <v>834</v>
      </c>
      <c r="B147" s="25" t="s">
        <v>284</v>
      </c>
      <c r="C147" s="12" t="s">
        <v>835</v>
      </c>
      <c r="D147" s="12" t="s">
        <v>260</v>
      </c>
      <c r="E147" s="25" t="s">
        <v>830</v>
      </c>
      <c r="F147" s="25" t="s">
        <v>626</v>
      </c>
      <c r="G147" s="25" t="s">
        <v>831</v>
      </c>
      <c r="H147" s="14" t="n">
        <v>0.1</v>
      </c>
      <c r="I147" s="29"/>
      <c r="J147" s="25" t="s">
        <v>113</v>
      </c>
      <c r="K147" s="22" t="s">
        <v>832</v>
      </c>
      <c r="L147" s="12" t="s">
        <v>836</v>
      </c>
    </row>
    <row r="148" customFormat="false" ht="19.5" hidden="false" customHeight="true" outlineLevel="0" collapsed="false">
      <c r="A148" s="27" t="s">
        <v>837</v>
      </c>
      <c r="B148" s="27" t="s">
        <v>266</v>
      </c>
      <c r="C148" s="9" t="s">
        <v>838</v>
      </c>
      <c r="D148" s="9" t="s">
        <v>260</v>
      </c>
      <c r="E148" s="27" t="s">
        <v>830</v>
      </c>
      <c r="F148" s="27" t="s">
        <v>626</v>
      </c>
      <c r="G148" s="27" t="s">
        <v>831</v>
      </c>
      <c r="H148" s="11" t="n">
        <v>2</v>
      </c>
      <c r="I148" s="30"/>
      <c r="J148" s="27" t="s">
        <v>113</v>
      </c>
      <c r="K148" s="23" t="s">
        <v>832</v>
      </c>
      <c r="L148" s="9" t="s">
        <v>839</v>
      </c>
    </row>
    <row r="149" customFormat="false" ht="19.5" hidden="false" customHeight="true" outlineLevel="0" collapsed="false">
      <c r="A149" s="25" t="s">
        <v>840</v>
      </c>
      <c r="B149" s="25" t="s">
        <v>276</v>
      </c>
      <c r="C149" s="12" t="s">
        <v>841</v>
      </c>
      <c r="D149" s="12" t="s">
        <v>260</v>
      </c>
      <c r="E149" s="25" t="s">
        <v>830</v>
      </c>
      <c r="F149" s="25" t="s">
        <v>626</v>
      </c>
      <c r="G149" s="25" t="s">
        <v>831</v>
      </c>
      <c r="H149" s="14" t="n">
        <v>0.7</v>
      </c>
      <c r="I149" s="29"/>
      <c r="J149" s="25" t="s">
        <v>113</v>
      </c>
      <c r="K149" s="22" t="s">
        <v>832</v>
      </c>
      <c r="L149" s="12" t="s">
        <v>842</v>
      </c>
    </row>
    <row r="150" customFormat="false" ht="19.5" hidden="false" customHeight="true" outlineLevel="0" collapsed="false">
      <c r="A150" s="27" t="s">
        <v>843</v>
      </c>
      <c r="B150" s="27" t="s">
        <v>257</v>
      </c>
      <c r="C150" s="9" t="s">
        <v>844</v>
      </c>
      <c r="D150" s="9" t="s">
        <v>260</v>
      </c>
      <c r="E150" s="27" t="s">
        <v>830</v>
      </c>
      <c r="F150" s="27" t="s">
        <v>626</v>
      </c>
      <c r="G150" s="27" t="s">
        <v>831</v>
      </c>
      <c r="H150" s="11" t="n">
        <v>1</v>
      </c>
      <c r="I150" s="30"/>
      <c r="J150" s="27" t="s">
        <v>113</v>
      </c>
      <c r="K150" s="23" t="s">
        <v>832</v>
      </c>
      <c r="L150" s="9" t="s">
        <v>845</v>
      </c>
    </row>
    <row r="151" customFormat="false" ht="19.5" hidden="false" customHeight="true" outlineLevel="0" collapsed="false">
      <c r="A151" s="25" t="s">
        <v>846</v>
      </c>
      <c r="B151" s="25" t="s">
        <v>305</v>
      </c>
      <c r="C151" s="12" t="s">
        <v>847</v>
      </c>
      <c r="D151" s="12" t="s">
        <v>307</v>
      </c>
      <c r="E151" s="25" t="s">
        <v>848</v>
      </c>
      <c r="F151" s="25" t="s">
        <v>626</v>
      </c>
      <c r="G151" s="25" t="s">
        <v>831</v>
      </c>
      <c r="H151" s="14" t="n">
        <v>0.38</v>
      </c>
      <c r="I151" s="29"/>
      <c r="J151" s="25" t="s">
        <v>113</v>
      </c>
      <c r="K151" s="22" t="s">
        <v>849</v>
      </c>
      <c r="L151" s="12" t="s">
        <v>850</v>
      </c>
    </row>
    <row r="152" customFormat="false" ht="19.5" hidden="false" customHeight="true" outlineLevel="0" collapsed="false">
      <c r="A152" s="27" t="s">
        <v>851</v>
      </c>
      <c r="B152" s="27" t="s">
        <v>300</v>
      </c>
      <c r="C152" s="9" t="s">
        <v>829</v>
      </c>
      <c r="D152" s="9" t="s">
        <v>294</v>
      </c>
      <c r="E152" s="27" t="s">
        <v>848</v>
      </c>
      <c r="F152" s="27" t="s">
        <v>626</v>
      </c>
      <c r="G152" s="27" t="s">
        <v>831</v>
      </c>
      <c r="H152" s="11" t="n">
        <v>0.53</v>
      </c>
      <c r="I152" s="30"/>
      <c r="J152" s="27" t="s">
        <v>113</v>
      </c>
      <c r="K152" s="23" t="s">
        <v>849</v>
      </c>
      <c r="L152" s="9" t="s">
        <v>852</v>
      </c>
    </row>
    <row r="153" customFormat="false" ht="19.5" hidden="false" customHeight="true" outlineLevel="0" collapsed="false">
      <c r="A153" s="25" t="s">
        <v>853</v>
      </c>
      <c r="B153" s="25" t="s">
        <v>312</v>
      </c>
      <c r="C153" s="12" t="s">
        <v>854</v>
      </c>
      <c r="D153" s="12" t="s">
        <v>314</v>
      </c>
      <c r="E153" s="25" t="s">
        <v>848</v>
      </c>
      <c r="F153" s="25" t="s">
        <v>626</v>
      </c>
      <c r="G153" s="25" t="s">
        <v>831</v>
      </c>
      <c r="H153" s="14" t="n">
        <v>0.02</v>
      </c>
      <c r="I153" s="29"/>
      <c r="J153" s="25" t="s">
        <v>113</v>
      </c>
      <c r="K153" s="22" t="s">
        <v>849</v>
      </c>
      <c r="L153" s="12" t="s">
        <v>855</v>
      </c>
    </row>
    <row r="154" customFormat="false" ht="19.5" hidden="false" customHeight="true" outlineLevel="0" collapsed="false">
      <c r="A154" s="27" t="s">
        <v>856</v>
      </c>
      <c r="B154" s="27" t="s">
        <v>284</v>
      </c>
      <c r="C154" s="9" t="s">
        <v>835</v>
      </c>
      <c r="D154" s="9" t="s">
        <v>260</v>
      </c>
      <c r="E154" s="27" t="s">
        <v>848</v>
      </c>
      <c r="F154" s="27" t="s">
        <v>626</v>
      </c>
      <c r="G154" s="27" t="s">
        <v>831</v>
      </c>
      <c r="H154" s="11" t="n">
        <v>1.25</v>
      </c>
      <c r="I154" s="30"/>
      <c r="J154" s="27" t="s">
        <v>113</v>
      </c>
      <c r="K154" s="23" t="s">
        <v>849</v>
      </c>
      <c r="L154" s="9" t="s">
        <v>857</v>
      </c>
    </row>
    <row r="155" customFormat="false" ht="19.5" hidden="false" customHeight="true" outlineLevel="0" collapsed="false">
      <c r="A155" s="25" t="s">
        <v>858</v>
      </c>
      <c r="B155" s="25" t="s">
        <v>266</v>
      </c>
      <c r="C155" s="12" t="s">
        <v>838</v>
      </c>
      <c r="D155" s="12" t="s">
        <v>260</v>
      </c>
      <c r="E155" s="25" t="s">
        <v>848</v>
      </c>
      <c r="F155" s="25" t="s">
        <v>626</v>
      </c>
      <c r="G155" s="25" t="s">
        <v>831</v>
      </c>
      <c r="H155" s="14" t="n">
        <v>2.86</v>
      </c>
      <c r="I155" s="29"/>
      <c r="J155" s="25" t="s">
        <v>113</v>
      </c>
      <c r="K155" s="22" t="s">
        <v>849</v>
      </c>
      <c r="L155" s="12" t="s">
        <v>859</v>
      </c>
    </row>
    <row r="156" customFormat="false" ht="19.5" hidden="false" customHeight="true" outlineLevel="0" collapsed="false">
      <c r="A156" s="27" t="s">
        <v>860</v>
      </c>
      <c r="B156" s="27" t="s">
        <v>276</v>
      </c>
      <c r="C156" s="9" t="s">
        <v>841</v>
      </c>
      <c r="D156" s="9" t="s">
        <v>260</v>
      </c>
      <c r="E156" s="27" t="s">
        <v>848</v>
      </c>
      <c r="F156" s="27" t="s">
        <v>626</v>
      </c>
      <c r="G156" s="27" t="s">
        <v>831</v>
      </c>
      <c r="H156" s="11" t="n">
        <v>1.94</v>
      </c>
      <c r="I156" s="30"/>
      <c r="J156" s="27" t="s">
        <v>113</v>
      </c>
      <c r="K156" s="23" t="s">
        <v>849</v>
      </c>
      <c r="L156" s="9" t="s">
        <v>861</v>
      </c>
    </row>
    <row r="157" customFormat="false" ht="19.5" hidden="false" customHeight="true" outlineLevel="0" collapsed="false">
      <c r="A157" s="25" t="s">
        <v>862</v>
      </c>
      <c r="B157" s="25" t="s">
        <v>257</v>
      </c>
      <c r="C157" s="12" t="s">
        <v>844</v>
      </c>
      <c r="D157" s="12" t="s">
        <v>260</v>
      </c>
      <c r="E157" s="25" t="s">
        <v>848</v>
      </c>
      <c r="F157" s="25" t="s">
        <v>626</v>
      </c>
      <c r="G157" s="25" t="s">
        <v>831</v>
      </c>
      <c r="H157" s="14" t="n">
        <v>3.98</v>
      </c>
      <c r="I157" s="29"/>
      <c r="J157" s="25" t="s">
        <v>113</v>
      </c>
      <c r="K157" s="22" t="s">
        <v>849</v>
      </c>
      <c r="L157" s="12" t="s">
        <v>863</v>
      </c>
    </row>
    <row r="158" customFormat="false" ht="19.5" hidden="false" customHeight="true" outlineLevel="0" collapsed="false">
      <c r="A158" s="27" t="s">
        <v>864</v>
      </c>
      <c r="B158" s="27" t="s">
        <v>593</v>
      </c>
      <c r="C158" s="9" t="s">
        <v>865</v>
      </c>
      <c r="D158" s="9" t="s">
        <v>866</v>
      </c>
      <c r="E158" s="27" t="s">
        <v>867</v>
      </c>
      <c r="F158" s="27" t="s">
        <v>626</v>
      </c>
      <c r="G158" s="27" t="s">
        <v>868</v>
      </c>
      <c r="H158" s="11" t="n">
        <v>12.7</v>
      </c>
      <c r="I158" s="30"/>
      <c r="J158" s="27" t="s">
        <v>86</v>
      </c>
      <c r="K158" s="23" t="s">
        <v>869</v>
      </c>
      <c r="L158" s="9" t="s">
        <v>870</v>
      </c>
    </row>
    <row r="159" customFormat="false" ht="19.5" hidden="false" customHeight="true" outlineLevel="0" collapsed="false">
      <c r="A159" s="25" t="s">
        <v>871</v>
      </c>
      <c r="B159" s="25" t="s">
        <v>601</v>
      </c>
      <c r="C159" s="12" t="s">
        <v>872</v>
      </c>
      <c r="D159" s="12" t="s">
        <v>866</v>
      </c>
      <c r="E159" s="25" t="s">
        <v>867</v>
      </c>
      <c r="F159" s="25" t="s">
        <v>626</v>
      </c>
      <c r="G159" s="25" t="s">
        <v>868</v>
      </c>
      <c r="H159" s="14" t="n">
        <v>10.7</v>
      </c>
      <c r="I159" s="29"/>
      <c r="J159" s="25" t="s">
        <v>86</v>
      </c>
      <c r="K159" s="22" t="s">
        <v>869</v>
      </c>
      <c r="L159" s="12" t="s">
        <v>873</v>
      </c>
    </row>
    <row r="160" customFormat="false" ht="19.5" hidden="false" customHeight="true" outlineLevel="0" collapsed="false">
      <c r="A160" s="27" t="s">
        <v>874</v>
      </c>
      <c r="B160" s="27" t="s">
        <v>605</v>
      </c>
      <c r="C160" s="9" t="s">
        <v>875</v>
      </c>
      <c r="D160" s="9" t="s">
        <v>588</v>
      </c>
      <c r="E160" s="27" t="s">
        <v>867</v>
      </c>
      <c r="F160" s="27" t="s">
        <v>626</v>
      </c>
      <c r="G160" s="27" t="s">
        <v>868</v>
      </c>
      <c r="H160" s="11" t="n">
        <v>4.1</v>
      </c>
      <c r="I160" s="30"/>
      <c r="J160" s="27" t="s">
        <v>86</v>
      </c>
      <c r="K160" s="23" t="s">
        <v>869</v>
      </c>
      <c r="L160" s="9" t="s">
        <v>876</v>
      </c>
    </row>
    <row r="161" customFormat="false" ht="19.5" hidden="false" customHeight="true" outlineLevel="0" collapsed="false">
      <c r="A161" s="25" t="s">
        <v>877</v>
      </c>
      <c r="B161" s="25" t="s">
        <v>312</v>
      </c>
      <c r="C161" s="12" t="s">
        <v>854</v>
      </c>
      <c r="D161" s="12" t="s">
        <v>314</v>
      </c>
      <c r="E161" s="25" t="s">
        <v>878</v>
      </c>
      <c r="F161" s="25" t="s">
        <v>626</v>
      </c>
      <c r="G161" s="25" t="s">
        <v>831</v>
      </c>
      <c r="H161" s="14" t="n">
        <v>0.2</v>
      </c>
      <c r="I161" s="32" t="n">
        <v>0.18</v>
      </c>
      <c r="J161" s="25" t="s">
        <v>113</v>
      </c>
      <c r="K161" s="22" t="s">
        <v>879</v>
      </c>
      <c r="L161" s="12" t="s">
        <v>880</v>
      </c>
    </row>
    <row r="162" customFormat="false" ht="19.5" hidden="false" customHeight="true" outlineLevel="0" collapsed="false">
      <c r="A162" s="27" t="s">
        <v>881</v>
      </c>
      <c r="B162" s="27" t="s">
        <v>349</v>
      </c>
      <c r="C162" s="9" t="s">
        <v>882</v>
      </c>
      <c r="D162" s="9" t="s">
        <v>260</v>
      </c>
      <c r="E162" s="27" t="s">
        <v>883</v>
      </c>
      <c r="F162" s="27" t="s">
        <v>626</v>
      </c>
      <c r="G162" s="27" t="s">
        <v>831</v>
      </c>
      <c r="H162" s="11" t="n">
        <v>0.6</v>
      </c>
      <c r="I162" s="30"/>
      <c r="J162" s="27" t="s">
        <v>113</v>
      </c>
      <c r="K162" s="23" t="s">
        <v>879</v>
      </c>
      <c r="L162" s="9" t="s">
        <v>884</v>
      </c>
    </row>
    <row r="163" customFormat="false" ht="19.5" hidden="false" customHeight="true" outlineLevel="0" collapsed="false">
      <c r="A163" s="25" t="s">
        <v>885</v>
      </c>
      <c r="B163" s="25" t="s">
        <v>593</v>
      </c>
      <c r="C163" s="12" t="s">
        <v>865</v>
      </c>
      <c r="D163" s="12" t="s">
        <v>866</v>
      </c>
      <c r="E163" s="25" t="s">
        <v>886</v>
      </c>
      <c r="F163" s="25" t="s">
        <v>626</v>
      </c>
      <c r="G163" s="25" t="s">
        <v>868</v>
      </c>
      <c r="H163" s="14" t="n">
        <v>12.1</v>
      </c>
      <c r="I163" s="32" t="n">
        <v>-0.6</v>
      </c>
      <c r="J163" s="25" t="s">
        <v>86</v>
      </c>
      <c r="K163" s="22" t="s">
        <v>887</v>
      </c>
      <c r="L163" s="12" t="s">
        <v>888</v>
      </c>
    </row>
    <row r="164" customFormat="false" ht="19.5" hidden="false" customHeight="true" outlineLevel="0" collapsed="false">
      <c r="A164" s="27" t="s">
        <v>889</v>
      </c>
      <c r="B164" s="27" t="s">
        <v>601</v>
      </c>
      <c r="C164" s="9" t="s">
        <v>872</v>
      </c>
      <c r="D164" s="9" t="s">
        <v>866</v>
      </c>
      <c r="E164" s="27" t="s">
        <v>886</v>
      </c>
      <c r="F164" s="27" t="s">
        <v>626</v>
      </c>
      <c r="G164" s="27" t="s">
        <v>868</v>
      </c>
      <c r="H164" s="11" t="n">
        <v>10.6</v>
      </c>
      <c r="I164" s="31" t="n">
        <v>-0.1</v>
      </c>
      <c r="J164" s="27" t="s">
        <v>86</v>
      </c>
      <c r="K164" s="23" t="s">
        <v>887</v>
      </c>
      <c r="L164" s="9" t="s">
        <v>890</v>
      </c>
    </row>
    <row r="165" customFormat="false" ht="19.5" hidden="false" customHeight="true" outlineLevel="0" collapsed="false">
      <c r="A165" s="25" t="s">
        <v>891</v>
      </c>
      <c r="B165" s="25" t="s">
        <v>605</v>
      </c>
      <c r="C165" s="12" t="s">
        <v>875</v>
      </c>
      <c r="D165" s="12" t="s">
        <v>588</v>
      </c>
      <c r="E165" s="25" t="s">
        <v>886</v>
      </c>
      <c r="F165" s="25" t="s">
        <v>626</v>
      </c>
      <c r="G165" s="25" t="s">
        <v>868</v>
      </c>
      <c r="H165" s="14" t="n">
        <v>4.4</v>
      </c>
      <c r="I165" s="32" t="n">
        <v>0.3</v>
      </c>
      <c r="J165" s="25" t="s">
        <v>86</v>
      </c>
      <c r="K165" s="22" t="s">
        <v>887</v>
      </c>
      <c r="L165" s="12" t="s">
        <v>892</v>
      </c>
    </row>
    <row r="166" customFormat="false" ht="19.5" hidden="false" customHeight="true" outlineLevel="0" collapsed="false">
      <c r="A166" s="27" t="s">
        <v>893</v>
      </c>
      <c r="B166" s="27" t="s">
        <v>580</v>
      </c>
      <c r="C166" s="9" t="s">
        <v>894</v>
      </c>
      <c r="D166" s="9" t="s">
        <v>344</v>
      </c>
      <c r="E166" s="27" t="s">
        <v>895</v>
      </c>
      <c r="F166" s="27" t="s">
        <v>626</v>
      </c>
      <c r="G166" s="27" t="s">
        <v>831</v>
      </c>
      <c r="H166" s="11" t="n">
        <v>0.7</v>
      </c>
      <c r="I166" s="30"/>
      <c r="J166" s="27" t="s">
        <v>113</v>
      </c>
      <c r="K166" s="23" t="s">
        <v>896</v>
      </c>
      <c r="L166" s="9" t="s">
        <v>897</v>
      </c>
    </row>
    <row r="167" customFormat="false" ht="19.5" hidden="false" customHeight="true" outlineLevel="0" collapsed="false">
      <c r="A167" s="25" t="s">
        <v>898</v>
      </c>
      <c r="B167" s="25" t="s">
        <v>349</v>
      </c>
      <c r="C167" s="12" t="s">
        <v>882</v>
      </c>
      <c r="D167" s="12" t="s">
        <v>260</v>
      </c>
      <c r="E167" s="25" t="s">
        <v>895</v>
      </c>
      <c r="F167" s="25" t="s">
        <v>626</v>
      </c>
      <c r="G167" s="25" t="s">
        <v>831</v>
      </c>
      <c r="H167" s="14" t="n">
        <v>1.5</v>
      </c>
      <c r="I167" s="32" t="n">
        <v>0.9</v>
      </c>
      <c r="J167" s="25" t="s">
        <v>113</v>
      </c>
      <c r="K167" s="22" t="s">
        <v>896</v>
      </c>
      <c r="L167" s="12" t="s">
        <v>899</v>
      </c>
    </row>
    <row r="168" customFormat="false" ht="19.5" hidden="false" customHeight="true" outlineLevel="0" collapsed="false">
      <c r="A168" s="27" t="s">
        <v>900</v>
      </c>
      <c r="B168" s="27" t="s">
        <v>300</v>
      </c>
      <c r="C168" s="9" t="s">
        <v>829</v>
      </c>
      <c r="D168" s="9" t="s">
        <v>260</v>
      </c>
      <c r="E168" s="27" t="s">
        <v>895</v>
      </c>
      <c r="F168" s="27" t="s">
        <v>626</v>
      </c>
      <c r="G168" s="27" t="s">
        <v>831</v>
      </c>
      <c r="H168" s="11" t="n">
        <v>2.36</v>
      </c>
      <c r="I168" s="31" t="n">
        <v>1.83</v>
      </c>
      <c r="J168" s="27" t="s">
        <v>113</v>
      </c>
      <c r="K168" s="23" t="s">
        <v>896</v>
      </c>
      <c r="L168" s="9" t="s">
        <v>901</v>
      </c>
    </row>
    <row r="169" customFormat="false" ht="19.5" hidden="false" customHeight="true" outlineLevel="0" collapsed="false">
      <c r="A169" s="25" t="s">
        <v>902</v>
      </c>
      <c r="B169" s="25" t="s">
        <v>266</v>
      </c>
      <c r="C169" s="12" t="s">
        <v>838</v>
      </c>
      <c r="D169" s="12" t="s">
        <v>260</v>
      </c>
      <c r="E169" s="25" t="s">
        <v>895</v>
      </c>
      <c r="F169" s="25" t="s">
        <v>626</v>
      </c>
      <c r="G169" s="25" t="s">
        <v>831</v>
      </c>
      <c r="H169" s="14" t="n">
        <v>6.8</v>
      </c>
      <c r="I169" s="32" t="n">
        <v>3.94</v>
      </c>
      <c r="J169" s="25" t="s">
        <v>113</v>
      </c>
      <c r="K169" s="22" t="s">
        <v>896</v>
      </c>
      <c r="L169" s="12" t="s">
        <v>903</v>
      </c>
    </row>
    <row r="170" customFormat="false" ht="19.5" hidden="false" customHeight="true" outlineLevel="0" collapsed="false">
      <c r="A170" s="27" t="s">
        <v>904</v>
      </c>
      <c r="B170" s="27" t="s">
        <v>545</v>
      </c>
      <c r="C170" s="9" t="s">
        <v>905</v>
      </c>
      <c r="D170" s="9" t="s">
        <v>260</v>
      </c>
      <c r="E170" s="27" t="s">
        <v>895</v>
      </c>
      <c r="F170" s="27" t="s">
        <v>626</v>
      </c>
      <c r="G170" s="27" t="s">
        <v>831</v>
      </c>
      <c r="H170" s="11" t="n">
        <v>0.25</v>
      </c>
      <c r="I170" s="30"/>
      <c r="J170" s="27" t="s">
        <v>113</v>
      </c>
      <c r="K170" s="23" t="s">
        <v>896</v>
      </c>
      <c r="L170" s="9" t="s">
        <v>906</v>
      </c>
    </row>
    <row r="171" customFormat="false" ht="19.5" hidden="false" customHeight="true" outlineLevel="0" collapsed="false">
      <c r="A171" s="25" t="s">
        <v>907</v>
      </c>
      <c r="B171" s="25" t="s">
        <v>276</v>
      </c>
      <c r="C171" s="12" t="s">
        <v>841</v>
      </c>
      <c r="D171" s="12" t="s">
        <v>260</v>
      </c>
      <c r="E171" s="25" t="s">
        <v>895</v>
      </c>
      <c r="F171" s="25" t="s">
        <v>626</v>
      </c>
      <c r="G171" s="25" t="s">
        <v>831</v>
      </c>
      <c r="H171" s="14" t="n">
        <v>5.22</v>
      </c>
      <c r="I171" s="32" t="n">
        <v>3.28</v>
      </c>
      <c r="J171" s="25" t="s">
        <v>113</v>
      </c>
      <c r="K171" s="22" t="s">
        <v>896</v>
      </c>
      <c r="L171" s="12" t="s">
        <v>908</v>
      </c>
    </row>
    <row r="172" customFormat="false" ht="19.5" hidden="false" customHeight="true" outlineLevel="0" collapsed="false">
      <c r="A172" s="27" t="s">
        <v>909</v>
      </c>
      <c r="B172" s="27" t="s">
        <v>257</v>
      </c>
      <c r="C172" s="9" t="s">
        <v>844</v>
      </c>
      <c r="D172" s="9" t="s">
        <v>260</v>
      </c>
      <c r="E172" s="27" t="s">
        <v>895</v>
      </c>
      <c r="F172" s="27" t="s">
        <v>626</v>
      </c>
      <c r="G172" s="27" t="s">
        <v>831</v>
      </c>
      <c r="H172" s="11" t="n">
        <v>8.7</v>
      </c>
      <c r="I172" s="31" t="n">
        <v>4.72</v>
      </c>
      <c r="J172" s="27" t="s">
        <v>113</v>
      </c>
      <c r="K172" s="23" t="s">
        <v>896</v>
      </c>
      <c r="L172" s="9" t="s">
        <v>910</v>
      </c>
    </row>
    <row r="173" customFormat="false" ht="19.5" hidden="false" customHeight="true" outlineLevel="0" collapsed="false">
      <c r="A173" s="25" t="s">
        <v>911</v>
      </c>
      <c r="B173" s="25" t="s">
        <v>342</v>
      </c>
      <c r="C173" s="12" t="s">
        <v>912</v>
      </c>
      <c r="D173" s="12" t="s">
        <v>344</v>
      </c>
      <c r="E173" s="25" t="s">
        <v>913</v>
      </c>
      <c r="F173" s="25" t="s">
        <v>626</v>
      </c>
      <c r="G173" s="25" t="s">
        <v>831</v>
      </c>
      <c r="H173" s="14" t="n">
        <v>1</v>
      </c>
      <c r="I173" s="29"/>
      <c r="J173" s="25" t="s">
        <v>113</v>
      </c>
      <c r="K173" s="22" t="s">
        <v>914</v>
      </c>
      <c r="L173" s="12" t="s">
        <v>915</v>
      </c>
    </row>
    <row r="174" customFormat="false" ht="19.5" hidden="false" customHeight="true" outlineLevel="0" collapsed="false">
      <c r="A174" s="27" t="s">
        <v>916</v>
      </c>
      <c r="B174" s="27" t="s">
        <v>305</v>
      </c>
      <c r="C174" s="9" t="s">
        <v>847</v>
      </c>
      <c r="D174" s="9" t="s">
        <v>260</v>
      </c>
      <c r="E174" s="27" t="s">
        <v>913</v>
      </c>
      <c r="F174" s="27" t="s">
        <v>626</v>
      </c>
      <c r="G174" s="27" t="s">
        <v>831</v>
      </c>
      <c r="H174" s="11" t="n">
        <v>0.31</v>
      </c>
      <c r="I174" s="30"/>
      <c r="J174" s="27" t="s">
        <v>113</v>
      </c>
      <c r="K174" s="23" t="s">
        <v>914</v>
      </c>
      <c r="L174" s="9" t="s">
        <v>917</v>
      </c>
    </row>
    <row r="175" customFormat="false" ht="19.5" hidden="false" customHeight="true" outlineLevel="0" collapsed="false">
      <c r="A175" s="25" t="s">
        <v>918</v>
      </c>
      <c r="B175" s="25" t="s">
        <v>300</v>
      </c>
      <c r="C175" s="12" t="s">
        <v>829</v>
      </c>
      <c r="D175" s="12" t="s">
        <v>260</v>
      </c>
      <c r="E175" s="25" t="s">
        <v>913</v>
      </c>
      <c r="F175" s="25" t="s">
        <v>626</v>
      </c>
      <c r="G175" s="25" t="s">
        <v>831</v>
      </c>
      <c r="H175" s="14" t="n">
        <v>0.92</v>
      </c>
      <c r="I175" s="29"/>
      <c r="J175" s="25" t="s">
        <v>113</v>
      </c>
      <c r="K175" s="22" t="s">
        <v>914</v>
      </c>
      <c r="L175" s="12" t="s">
        <v>919</v>
      </c>
    </row>
    <row r="176" customFormat="false" ht="19.5" hidden="false" customHeight="true" outlineLevel="0" collapsed="false">
      <c r="A176" s="27" t="s">
        <v>920</v>
      </c>
      <c r="B176" s="27" t="s">
        <v>312</v>
      </c>
      <c r="C176" s="9" t="s">
        <v>854</v>
      </c>
      <c r="D176" s="9" t="s">
        <v>260</v>
      </c>
      <c r="E176" s="27" t="s">
        <v>913</v>
      </c>
      <c r="F176" s="27" t="s">
        <v>626</v>
      </c>
      <c r="G176" s="27" t="s">
        <v>831</v>
      </c>
      <c r="H176" s="11" t="n">
        <v>0.2</v>
      </c>
      <c r="I176" s="30"/>
      <c r="J176" s="27" t="s">
        <v>113</v>
      </c>
      <c r="K176" s="23" t="s">
        <v>914</v>
      </c>
      <c r="L176" s="9" t="s">
        <v>921</v>
      </c>
    </row>
    <row r="177" customFormat="false" ht="19.5" hidden="false" customHeight="true" outlineLevel="0" collapsed="false">
      <c r="A177" s="25" t="s">
        <v>922</v>
      </c>
      <c r="B177" s="25" t="s">
        <v>284</v>
      </c>
      <c r="C177" s="12" t="s">
        <v>835</v>
      </c>
      <c r="D177" s="12" t="s">
        <v>260</v>
      </c>
      <c r="E177" s="25" t="s">
        <v>913</v>
      </c>
      <c r="F177" s="25" t="s">
        <v>626</v>
      </c>
      <c r="G177" s="25" t="s">
        <v>831</v>
      </c>
      <c r="H177" s="14" t="n">
        <v>1.66</v>
      </c>
      <c r="I177" s="29"/>
      <c r="J177" s="25" t="s">
        <v>113</v>
      </c>
      <c r="K177" s="22" t="s">
        <v>914</v>
      </c>
      <c r="L177" s="12" t="s">
        <v>923</v>
      </c>
    </row>
    <row r="178" customFormat="false" ht="19.5" hidden="false" customHeight="true" outlineLevel="0" collapsed="false">
      <c r="A178" s="27" t="s">
        <v>924</v>
      </c>
      <c r="B178" s="27" t="s">
        <v>266</v>
      </c>
      <c r="C178" s="9" t="s">
        <v>838</v>
      </c>
      <c r="D178" s="9" t="s">
        <v>260</v>
      </c>
      <c r="E178" s="27" t="s">
        <v>913</v>
      </c>
      <c r="F178" s="27" t="s">
        <v>626</v>
      </c>
      <c r="G178" s="27" t="s">
        <v>831</v>
      </c>
      <c r="H178" s="11" t="n">
        <v>3.3</v>
      </c>
      <c r="I178" s="30"/>
      <c r="J178" s="27" t="s">
        <v>113</v>
      </c>
      <c r="K178" s="23" t="s">
        <v>914</v>
      </c>
      <c r="L178" s="9" t="s">
        <v>925</v>
      </c>
    </row>
    <row r="179" customFormat="false" ht="19.5" hidden="false" customHeight="true" outlineLevel="0" collapsed="false">
      <c r="A179" s="25" t="s">
        <v>926</v>
      </c>
      <c r="B179" s="25" t="s">
        <v>276</v>
      </c>
      <c r="C179" s="12" t="s">
        <v>841</v>
      </c>
      <c r="D179" s="12" t="s">
        <v>260</v>
      </c>
      <c r="E179" s="25" t="s">
        <v>913</v>
      </c>
      <c r="F179" s="25" t="s">
        <v>626</v>
      </c>
      <c r="G179" s="25" t="s">
        <v>831</v>
      </c>
      <c r="H179" s="14" t="n">
        <v>2.64</v>
      </c>
      <c r="I179" s="29"/>
      <c r="J179" s="25" t="s">
        <v>113</v>
      </c>
      <c r="K179" s="22" t="s">
        <v>914</v>
      </c>
      <c r="L179" s="12" t="s">
        <v>927</v>
      </c>
    </row>
    <row r="180" customFormat="false" ht="19.5" hidden="false" customHeight="true" outlineLevel="0" collapsed="false">
      <c r="A180" s="27" t="s">
        <v>928</v>
      </c>
      <c r="B180" s="27" t="s">
        <v>257</v>
      </c>
      <c r="C180" s="9" t="s">
        <v>844</v>
      </c>
      <c r="D180" s="9" t="s">
        <v>260</v>
      </c>
      <c r="E180" s="27" t="s">
        <v>913</v>
      </c>
      <c r="F180" s="27" t="s">
        <v>626</v>
      </c>
      <c r="G180" s="27" t="s">
        <v>831</v>
      </c>
      <c r="H180" s="11" t="n">
        <v>4.07</v>
      </c>
      <c r="I180" s="30"/>
      <c r="J180" s="27" t="s">
        <v>113</v>
      </c>
      <c r="K180" s="23" t="s">
        <v>914</v>
      </c>
      <c r="L180" s="9" t="s">
        <v>929</v>
      </c>
    </row>
    <row r="181" customFormat="false" ht="19.5" hidden="false" customHeight="true" outlineLevel="0" collapsed="false">
      <c r="A181" s="25" t="s">
        <v>930</v>
      </c>
      <c r="B181" s="25" t="s">
        <v>342</v>
      </c>
      <c r="C181" s="12" t="s">
        <v>912</v>
      </c>
      <c r="D181" s="12" t="s">
        <v>344</v>
      </c>
      <c r="E181" s="25" t="s">
        <v>931</v>
      </c>
      <c r="F181" s="25" t="s">
        <v>626</v>
      </c>
      <c r="G181" s="25" t="s">
        <v>831</v>
      </c>
      <c r="H181" s="14" t="n">
        <v>0.9</v>
      </c>
      <c r="I181" s="32" t="n">
        <v>-0.1</v>
      </c>
      <c r="J181" s="25" t="s">
        <v>113</v>
      </c>
      <c r="K181" s="22" t="s">
        <v>932</v>
      </c>
      <c r="L181" s="12" t="s">
        <v>933</v>
      </c>
    </row>
    <row r="182" customFormat="false" ht="19.5" hidden="false" customHeight="true" outlineLevel="0" collapsed="false">
      <c r="A182" s="27" t="s">
        <v>934</v>
      </c>
      <c r="B182" s="27" t="s">
        <v>305</v>
      </c>
      <c r="C182" s="9" t="s">
        <v>847</v>
      </c>
      <c r="D182" s="9" t="s">
        <v>260</v>
      </c>
      <c r="E182" s="27" t="s">
        <v>931</v>
      </c>
      <c r="F182" s="27" t="s">
        <v>626</v>
      </c>
      <c r="G182" s="27" t="s">
        <v>831</v>
      </c>
      <c r="H182" s="11" t="n">
        <v>0.66</v>
      </c>
      <c r="I182" s="31" t="n">
        <v>0.35</v>
      </c>
      <c r="J182" s="27" t="s">
        <v>113</v>
      </c>
      <c r="K182" s="23" t="s">
        <v>932</v>
      </c>
      <c r="L182" s="9" t="s">
        <v>935</v>
      </c>
    </row>
    <row r="183" customFormat="false" ht="19.5" hidden="false" customHeight="true" outlineLevel="0" collapsed="false">
      <c r="A183" s="25" t="s">
        <v>936</v>
      </c>
      <c r="B183" s="25" t="s">
        <v>300</v>
      </c>
      <c r="C183" s="12" t="s">
        <v>829</v>
      </c>
      <c r="D183" s="12" t="s">
        <v>260</v>
      </c>
      <c r="E183" s="25" t="s">
        <v>931</v>
      </c>
      <c r="F183" s="25" t="s">
        <v>626</v>
      </c>
      <c r="G183" s="25" t="s">
        <v>831</v>
      </c>
      <c r="H183" s="14" t="n">
        <v>0.93</v>
      </c>
      <c r="I183" s="32" t="n">
        <v>0.01</v>
      </c>
      <c r="J183" s="25" t="s">
        <v>113</v>
      </c>
      <c r="K183" s="22" t="s">
        <v>932</v>
      </c>
      <c r="L183" s="12" t="s">
        <v>937</v>
      </c>
    </row>
    <row r="184" customFormat="false" ht="19.5" hidden="false" customHeight="true" outlineLevel="0" collapsed="false">
      <c r="A184" s="27" t="s">
        <v>938</v>
      </c>
      <c r="B184" s="27" t="s">
        <v>312</v>
      </c>
      <c r="C184" s="9" t="s">
        <v>854</v>
      </c>
      <c r="D184" s="9" t="s">
        <v>260</v>
      </c>
      <c r="E184" s="27" t="s">
        <v>931</v>
      </c>
      <c r="F184" s="27" t="s">
        <v>626</v>
      </c>
      <c r="G184" s="27" t="s">
        <v>831</v>
      </c>
      <c r="H184" s="11" t="n">
        <v>0.32</v>
      </c>
      <c r="I184" s="31" t="n">
        <v>0.12</v>
      </c>
      <c r="J184" s="27" t="s">
        <v>113</v>
      </c>
      <c r="K184" s="23" t="s">
        <v>932</v>
      </c>
      <c r="L184" s="9" t="s">
        <v>939</v>
      </c>
    </row>
    <row r="185" customFormat="false" ht="19.5" hidden="false" customHeight="true" outlineLevel="0" collapsed="false">
      <c r="A185" s="25" t="s">
        <v>940</v>
      </c>
      <c r="B185" s="25" t="s">
        <v>284</v>
      </c>
      <c r="C185" s="12" t="s">
        <v>835</v>
      </c>
      <c r="D185" s="12" t="s">
        <v>260</v>
      </c>
      <c r="E185" s="25" t="s">
        <v>931</v>
      </c>
      <c r="F185" s="25" t="s">
        <v>626</v>
      </c>
      <c r="G185" s="25" t="s">
        <v>831</v>
      </c>
      <c r="H185" s="14" t="n">
        <v>1.7</v>
      </c>
      <c r="I185" s="32" t="n">
        <v>0.04</v>
      </c>
      <c r="J185" s="25" t="s">
        <v>113</v>
      </c>
      <c r="K185" s="22" t="s">
        <v>932</v>
      </c>
      <c r="L185" s="12" t="s">
        <v>941</v>
      </c>
    </row>
    <row r="186" customFormat="false" ht="19.5" hidden="false" customHeight="true" outlineLevel="0" collapsed="false">
      <c r="A186" s="27" t="s">
        <v>942</v>
      </c>
      <c r="B186" s="27" t="s">
        <v>266</v>
      </c>
      <c r="C186" s="9" t="s">
        <v>838</v>
      </c>
      <c r="D186" s="9" t="s">
        <v>260</v>
      </c>
      <c r="E186" s="27" t="s">
        <v>931</v>
      </c>
      <c r="F186" s="27" t="s">
        <v>626</v>
      </c>
      <c r="G186" s="27" t="s">
        <v>831</v>
      </c>
      <c r="H186" s="11" t="n">
        <v>2.5</v>
      </c>
      <c r="I186" s="31" t="n">
        <v>-0.8</v>
      </c>
      <c r="J186" s="27" t="s">
        <v>113</v>
      </c>
      <c r="K186" s="23" t="s">
        <v>932</v>
      </c>
      <c r="L186" s="9" t="s">
        <v>943</v>
      </c>
    </row>
    <row r="187" customFormat="false" ht="19.5" hidden="false" customHeight="true" outlineLevel="0" collapsed="false">
      <c r="A187" s="25" t="s">
        <v>944</v>
      </c>
      <c r="B187" s="25" t="s">
        <v>276</v>
      </c>
      <c r="C187" s="12" t="s">
        <v>841</v>
      </c>
      <c r="D187" s="12" t="s">
        <v>260</v>
      </c>
      <c r="E187" s="25" t="s">
        <v>931</v>
      </c>
      <c r="F187" s="25" t="s">
        <v>626</v>
      </c>
      <c r="G187" s="25" t="s">
        <v>831</v>
      </c>
      <c r="H187" s="14" t="n">
        <v>2.39</v>
      </c>
      <c r="I187" s="32" t="n">
        <v>-0.25</v>
      </c>
      <c r="J187" s="25" t="s">
        <v>113</v>
      </c>
      <c r="K187" s="22" t="s">
        <v>932</v>
      </c>
      <c r="L187" s="12" t="s">
        <v>945</v>
      </c>
    </row>
    <row r="188" customFormat="false" ht="19.5" hidden="false" customHeight="true" outlineLevel="0" collapsed="false">
      <c r="A188" s="27" t="s">
        <v>946</v>
      </c>
      <c r="B188" s="27" t="s">
        <v>257</v>
      </c>
      <c r="C188" s="9" t="s">
        <v>844</v>
      </c>
      <c r="D188" s="9" t="s">
        <v>260</v>
      </c>
      <c r="E188" s="27" t="s">
        <v>931</v>
      </c>
      <c r="F188" s="27" t="s">
        <v>626</v>
      </c>
      <c r="G188" s="27" t="s">
        <v>831</v>
      </c>
      <c r="H188" s="11" t="n">
        <v>3.71</v>
      </c>
      <c r="I188" s="31" t="n">
        <v>-0.36</v>
      </c>
      <c r="J188" s="27" t="s">
        <v>113</v>
      </c>
      <c r="K188" s="23" t="s">
        <v>932</v>
      </c>
      <c r="L188" s="9" t="s">
        <v>947</v>
      </c>
    </row>
    <row r="189" customFormat="false" ht="19.5" hidden="false" customHeight="true" outlineLevel="0" collapsed="false">
      <c r="A189" s="25" t="s">
        <v>948</v>
      </c>
      <c r="B189" s="25" t="s">
        <v>284</v>
      </c>
      <c r="C189" s="12" t="s">
        <v>835</v>
      </c>
      <c r="D189" s="12" t="s">
        <v>260</v>
      </c>
      <c r="E189" s="25" t="s">
        <v>949</v>
      </c>
      <c r="F189" s="25" t="s">
        <v>626</v>
      </c>
      <c r="G189" s="25" t="s">
        <v>831</v>
      </c>
      <c r="H189" s="14" t="n">
        <v>0.15</v>
      </c>
      <c r="I189" s="32" t="n">
        <v>-1.55</v>
      </c>
      <c r="J189" s="25" t="s">
        <v>113</v>
      </c>
      <c r="K189" s="22" t="s">
        <v>950</v>
      </c>
      <c r="L189" s="12" t="s">
        <v>951</v>
      </c>
    </row>
    <row r="190" customFormat="false" ht="19.5" hidden="false" customHeight="true" outlineLevel="0" collapsed="false">
      <c r="A190" s="27" t="s">
        <v>952</v>
      </c>
      <c r="B190" s="27" t="s">
        <v>266</v>
      </c>
      <c r="C190" s="9" t="s">
        <v>838</v>
      </c>
      <c r="D190" s="9" t="s">
        <v>260</v>
      </c>
      <c r="E190" s="27" t="s">
        <v>949</v>
      </c>
      <c r="F190" s="27" t="s">
        <v>626</v>
      </c>
      <c r="G190" s="27" t="s">
        <v>831</v>
      </c>
      <c r="H190" s="11" t="n">
        <v>0.52</v>
      </c>
      <c r="I190" s="31" t="n">
        <v>-1.98</v>
      </c>
      <c r="J190" s="27" t="s">
        <v>113</v>
      </c>
      <c r="K190" s="23" t="s">
        <v>950</v>
      </c>
      <c r="L190" s="9" t="s">
        <v>953</v>
      </c>
    </row>
    <row r="191" customFormat="false" ht="19.5" hidden="false" customHeight="true" outlineLevel="0" collapsed="false">
      <c r="A191" s="25" t="s">
        <v>954</v>
      </c>
      <c r="B191" s="25" t="s">
        <v>276</v>
      </c>
      <c r="C191" s="12" t="s">
        <v>841</v>
      </c>
      <c r="D191" s="12" t="s">
        <v>260</v>
      </c>
      <c r="E191" s="25" t="s">
        <v>949</v>
      </c>
      <c r="F191" s="25" t="s">
        <v>626</v>
      </c>
      <c r="G191" s="25" t="s">
        <v>831</v>
      </c>
      <c r="H191" s="14" t="n">
        <v>0.23</v>
      </c>
      <c r="I191" s="32" t="n">
        <v>-2.16</v>
      </c>
      <c r="J191" s="25" t="s">
        <v>113</v>
      </c>
      <c r="K191" s="22" t="s">
        <v>950</v>
      </c>
      <c r="L191" s="12" t="s">
        <v>955</v>
      </c>
    </row>
    <row r="192" customFormat="false" ht="19.5" hidden="false" customHeight="true" outlineLevel="0" collapsed="false">
      <c r="A192" s="27" t="s">
        <v>956</v>
      </c>
      <c r="B192" s="27" t="s">
        <v>257</v>
      </c>
      <c r="C192" s="9" t="s">
        <v>844</v>
      </c>
      <c r="D192" s="9" t="s">
        <v>260</v>
      </c>
      <c r="E192" s="27" t="s">
        <v>949</v>
      </c>
      <c r="F192" s="27" t="s">
        <v>626</v>
      </c>
      <c r="G192" s="27" t="s">
        <v>831</v>
      </c>
      <c r="H192" s="11" t="n">
        <v>1.23</v>
      </c>
      <c r="I192" s="31" t="n">
        <v>-2.48</v>
      </c>
      <c r="J192" s="27" t="s">
        <v>113</v>
      </c>
      <c r="K192" s="23" t="s">
        <v>950</v>
      </c>
      <c r="L192" s="9" t="s">
        <v>957</v>
      </c>
    </row>
    <row r="193" customFormat="false" ht="19.5" hidden="false" customHeight="true" outlineLevel="0" collapsed="false">
      <c r="A193" s="25" t="s">
        <v>958</v>
      </c>
      <c r="B193" s="25" t="s">
        <v>257</v>
      </c>
      <c r="C193" s="12" t="s">
        <v>844</v>
      </c>
      <c r="D193" s="12" t="s">
        <v>260</v>
      </c>
      <c r="E193" s="25" t="s">
        <v>959</v>
      </c>
      <c r="F193" s="25" t="s">
        <v>626</v>
      </c>
      <c r="G193" s="25" t="s">
        <v>831</v>
      </c>
      <c r="H193" s="14" t="n">
        <v>0.43</v>
      </c>
      <c r="I193" s="29"/>
      <c r="J193" s="25" t="s">
        <v>113</v>
      </c>
      <c r="K193" s="22" t="s">
        <v>960</v>
      </c>
      <c r="L193" s="12" t="s">
        <v>961</v>
      </c>
    </row>
    <row r="194" customFormat="false" ht="19.5" hidden="false" customHeight="true" outlineLevel="0" collapsed="false">
      <c r="A194" s="27" t="s">
        <v>962</v>
      </c>
      <c r="B194" s="27" t="s">
        <v>266</v>
      </c>
      <c r="C194" s="9" t="s">
        <v>838</v>
      </c>
      <c r="D194" s="9" t="s">
        <v>260</v>
      </c>
      <c r="E194" s="27" t="s">
        <v>963</v>
      </c>
      <c r="F194" s="27" t="s">
        <v>626</v>
      </c>
      <c r="G194" s="27" t="s">
        <v>831</v>
      </c>
      <c r="H194" s="11" t="n">
        <v>0.64</v>
      </c>
      <c r="I194" s="30"/>
      <c r="J194" s="27" t="s">
        <v>113</v>
      </c>
      <c r="K194" s="23" t="s">
        <v>964</v>
      </c>
      <c r="L194" s="9" t="s">
        <v>965</v>
      </c>
    </row>
    <row r="195" customFormat="false" ht="19.5" hidden="false" customHeight="true" outlineLevel="0" collapsed="false">
      <c r="A195" s="25" t="s">
        <v>966</v>
      </c>
      <c r="B195" s="25" t="s">
        <v>342</v>
      </c>
      <c r="C195" s="12" t="s">
        <v>912</v>
      </c>
      <c r="D195" s="12" t="s">
        <v>344</v>
      </c>
      <c r="E195" s="25" t="s">
        <v>967</v>
      </c>
      <c r="F195" s="25" t="s">
        <v>626</v>
      </c>
      <c r="G195" s="25" t="s">
        <v>831</v>
      </c>
      <c r="H195" s="14" t="n">
        <v>0.2</v>
      </c>
      <c r="I195" s="29"/>
      <c r="J195" s="25" t="s">
        <v>113</v>
      </c>
      <c r="K195" s="22" t="s">
        <v>968</v>
      </c>
      <c r="L195" s="12" t="s">
        <v>969</v>
      </c>
    </row>
    <row r="196" customFormat="false" ht="19.5" hidden="false" customHeight="true" outlineLevel="0" collapsed="false">
      <c r="A196" s="27" t="s">
        <v>970</v>
      </c>
      <c r="B196" s="27" t="s">
        <v>266</v>
      </c>
      <c r="C196" s="9" t="s">
        <v>838</v>
      </c>
      <c r="D196" s="9" t="s">
        <v>260</v>
      </c>
      <c r="E196" s="27" t="s">
        <v>967</v>
      </c>
      <c r="F196" s="27" t="s">
        <v>626</v>
      </c>
      <c r="G196" s="27" t="s">
        <v>831</v>
      </c>
      <c r="H196" s="11" t="n">
        <v>0.06</v>
      </c>
      <c r="I196" s="30"/>
      <c r="J196" s="27" t="s">
        <v>113</v>
      </c>
      <c r="K196" s="23" t="s">
        <v>968</v>
      </c>
      <c r="L196" s="9" t="s">
        <v>971</v>
      </c>
    </row>
    <row r="197" customFormat="false" ht="19.5" hidden="false" customHeight="true" outlineLevel="0" collapsed="false">
      <c r="A197" s="25" t="s">
        <v>972</v>
      </c>
      <c r="B197" s="25" t="s">
        <v>257</v>
      </c>
      <c r="C197" s="12" t="s">
        <v>844</v>
      </c>
      <c r="D197" s="12" t="s">
        <v>260</v>
      </c>
      <c r="E197" s="25" t="s">
        <v>967</v>
      </c>
      <c r="F197" s="25" t="s">
        <v>626</v>
      </c>
      <c r="G197" s="25" t="s">
        <v>831</v>
      </c>
      <c r="H197" s="14" t="n">
        <v>0.78</v>
      </c>
      <c r="I197" s="29"/>
      <c r="J197" s="25" t="s">
        <v>113</v>
      </c>
      <c r="K197" s="22" t="s">
        <v>968</v>
      </c>
      <c r="L197" s="12" t="s">
        <v>973</v>
      </c>
    </row>
    <row r="198" customFormat="false" ht="19.5" hidden="false" customHeight="true" outlineLevel="0" collapsed="false">
      <c r="A198" s="27" t="s">
        <v>974</v>
      </c>
      <c r="B198" s="27" t="s">
        <v>557</v>
      </c>
      <c r="C198" s="9" t="s">
        <v>624</v>
      </c>
      <c r="D198" s="9" t="s">
        <v>559</v>
      </c>
      <c r="E198" s="27" t="s">
        <v>975</v>
      </c>
      <c r="F198" s="27" t="s">
        <v>626</v>
      </c>
      <c r="G198" s="27" t="s">
        <v>976</v>
      </c>
      <c r="H198" s="11" t="n">
        <v>1.4</v>
      </c>
      <c r="I198" s="30"/>
      <c r="J198" s="27" t="s">
        <v>86</v>
      </c>
      <c r="K198" s="23" t="s">
        <v>197</v>
      </c>
      <c r="L198" s="9" t="s">
        <v>977</v>
      </c>
    </row>
    <row r="199" customFormat="false" ht="19.5" hidden="false" customHeight="true" outlineLevel="0" collapsed="false">
      <c r="A199" s="25" t="s">
        <v>978</v>
      </c>
      <c r="B199" s="25" t="s">
        <v>564</v>
      </c>
      <c r="C199" s="12" t="s">
        <v>630</v>
      </c>
      <c r="D199" s="12" t="s">
        <v>559</v>
      </c>
      <c r="E199" s="25" t="s">
        <v>975</v>
      </c>
      <c r="F199" s="25" t="s">
        <v>626</v>
      </c>
      <c r="G199" s="25" t="s">
        <v>976</v>
      </c>
      <c r="H199" s="14" t="n">
        <v>2.27</v>
      </c>
      <c r="I199" s="29"/>
      <c r="J199" s="25" t="s">
        <v>86</v>
      </c>
      <c r="K199" s="22" t="s">
        <v>197</v>
      </c>
      <c r="L199" s="12" t="s">
        <v>979</v>
      </c>
    </row>
    <row r="200" customFormat="false" ht="19.5" hidden="false" customHeight="true" outlineLevel="0" collapsed="false">
      <c r="A200" s="27" t="s">
        <v>980</v>
      </c>
      <c r="B200" s="27" t="s">
        <v>552</v>
      </c>
      <c r="C200" s="9" t="s">
        <v>633</v>
      </c>
      <c r="D200" s="9" t="s">
        <v>554</v>
      </c>
      <c r="E200" s="27" t="s">
        <v>975</v>
      </c>
      <c r="F200" s="27" t="s">
        <v>626</v>
      </c>
      <c r="G200" s="27" t="s">
        <v>976</v>
      </c>
      <c r="H200" s="11" t="n">
        <v>1.7</v>
      </c>
      <c r="I200" s="30"/>
      <c r="J200" s="27" t="s">
        <v>86</v>
      </c>
      <c r="K200" s="23" t="s">
        <v>197</v>
      </c>
      <c r="L200" s="9" t="s">
        <v>981</v>
      </c>
    </row>
    <row r="201" customFormat="false" ht="19.5" hidden="false" customHeight="true" outlineLevel="0" collapsed="false">
      <c r="A201" s="25" t="s">
        <v>982</v>
      </c>
      <c r="B201" s="25" t="s">
        <v>411</v>
      </c>
      <c r="C201" s="12" t="s">
        <v>636</v>
      </c>
      <c r="D201" s="12" t="s">
        <v>554</v>
      </c>
      <c r="E201" s="25" t="s">
        <v>975</v>
      </c>
      <c r="F201" s="25" t="s">
        <v>626</v>
      </c>
      <c r="G201" s="25" t="s">
        <v>976</v>
      </c>
      <c r="H201" s="14" t="n">
        <v>2.45</v>
      </c>
      <c r="I201" s="29"/>
      <c r="J201" s="25" t="s">
        <v>86</v>
      </c>
      <c r="K201" s="22" t="s">
        <v>197</v>
      </c>
      <c r="L201" s="12" t="s">
        <v>983</v>
      </c>
    </row>
    <row r="202" customFormat="false" ht="19.5" hidden="false" customHeight="true" outlineLevel="0" collapsed="false">
      <c r="A202" s="27" t="s">
        <v>984</v>
      </c>
      <c r="B202" s="27" t="s">
        <v>377</v>
      </c>
      <c r="C202" s="9" t="s">
        <v>639</v>
      </c>
      <c r="D202" s="9" t="s">
        <v>260</v>
      </c>
      <c r="E202" s="27" t="s">
        <v>975</v>
      </c>
      <c r="F202" s="27" t="s">
        <v>626</v>
      </c>
      <c r="G202" s="27" t="s">
        <v>976</v>
      </c>
      <c r="H202" s="11" t="n">
        <v>4.43</v>
      </c>
      <c r="I202" s="30"/>
      <c r="J202" s="27" t="s">
        <v>86</v>
      </c>
      <c r="K202" s="23" t="s">
        <v>197</v>
      </c>
      <c r="L202" s="9" t="s">
        <v>985</v>
      </c>
    </row>
    <row r="203" customFormat="false" ht="19.5" hidden="false" customHeight="true" outlineLevel="0" collapsed="false">
      <c r="A203" s="25" t="s">
        <v>986</v>
      </c>
      <c r="B203" s="25" t="s">
        <v>576</v>
      </c>
      <c r="C203" s="12" t="s">
        <v>642</v>
      </c>
      <c r="D203" s="12" t="s">
        <v>344</v>
      </c>
      <c r="E203" s="25" t="s">
        <v>975</v>
      </c>
      <c r="F203" s="25" t="s">
        <v>626</v>
      </c>
      <c r="G203" s="25" t="s">
        <v>976</v>
      </c>
      <c r="H203" s="14" t="n">
        <v>2.9</v>
      </c>
      <c r="I203" s="29"/>
      <c r="J203" s="25" t="s">
        <v>86</v>
      </c>
      <c r="K203" s="22" t="s">
        <v>197</v>
      </c>
      <c r="L203" s="12" t="s">
        <v>987</v>
      </c>
    </row>
    <row r="204" customFormat="false" ht="19.5" hidden="false" customHeight="true" outlineLevel="0" collapsed="false">
      <c r="A204" s="27" t="s">
        <v>988</v>
      </c>
      <c r="B204" s="27" t="s">
        <v>570</v>
      </c>
      <c r="C204" s="9" t="s">
        <v>645</v>
      </c>
      <c r="D204" s="9" t="s">
        <v>344</v>
      </c>
      <c r="E204" s="27" t="s">
        <v>975</v>
      </c>
      <c r="F204" s="27" t="s">
        <v>626</v>
      </c>
      <c r="G204" s="27" t="s">
        <v>976</v>
      </c>
      <c r="H204" s="11" t="n">
        <v>5</v>
      </c>
      <c r="I204" s="30"/>
      <c r="J204" s="27" t="s">
        <v>86</v>
      </c>
      <c r="K204" s="23" t="s">
        <v>197</v>
      </c>
      <c r="L204" s="9" t="s">
        <v>989</v>
      </c>
    </row>
    <row r="205" customFormat="false" ht="19.5" hidden="false" customHeight="true" outlineLevel="0" collapsed="false">
      <c r="A205" s="25" t="s">
        <v>990</v>
      </c>
      <c r="B205" s="25" t="s">
        <v>266</v>
      </c>
      <c r="C205" s="12" t="s">
        <v>648</v>
      </c>
      <c r="D205" s="12" t="s">
        <v>260</v>
      </c>
      <c r="E205" s="25" t="s">
        <v>975</v>
      </c>
      <c r="F205" s="25" t="s">
        <v>626</v>
      </c>
      <c r="G205" s="25" t="s">
        <v>976</v>
      </c>
      <c r="H205" s="14" t="n">
        <v>1.8</v>
      </c>
      <c r="I205" s="29"/>
      <c r="J205" s="25" t="s">
        <v>86</v>
      </c>
      <c r="K205" s="22" t="s">
        <v>197</v>
      </c>
      <c r="L205" s="12" t="s">
        <v>991</v>
      </c>
    </row>
    <row r="206" customFormat="false" ht="19.5" hidden="false" customHeight="true" outlineLevel="0" collapsed="false">
      <c r="A206" s="27" t="s">
        <v>992</v>
      </c>
      <c r="B206" s="27" t="s">
        <v>533</v>
      </c>
      <c r="C206" s="9" t="s">
        <v>651</v>
      </c>
      <c r="D206" s="9" t="s">
        <v>260</v>
      </c>
      <c r="E206" s="27" t="s">
        <v>975</v>
      </c>
      <c r="F206" s="27" t="s">
        <v>626</v>
      </c>
      <c r="G206" s="27" t="s">
        <v>976</v>
      </c>
      <c r="H206" s="11" t="n">
        <v>3.3</v>
      </c>
      <c r="I206" s="30"/>
      <c r="J206" s="27" t="s">
        <v>86</v>
      </c>
      <c r="K206" s="23" t="s">
        <v>197</v>
      </c>
      <c r="L206" s="9" t="s">
        <v>993</v>
      </c>
    </row>
    <row r="207" customFormat="false" ht="19.5" hidden="false" customHeight="true" outlineLevel="0" collapsed="false">
      <c r="A207" s="25" t="s">
        <v>994</v>
      </c>
      <c r="B207" s="25" t="s">
        <v>540</v>
      </c>
      <c r="C207" s="12" t="s">
        <v>654</v>
      </c>
      <c r="D207" s="12" t="s">
        <v>260</v>
      </c>
      <c r="E207" s="25" t="s">
        <v>975</v>
      </c>
      <c r="F207" s="25" t="s">
        <v>626</v>
      </c>
      <c r="G207" s="25" t="s">
        <v>976</v>
      </c>
      <c r="H207" s="14" t="n">
        <v>2.1</v>
      </c>
      <c r="I207" s="29"/>
      <c r="J207" s="25" t="s">
        <v>86</v>
      </c>
      <c r="K207" s="22" t="s">
        <v>197</v>
      </c>
      <c r="L207" s="12" t="s">
        <v>995</v>
      </c>
    </row>
    <row r="208" customFormat="false" ht="19.5" hidden="false" customHeight="true" outlineLevel="0" collapsed="false">
      <c r="A208" s="27" t="s">
        <v>996</v>
      </c>
      <c r="B208" s="27" t="s">
        <v>257</v>
      </c>
      <c r="C208" s="9" t="s">
        <v>657</v>
      </c>
      <c r="D208" s="9" t="s">
        <v>260</v>
      </c>
      <c r="E208" s="27" t="s">
        <v>975</v>
      </c>
      <c r="F208" s="27" t="s">
        <v>626</v>
      </c>
      <c r="G208" s="27" t="s">
        <v>976</v>
      </c>
      <c r="H208" s="11" t="n">
        <v>2.87</v>
      </c>
      <c r="I208" s="30"/>
      <c r="J208" s="27" t="s">
        <v>86</v>
      </c>
      <c r="K208" s="23" t="s">
        <v>197</v>
      </c>
      <c r="L208" s="9" t="s">
        <v>997</v>
      </c>
    </row>
    <row r="209" customFormat="false" ht="19.5" hidden="false" customHeight="true" outlineLevel="0" collapsed="false">
      <c r="A209" s="25" t="s">
        <v>998</v>
      </c>
      <c r="B209" s="25" t="s">
        <v>586</v>
      </c>
      <c r="C209" s="12" t="s">
        <v>660</v>
      </c>
      <c r="D209" s="12" t="s">
        <v>588</v>
      </c>
      <c r="E209" s="25" t="s">
        <v>975</v>
      </c>
      <c r="F209" s="25" t="s">
        <v>626</v>
      </c>
      <c r="G209" s="25" t="s">
        <v>976</v>
      </c>
      <c r="H209" s="14" t="n">
        <v>0.1</v>
      </c>
      <c r="I209" s="29"/>
      <c r="J209" s="25" t="s">
        <v>86</v>
      </c>
      <c r="K209" s="22" t="s">
        <v>197</v>
      </c>
      <c r="L209" s="12" t="s">
        <v>999</v>
      </c>
    </row>
    <row r="210" customFormat="false" ht="19.5" hidden="false" customHeight="true" outlineLevel="0" collapsed="false">
      <c r="A210" s="27" t="s">
        <v>1000</v>
      </c>
      <c r="B210" s="27" t="s">
        <v>593</v>
      </c>
      <c r="C210" s="9" t="s">
        <v>865</v>
      </c>
      <c r="D210" s="9" t="s">
        <v>866</v>
      </c>
      <c r="E210" s="27" t="s">
        <v>1001</v>
      </c>
      <c r="F210" s="27" t="s">
        <v>626</v>
      </c>
      <c r="G210" s="27" t="s">
        <v>1002</v>
      </c>
      <c r="H210" s="11" t="n">
        <v>6.2</v>
      </c>
      <c r="I210" s="30"/>
      <c r="J210" s="27" t="s">
        <v>86</v>
      </c>
      <c r="K210" s="23" t="s">
        <v>869</v>
      </c>
      <c r="L210" s="9" t="s">
        <v>1003</v>
      </c>
    </row>
    <row r="211" customFormat="false" ht="19.5" hidden="false" customHeight="true" outlineLevel="0" collapsed="false">
      <c r="A211" s="25" t="s">
        <v>1004</v>
      </c>
      <c r="B211" s="25" t="s">
        <v>601</v>
      </c>
      <c r="C211" s="12" t="s">
        <v>872</v>
      </c>
      <c r="D211" s="12" t="s">
        <v>866</v>
      </c>
      <c r="E211" s="25" t="s">
        <v>1001</v>
      </c>
      <c r="F211" s="25" t="s">
        <v>626</v>
      </c>
      <c r="G211" s="25" t="s">
        <v>1002</v>
      </c>
      <c r="H211" s="14" t="n">
        <v>4.1</v>
      </c>
      <c r="I211" s="29"/>
      <c r="J211" s="25" t="s">
        <v>86</v>
      </c>
      <c r="K211" s="22" t="s">
        <v>869</v>
      </c>
      <c r="L211" s="12" t="s">
        <v>1005</v>
      </c>
    </row>
    <row r="212" customFormat="false" ht="19.5" hidden="false" customHeight="true" outlineLevel="0" collapsed="false">
      <c r="A212" s="27" t="s">
        <v>1006</v>
      </c>
      <c r="B212" s="27" t="s">
        <v>605</v>
      </c>
      <c r="C212" s="9" t="s">
        <v>875</v>
      </c>
      <c r="D212" s="9" t="s">
        <v>588</v>
      </c>
      <c r="E212" s="27" t="s">
        <v>1001</v>
      </c>
      <c r="F212" s="27" t="s">
        <v>626</v>
      </c>
      <c r="G212" s="27" t="s">
        <v>1002</v>
      </c>
      <c r="H212" s="11" t="n">
        <v>0.3</v>
      </c>
      <c r="I212" s="30"/>
      <c r="J212" s="27" t="s">
        <v>86</v>
      </c>
      <c r="K212" s="23" t="s">
        <v>869</v>
      </c>
      <c r="L212" s="9" t="s">
        <v>1007</v>
      </c>
    </row>
    <row r="213" customFormat="false" ht="19.5" hidden="false" customHeight="true" outlineLevel="0" collapsed="false">
      <c r="A213" s="25" t="s">
        <v>1008</v>
      </c>
      <c r="B213" s="25" t="s">
        <v>580</v>
      </c>
      <c r="C213" s="12" t="s">
        <v>894</v>
      </c>
      <c r="D213" s="12" t="s">
        <v>344</v>
      </c>
      <c r="E213" s="25" t="s">
        <v>1009</v>
      </c>
      <c r="F213" s="25" t="s">
        <v>626</v>
      </c>
      <c r="G213" s="25" t="s">
        <v>831</v>
      </c>
      <c r="H213" s="14" t="n">
        <v>0.1</v>
      </c>
      <c r="I213" s="29"/>
      <c r="J213" s="25" t="s">
        <v>113</v>
      </c>
      <c r="K213" s="22" t="s">
        <v>1010</v>
      </c>
      <c r="L213" s="12" t="s">
        <v>1011</v>
      </c>
    </row>
    <row r="214" customFormat="false" ht="19.5" hidden="false" customHeight="true" outlineLevel="0" collapsed="false">
      <c r="A214" s="27" t="s">
        <v>1012</v>
      </c>
      <c r="B214" s="27" t="s">
        <v>342</v>
      </c>
      <c r="C214" s="9" t="s">
        <v>912</v>
      </c>
      <c r="D214" s="9" t="s">
        <v>344</v>
      </c>
      <c r="E214" s="27" t="s">
        <v>1009</v>
      </c>
      <c r="F214" s="27" t="s">
        <v>626</v>
      </c>
      <c r="G214" s="27" t="s">
        <v>831</v>
      </c>
      <c r="H214" s="11" t="n">
        <v>3</v>
      </c>
      <c r="I214" s="30"/>
      <c r="J214" s="27" t="s">
        <v>113</v>
      </c>
      <c r="K214" s="23" t="s">
        <v>1010</v>
      </c>
      <c r="L214" s="9" t="s">
        <v>1013</v>
      </c>
    </row>
    <row r="215" customFormat="false" ht="19.5" hidden="false" customHeight="true" outlineLevel="0" collapsed="false">
      <c r="A215" s="25" t="s">
        <v>1014</v>
      </c>
      <c r="B215" s="25" t="s">
        <v>284</v>
      </c>
      <c r="C215" s="12" t="s">
        <v>835</v>
      </c>
      <c r="D215" s="12" t="s">
        <v>260</v>
      </c>
      <c r="E215" s="25" t="s">
        <v>1009</v>
      </c>
      <c r="F215" s="25" t="s">
        <v>626</v>
      </c>
      <c r="G215" s="25" t="s">
        <v>831</v>
      </c>
      <c r="H215" s="14" t="n">
        <v>0.42</v>
      </c>
      <c r="I215" s="29"/>
      <c r="J215" s="25" t="s">
        <v>113</v>
      </c>
      <c r="K215" s="22" t="s">
        <v>1010</v>
      </c>
      <c r="L215" s="12" t="s">
        <v>1015</v>
      </c>
    </row>
    <row r="216" customFormat="false" ht="19.5" hidden="false" customHeight="true" outlineLevel="0" collapsed="false">
      <c r="A216" s="27" t="s">
        <v>1016</v>
      </c>
      <c r="B216" s="27" t="s">
        <v>266</v>
      </c>
      <c r="C216" s="9" t="s">
        <v>1017</v>
      </c>
      <c r="D216" s="9" t="s">
        <v>260</v>
      </c>
      <c r="E216" s="27" t="s">
        <v>1009</v>
      </c>
      <c r="F216" s="27" t="s">
        <v>626</v>
      </c>
      <c r="G216" s="27" t="s">
        <v>831</v>
      </c>
      <c r="H216" s="11" t="n">
        <v>1.58</v>
      </c>
      <c r="I216" s="30"/>
      <c r="J216" s="27" t="s">
        <v>113</v>
      </c>
      <c r="K216" s="23" t="s">
        <v>1010</v>
      </c>
      <c r="L216" s="9" t="s">
        <v>1018</v>
      </c>
    </row>
    <row r="217" customFormat="false" ht="19.5" hidden="false" customHeight="true" outlineLevel="0" collapsed="false">
      <c r="A217" s="25" t="s">
        <v>1019</v>
      </c>
      <c r="B217" s="25" t="s">
        <v>276</v>
      </c>
      <c r="C217" s="12" t="s">
        <v>841</v>
      </c>
      <c r="D217" s="12" t="s">
        <v>260</v>
      </c>
      <c r="E217" s="25" t="s">
        <v>1009</v>
      </c>
      <c r="F217" s="25" t="s">
        <v>626</v>
      </c>
      <c r="G217" s="25" t="s">
        <v>831</v>
      </c>
      <c r="H217" s="14" t="n">
        <v>0.83</v>
      </c>
      <c r="I217" s="29"/>
      <c r="J217" s="25" t="s">
        <v>113</v>
      </c>
      <c r="K217" s="22" t="s">
        <v>1010</v>
      </c>
      <c r="L217" s="12" t="s">
        <v>1020</v>
      </c>
    </row>
    <row r="218" customFormat="false" ht="19.5" hidden="false" customHeight="true" outlineLevel="0" collapsed="false">
      <c r="A218" s="27" t="s">
        <v>1021</v>
      </c>
      <c r="B218" s="27" t="s">
        <v>257</v>
      </c>
      <c r="C218" s="9" t="s">
        <v>844</v>
      </c>
      <c r="D218" s="9" t="s">
        <v>260</v>
      </c>
      <c r="E218" s="27" t="s">
        <v>1009</v>
      </c>
      <c r="F218" s="27" t="s">
        <v>626</v>
      </c>
      <c r="G218" s="27" t="s">
        <v>831</v>
      </c>
      <c r="H218" s="11" t="n">
        <v>2.54</v>
      </c>
      <c r="I218" s="30"/>
      <c r="J218" s="27" t="s">
        <v>113</v>
      </c>
      <c r="K218" s="23" t="s">
        <v>1010</v>
      </c>
      <c r="L218" s="9" t="s">
        <v>1022</v>
      </c>
    </row>
    <row r="219" customFormat="false" ht="19.5" hidden="false" customHeight="true" outlineLevel="0" collapsed="false">
      <c r="A219" s="25" t="s">
        <v>1023</v>
      </c>
      <c r="B219" s="25" t="s">
        <v>593</v>
      </c>
      <c r="C219" s="12" t="s">
        <v>865</v>
      </c>
      <c r="D219" s="12" t="s">
        <v>866</v>
      </c>
      <c r="E219" s="25" t="s">
        <v>1024</v>
      </c>
      <c r="F219" s="25" t="s">
        <v>626</v>
      </c>
      <c r="G219" s="25" t="s">
        <v>1002</v>
      </c>
      <c r="H219" s="14" t="n">
        <v>8.2</v>
      </c>
      <c r="I219" s="32" t="n">
        <v>2</v>
      </c>
      <c r="J219" s="25" t="s">
        <v>86</v>
      </c>
      <c r="K219" s="22" t="s">
        <v>869</v>
      </c>
      <c r="L219" s="12" t="s">
        <v>1025</v>
      </c>
    </row>
    <row r="220" customFormat="false" ht="19.5" hidden="false" customHeight="true" outlineLevel="0" collapsed="false">
      <c r="A220" s="27" t="s">
        <v>1026</v>
      </c>
      <c r="B220" s="27" t="s">
        <v>601</v>
      </c>
      <c r="C220" s="9" t="s">
        <v>872</v>
      </c>
      <c r="D220" s="9" t="s">
        <v>866</v>
      </c>
      <c r="E220" s="27" t="s">
        <v>1024</v>
      </c>
      <c r="F220" s="27" t="s">
        <v>626</v>
      </c>
      <c r="G220" s="27" t="s">
        <v>1002</v>
      </c>
      <c r="H220" s="11" t="n">
        <v>5.8</v>
      </c>
      <c r="I220" s="31" t="n">
        <v>1.7</v>
      </c>
      <c r="J220" s="27" t="s">
        <v>86</v>
      </c>
      <c r="K220" s="23" t="s">
        <v>869</v>
      </c>
      <c r="L220" s="9" t="s">
        <v>1027</v>
      </c>
    </row>
    <row r="221" customFormat="false" ht="19.5" hidden="false" customHeight="true" outlineLevel="0" collapsed="false">
      <c r="A221" s="25" t="s">
        <v>1028</v>
      </c>
      <c r="B221" s="25" t="s">
        <v>605</v>
      </c>
      <c r="C221" s="12" t="s">
        <v>875</v>
      </c>
      <c r="D221" s="12" t="s">
        <v>588</v>
      </c>
      <c r="E221" s="25" t="s">
        <v>1024</v>
      </c>
      <c r="F221" s="25" t="s">
        <v>626</v>
      </c>
      <c r="G221" s="25" t="s">
        <v>1002</v>
      </c>
      <c r="H221" s="14" t="n">
        <v>1.8</v>
      </c>
      <c r="I221" s="32" t="n">
        <v>1.5</v>
      </c>
      <c r="J221" s="25" t="s">
        <v>86</v>
      </c>
      <c r="K221" s="22" t="s">
        <v>869</v>
      </c>
      <c r="L221" s="12" t="s">
        <v>1029</v>
      </c>
    </row>
    <row r="222" customFormat="false" ht="19.5" hidden="false" customHeight="true" outlineLevel="0" collapsed="false">
      <c r="A222" s="27" t="s">
        <v>1030</v>
      </c>
      <c r="B222" s="27" t="s">
        <v>342</v>
      </c>
      <c r="C222" s="9" t="s">
        <v>912</v>
      </c>
      <c r="D222" s="9" t="s">
        <v>344</v>
      </c>
      <c r="E222" s="27" t="s">
        <v>1031</v>
      </c>
      <c r="F222" s="27" t="s">
        <v>626</v>
      </c>
      <c r="G222" s="27" t="s">
        <v>831</v>
      </c>
      <c r="H222" s="11" t="n">
        <v>1.4</v>
      </c>
      <c r="I222" s="31" t="n">
        <v>-1.6</v>
      </c>
      <c r="J222" s="27" t="s">
        <v>113</v>
      </c>
      <c r="K222" s="23" t="s">
        <v>1032</v>
      </c>
      <c r="L222" s="9" t="s">
        <v>1033</v>
      </c>
    </row>
    <row r="223" customFormat="false" ht="19.5" hidden="false" customHeight="true" outlineLevel="0" collapsed="false">
      <c r="A223" s="25" t="s">
        <v>1034</v>
      </c>
      <c r="B223" s="25" t="s">
        <v>593</v>
      </c>
      <c r="C223" s="12" t="s">
        <v>865</v>
      </c>
      <c r="D223" s="12" t="s">
        <v>866</v>
      </c>
      <c r="E223" s="25" t="s">
        <v>1031</v>
      </c>
      <c r="F223" s="25" t="s">
        <v>626</v>
      </c>
      <c r="G223" s="25" t="s">
        <v>1002</v>
      </c>
      <c r="H223" s="14" t="n">
        <v>9.6</v>
      </c>
      <c r="I223" s="32" t="n">
        <v>1.4</v>
      </c>
      <c r="J223" s="25" t="s">
        <v>86</v>
      </c>
      <c r="K223" s="22" t="s">
        <v>887</v>
      </c>
      <c r="L223" s="12" t="s">
        <v>1035</v>
      </c>
    </row>
    <row r="224" customFormat="false" ht="19.5" hidden="false" customHeight="true" outlineLevel="0" collapsed="false">
      <c r="A224" s="27" t="s">
        <v>1036</v>
      </c>
      <c r="B224" s="27" t="s">
        <v>601</v>
      </c>
      <c r="C224" s="9" t="s">
        <v>872</v>
      </c>
      <c r="D224" s="9" t="s">
        <v>866</v>
      </c>
      <c r="E224" s="27" t="s">
        <v>1031</v>
      </c>
      <c r="F224" s="27" t="s">
        <v>626</v>
      </c>
      <c r="G224" s="27" t="s">
        <v>1002</v>
      </c>
      <c r="H224" s="11" t="n">
        <v>7.3</v>
      </c>
      <c r="I224" s="31" t="n">
        <v>1.5</v>
      </c>
      <c r="J224" s="27" t="s">
        <v>86</v>
      </c>
      <c r="K224" s="23" t="s">
        <v>887</v>
      </c>
      <c r="L224" s="9" t="s">
        <v>1037</v>
      </c>
    </row>
    <row r="225" customFormat="false" ht="19.5" hidden="false" customHeight="true" outlineLevel="0" collapsed="false">
      <c r="A225" s="25" t="s">
        <v>1038</v>
      </c>
      <c r="B225" s="25" t="s">
        <v>349</v>
      </c>
      <c r="C225" s="12" t="s">
        <v>882</v>
      </c>
      <c r="D225" s="12" t="s">
        <v>260</v>
      </c>
      <c r="E225" s="25" t="s">
        <v>1031</v>
      </c>
      <c r="F225" s="25" t="s">
        <v>626</v>
      </c>
      <c r="G225" s="25" t="s">
        <v>831</v>
      </c>
      <c r="H225" s="14" t="n">
        <v>0.2</v>
      </c>
      <c r="I225" s="29"/>
      <c r="J225" s="25" t="s">
        <v>113</v>
      </c>
      <c r="K225" s="22" t="s">
        <v>1032</v>
      </c>
      <c r="L225" s="12" t="s">
        <v>1039</v>
      </c>
    </row>
    <row r="226" customFormat="false" ht="19.5" hidden="false" customHeight="true" outlineLevel="0" collapsed="false">
      <c r="A226" s="27" t="s">
        <v>1040</v>
      </c>
      <c r="B226" s="27" t="s">
        <v>284</v>
      </c>
      <c r="C226" s="9" t="s">
        <v>835</v>
      </c>
      <c r="D226" s="9" t="s">
        <v>260</v>
      </c>
      <c r="E226" s="27" t="s">
        <v>1031</v>
      </c>
      <c r="F226" s="27" t="s">
        <v>626</v>
      </c>
      <c r="G226" s="27" t="s">
        <v>831</v>
      </c>
      <c r="H226" s="11" t="n">
        <v>0.22</v>
      </c>
      <c r="I226" s="31" t="n">
        <v>-0.2</v>
      </c>
      <c r="J226" s="27" t="s">
        <v>113</v>
      </c>
      <c r="K226" s="23" t="s">
        <v>1032</v>
      </c>
      <c r="L226" s="9" t="s">
        <v>1041</v>
      </c>
    </row>
    <row r="227" customFormat="false" ht="19.5" hidden="false" customHeight="true" outlineLevel="0" collapsed="false">
      <c r="A227" s="25" t="s">
        <v>1042</v>
      </c>
      <c r="B227" s="25" t="s">
        <v>266</v>
      </c>
      <c r="C227" s="12" t="s">
        <v>1017</v>
      </c>
      <c r="D227" s="12" t="s">
        <v>260</v>
      </c>
      <c r="E227" s="25" t="s">
        <v>1031</v>
      </c>
      <c r="F227" s="25" t="s">
        <v>626</v>
      </c>
      <c r="G227" s="25" t="s">
        <v>831</v>
      </c>
      <c r="H227" s="14" t="n">
        <v>1.12</v>
      </c>
      <c r="I227" s="32" t="n">
        <v>-0.46</v>
      </c>
      <c r="J227" s="25" t="s">
        <v>113</v>
      </c>
      <c r="K227" s="22" t="s">
        <v>1032</v>
      </c>
      <c r="L227" s="12" t="s">
        <v>1043</v>
      </c>
    </row>
    <row r="228" customFormat="false" ht="19.5" hidden="false" customHeight="true" outlineLevel="0" collapsed="false">
      <c r="A228" s="27" t="s">
        <v>1044</v>
      </c>
      <c r="B228" s="27" t="s">
        <v>276</v>
      </c>
      <c r="C228" s="9" t="s">
        <v>841</v>
      </c>
      <c r="D228" s="9" t="s">
        <v>260</v>
      </c>
      <c r="E228" s="27" t="s">
        <v>1031</v>
      </c>
      <c r="F228" s="27" t="s">
        <v>626</v>
      </c>
      <c r="G228" s="27" t="s">
        <v>831</v>
      </c>
      <c r="H228" s="11" t="n">
        <v>0.71</v>
      </c>
      <c r="I228" s="31" t="n">
        <v>-0.12</v>
      </c>
      <c r="J228" s="27" t="s">
        <v>113</v>
      </c>
      <c r="K228" s="23" t="s">
        <v>1032</v>
      </c>
      <c r="L228" s="9" t="s">
        <v>1045</v>
      </c>
    </row>
    <row r="229" customFormat="false" ht="19.5" hidden="false" customHeight="true" outlineLevel="0" collapsed="false">
      <c r="A229" s="25" t="s">
        <v>1046</v>
      </c>
      <c r="B229" s="25" t="s">
        <v>257</v>
      </c>
      <c r="C229" s="12" t="s">
        <v>844</v>
      </c>
      <c r="D229" s="12" t="s">
        <v>260</v>
      </c>
      <c r="E229" s="25" t="s">
        <v>1031</v>
      </c>
      <c r="F229" s="25" t="s">
        <v>626</v>
      </c>
      <c r="G229" s="25" t="s">
        <v>831</v>
      </c>
      <c r="H229" s="14" t="n">
        <v>2</v>
      </c>
      <c r="I229" s="32" t="n">
        <v>-0.54</v>
      </c>
      <c r="J229" s="25" t="s">
        <v>113</v>
      </c>
      <c r="K229" s="22" t="s">
        <v>1032</v>
      </c>
      <c r="L229" s="12" t="s">
        <v>1047</v>
      </c>
    </row>
    <row r="230" customFormat="false" ht="19.5" hidden="false" customHeight="true" outlineLevel="0" collapsed="false">
      <c r="A230" s="27" t="s">
        <v>1048</v>
      </c>
      <c r="B230" s="27" t="s">
        <v>605</v>
      </c>
      <c r="C230" s="9" t="s">
        <v>875</v>
      </c>
      <c r="D230" s="9" t="s">
        <v>588</v>
      </c>
      <c r="E230" s="27" t="s">
        <v>1031</v>
      </c>
      <c r="F230" s="27" t="s">
        <v>626</v>
      </c>
      <c r="G230" s="27" t="s">
        <v>1002</v>
      </c>
      <c r="H230" s="11" t="n">
        <v>2</v>
      </c>
      <c r="I230" s="31" t="n">
        <v>0.2</v>
      </c>
      <c r="J230" s="27" t="s">
        <v>86</v>
      </c>
      <c r="K230" s="23" t="s">
        <v>887</v>
      </c>
      <c r="L230" s="9" t="s">
        <v>1049</v>
      </c>
    </row>
    <row r="231" customFormat="false" ht="19.5" hidden="false" customHeight="true" outlineLevel="0" collapsed="false">
      <c r="A231" s="25" t="s">
        <v>1050</v>
      </c>
      <c r="B231" s="25" t="s">
        <v>342</v>
      </c>
      <c r="C231" s="12" t="s">
        <v>912</v>
      </c>
      <c r="D231" s="12" t="s">
        <v>344</v>
      </c>
      <c r="E231" s="25" t="s">
        <v>1051</v>
      </c>
      <c r="F231" s="25" t="s">
        <v>626</v>
      </c>
      <c r="G231" s="25" t="s">
        <v>831</v>
      </c>
      <c r="H231" s="14" t="n">
        <v>1</v>
      </c>
      <c r="I231" s="32" t="n">
        <v>-0.4</v>
      </c>
      <c r="J231" s="25" t="s">
        <v>113</v>
      </c>
      <c r="K231" s="22" t="s">
        <v>1052</v>
      </c>
      <c r="L231" s="12" t="s">
        <v>1053</v>
      </c>
    </row>
    <row r="232" customFormat="false" ht="19.5" hidden="false" customHeight="true" outlineLevel="0" collapsed="false">
      <c r="A232" s="27" t="s">
        <v>1054</v>
      </c>
      <c r="B232" s="27" t="s">
        <v>349</v>
      </c>
      <c r="C232" s="9" t="s">
        <v>882</v>
      </c>
      <c r="D232" s="9" t="s">
        <v>260</v>
      </c>
      <c r="E232" s="27" t="s">
        <v>1051</v>
      </c>
      <c r="F232" s="27" t="s">
        <v>626</v>
      </c>
      <c r="G232" s="27" t="s">
        <v>831</v>
      </c>
      <c r="H232" s="11" t="n">
        <v>0.1</v>
      </c>
      <c r="I232" s="31" t="n">
        <v>-0.1</v>
      </c>
      <c r="J232" s="27" t="s">
        <v>113</v>
      </c>
      <c r="K232" s="23" t="s">
        <v>1052</v>
      </c>
      <c r="L232" s="9" t="s">
        <v>1055</v>
      </c>
    </row>
    <row r="233" customFormat="false" ht="19.5" hidden="false" customHeight="true" outlineLevel="0" collapsed="false">
      <c r="A233" s="25" t="s">
        <v>1056</v>
      </c>
      <c r="B233" s="25" t="s">
        <v>305</v>
      </c>
      <c r="C233" s="12" t="s">
        <v>847</v>
      </c>
      <c r="D233" s="12" t="s">
        <v>260</v>
      </c>
      <c r="E233" s="25" t="s">
        <v>1051</v>
      </c>
      <c r="F233" s="25" t="s">
        <v>626</v>
      </c>
      <c r="G233" s="25" t="s">
        <v>831</v>
      </c>
      <c r="H233" s="14" t="n">
        <v>0.03</v>
      </c>
      <c r="I233" s="29"/>
      <c r="J233" s="25" t="s">
        <v>113</v>
      </c>
      <c r="K233" s="22" t="s">
        <v>1052</v>
      </c>
      <c r="L233" s="12" t="s">
        <v>1057</v>
      </c>
    </row>
    <row r="234" customFormat="false" ht="19.5" hidden="false" customHeight="true" outlineLevel="0" collapsed="false">
      <c r="A234" s="27" t="s">
        <v>1058</v>
      </c>
      <c r="B234" s="27" t="s">
        <v>284</v>
      </c>
      <c r="C234" s="9" t="s">
        <v>835</v>
      </c>
      <c r="D234" s="9" t="s">
        <v>260</v>
      </c>
      <c r="E234" s="27" t="s">
        <v>1051</v>
      </c>
      <c r="F234" s="27" t="s">
        <v>626</v>
      </c>
      <c r="G234" s="27" t="s">
        <v>831</v>
      </c>
      <c r="H234" s="11" t="n">
        <v>0.28</v>
      </c>
      <c r="I234" s="31" t="n">
        <v>0.06</v>
      </c>
      <c r="J234" s="27" t="s">
        <v>113</v>
      </c>
      <c r="K234" s="23" t="s">
        <v>1052</v>
      </c>
      <c r="L234" s="9" t="s">
        <v>1059</v>
      </c>
    </row>
    <row r="235" customFormat="false" ht="19.5" hidden="false" customHeight="true" outlineLevel="0" collapsed="false">
      <c r="A235" s="25" t="s">
        <v>1060</v>
      </c>
      <c r="B235" s="25" t="s">
        <v>266</v>
      </c>
      <c r="C235" s="12" t="s">
        <v>1017</v>
      </c>
      <c r="D235" s="12" t="s">
        <v>260</v>
      </c>
      <c r="E235" s="25" t="s">
        <v>1051</v>
      </c>
      <c r="F235" s="25" t="s">
        <v>626</v>
      </c>
      <c r="G235" s="25" t="s">
        <v>831</v>
      </c>
      <c r="H235" s="14" t="n">
        <v>1.16</v>
      </c>
      <c r="I235" s="32" t="n">
        <v>0.04</v>
      </c>
      <c r="J235" s="25" t="s">
        <v>113</v>
      </c>
      <c r="K235" s="22" t="s">
        <v>1052</v>
      </c>
      <c r="L235" s="12" t="s">
        <v>1061</v>
      </c>
    </row>
    <row r="236" customFormat="false" ht="19.5" hidden="false" customHeight="true" outlineLevel="0" collapsed="false">
      <c r="A236" s="27" t="s">
        <v>1062</v>
      </c>
      <c r="B236" s="27" t="s">
        <v>292</v>
      </c>
      <c r="C236" s="9" t="s">
        <v>1063</v>
      </c>
      <c r="D236" s="9" t="s">
        <v>260</v>
      </c>
      <c r="E236" s="27" t="s">
        <v>1051</v>
      </c>
      <c r="F236" s="27" t="s">
        <v>626</v>
      </c>
      <c r="G236" s="27" t="s">
        <v>831</v>
      </c>
      <c r="H236" s="11" t="n">
        <v>0.17</v>
      </c>
      <c r="I236" s="30"/>
      <c r="J236" s="27" t="s">
        <v>113</v>
      </c>
      <c r="K236" s="23" t="s">
        <v>1052</v>
      </c>
      <c r="L236" s="9" t="s">
        <v>1064</v>
      </c>
    </row>
    <row r="237" customFormat="false" ht="19.5" hidden="false" customHeight="true" outlineLevel="0" collapsed="false">
      <c r="A237" s="25" t="s">
        <v>1065</v>
      </c>
      <c r="B237" s="25" t="s">
        <v>276</v>
      </c>
      <c r="C237" s="12" t="s">
        <v>841</v>
      </c>
      <c r="D237" s="12" t="s">
        <v>260</v>
      </c>
      <c r="E237" s="25" t="s">
        <v>1051</v>
      </c>
      <c r="F237" s="25" t="s">
        <v>626</v>
      </c>
      <c r="G237" s="25" t="s">
        <v>831</v>
      </c>
      <c r="H237" s="14" t="n">
        <v>0.62</v>
      </c>
      <c r="I237" s="32" t="n">
        <v>-0.09</v>
      </c>
      <c r="J237" s="25" t="s">
        <v>113</v>
      </c>
      <c r="K237" s="22" t="s">
        <v>1052</v>
      </c>
      <c r="L237" s="12" t="s">
        <v>1066</v>
      </c>
    </row>
    <row r="238" customFormat="false" ht="19.5" hidden="false" customHeight="true" outlineLevel="0" collapsed="false">
      <c r="A238" s="27" t="s">
        <v>1067</v>
      </c>
      <c r="B238" s="27" t="s">
        <v>257</v>
      </c>
      <c r="C238" s="9" t="s">
        <v>844</v>
      </c>
      <c r="D238" s="9" t="s">
        <v>260</v>
      </c>
      <c r="E238" s="27" t="s">
        <v>1051</v>
      </c>
      <c r="F238" s="27" t="s">
        <v>626</v>
      </c>
      <c r="G238" s="27" t="s">
        <v>831</v>
      </c>
      <c r="H238" s="11" t="n">
        <v>1.78</v>
      </c>
      <c r="I238" s="31" t="n">
        <v>-0.22</v>
      </c>
      <c r="J238" s="27" t="s">
        <v>113</v>
      </c>
      <c r="K238" s="23" t="s">
        <v>1052</v>
      </c>
      <c r="L238" s="9" t="s">
        <v>1068</v>
      </c>
    </row>
    <row r="239" customFormat="false" ht="19.5" hidden="false" customHeight="true" outlineLevel="0" collapsed="false">
      <c r="A239" s="25" t="s">
        <v>1069</v>
      </c>
      <c r="B239" s="25" t="s">
        <v>342</v>
      </c>
      <c r="C239" s="12" t="s">
        <v>912</v>
      </c>
      <c r="D239" s="12" t="s">
        <v>344</v>
      </c>
      <c r="E239" s="25" t="s">
        <v>1070</v>
      </c>
      <c r="F239" s="25" t="s">
        <v>626</v>
      </c>
      <c r="G239" s="25" t="s">
        <v>831</v>
      </c>
      <c r="H239" s="14" t="n">
        <v>0.9</v>
      </c>
      <c r="I239" s="32" t="n">
        <v>-0.1</v>
      </c>
      <c r="J239" s="25" t="s">
        <v>113</v>
      </c>
      <c r="K239" s="22" t="s">
        <v>1071</v>
      </c>
      <c r="L239" s="12" t="s">
        <v>1072</v>
      </c>
    </row>
    <row r="240" customFormat="false" ht="19.5" hidden="false" customHeight="true" outlineLevel="0" collapsed="false">
      <c r="A240" s="27" t="s">
        <v>1073</v>
      </c>
      <c r="B240" s="27" t="s">
        <v>266</v>
      </c>
      <c r="C240" s="9" t="s">
        <v>1017</v>
      </c>
      <c r="D240" s="9" t="s">
        <v>260</v>
      </c>
      <c r="E240" s="27" t="s">
        <v>1070</v>
      </c>
      <c r="F240" s="27" t="s">
        <v>626</v>
      </c>
      <c r="G240" s="27" t="s">
        <v>831</v>
      </c>
      <c r="H240" s="11" t="n">
        <v>0.14</v>
      </c>
      <c r="I240" s="31" t="n">
        <v>-1.02</v>
      </c>
      <c r="J240" s="27" t="s">
        <v>113</v>
      </c>
      <c r="K240" s="23" t="s">
        <v>1071</v>
      </c>
      <c r="L240" s="9" t="s">
        <v>1074</v>
      </c>
    </row>
    <row r="241" customFormat="false" ht="19.5" hidden="false" customHeight="true" outlineLevel="0" collapsed="false">
      <c r="A241" s="25" t="s">
        <v>1075</v>
      </c>
      <c r="B241" s="25" t="s">
        <v>257</v>
      </c>
      <c r="C241" s="12" t="s">
        <v>844</v>
      </c>
      <c r="D241" s="12" t="s">
        <v>260</v>
      </c>
      <c r="E241" s="25" t="s">
        <v>1070</v>
      </c>
      <c r="F241" s="25" t="s">
        <v>626</v>
      </c>
      <c r="G241" s="25" t="s">
        <v>831</v>
      </c>
      <c r="H241" s="14" t="n">
        <v>0.78</v>
      </c>
      <c r="I241" s="32" t="n">
        <v>-1</v>
      </c>
      <c r="J241" s="25" t="s">
        <v>113</v>
      </c>
      <c r="K241" s="22" t="s">
        <v>1071</v>
      </c>
      <c r="L241" s="12" t="s">
        <v>1076</v>
      </c>
    </row>
    <row r="242" customFormat="false" ht="19.5" hidden="false" customHeight="true" outlineLevel="0" collapsed="false">
      <c r="A242" s="27" t="s">
        <v>1077</v>
      </c>
      <c r="B242" s="27" t="s">
        <v>349</v>
      </c>
      <c r="C242" s="9" t="s">
        <v>882</v>
      </c>
      <c r="D242" s="9" t="s">
        <v>260</v>
      </c>
      <c r="E242" s="27" t="s">
        <v>1078</v>
      </c>
      <c r="F242" s="27" t="s">
        <v>626</v>
      </c>
      <c r="G242" s="27" t="s">
        <v>831</v>
      </c>
      <c r="H242" s="11" t="n">
        <v>0.2</v>
      </c>
      <c r="I242" s="31" t="n">
        <v>0.1</v>
      </c>
      <c r="J242" s="27" t="s">
        <v>113</v>
      </c>
      <c r="K242" s="23" t="s">
        <v>1079</v>
      </c>
      <c r="L242" s="9" t="s">
        <v>1080</v>
      </c>
    </row>
    <row r="243" customFormat="false" ht="19.5" hidden="false" customHeight="true" outlineLevel="0" collapsed="false">
      <c r="A243" s="25" t="s">
        <v>1081</v>
      </c>
      <c r="B243" s="25" t="s">
        <v>284</v>
      </c>
      <c r="C243" s="12" t="s">
        <v>835</v>
      </c>
      <c r="D243" s="12" t="s">
        <v>260</v>
      </c>
      <c r="E243" s="25" t="s">
        <v>1078</v>
      </c>
      <c r="F243" s="25" t="s">
        <v>626</v>
      </c>
      <c r="G243" s="25" t="s">
        <v>831</v>
      </c>
      <c r="H243" s="14" t="n">
        <v>0.26</v>
      </c>
      <c r="I243" s="32" t="n">
        <v>-0.02</v>
      </c>
      <c r="J243" s="25" t="s">
        <v>113</v>
      </c>
      <c r="K243" s="22" t="s">
        <v>1079</v>
      </c>
      <c r="L243" s="12" t="s">
        <v>1082</v>
      </c>
    </row>
    <row r="244" customFormat="false" ht="19.5" hidden="false" customHeight="true" outlineLevel="0" collapsed="false">
      <c r="A244" s="27" t="s">
        <v>1083</v>
      </c>
      <c r="B244" s="27" t="s">
        <v>266</v>
      </c>
      <c r="C244" s="9" t="s">
        <v>1017</v>
      </c>
      <c r="D244" s="9" t="s">
        <v>260</v>
      </c>
      <c r="E244" s="27" t="s">
        <v>1078</v>
      </c>
      <c r="F244" s="27" t="s">
        <v>626</v>
      </c>
      <c r="G244" s="27" t="s">
        <v>831</v>
      </c>
      <c r="H244" s="11" t="n">
        <v>1.81</v>
      </c>
      <c r="I244" s="31" t="n">
        <v>1.67</v>
      </c>
      <c r="J244" s="27" t="s">
        <v>113</v>
      </c>
      <c r="K244" s="23" t="s">
        <v>1079</v>
      </c>
      <c r="L244" s="9" t="s">
        <v>1084</v>
      </c>
    </row>
    <row r="245" customFormat="false" ht="19.5" hidden="false" customHeight="true" outlineLevel="0" collapsed="false">
      <c r="A245" s="25" t="s">
        <v>1085</v>
      </c>
      <c r="B245" s="25" t="s">
        <v>292</v>
      </c>
      <c r="C245" s="12" t="s">
        <v>1063</v>
      </c>
      <c r="D245" s="12" t="s">
        <v>260</v>
      </c>
      <c r="E245" s="25" t="s">
        <v>1078</v>
      </c>
      <c r="F245" s="25" t="s">
        <v>626</v>
      </c>
      <c r="G245" s="25" t="s">
        <v>831</v>
      </c>
      <c r="H245" s="14" t="n">
        <v>0.1</v>
      </c>
      <c r="I245" s="32" t="n">
        <v>-0.07</v>
      </c>
      <c r="J245" s="25" t="s">
        <v>113</v>
      </c>
      <c r="K245" s="22" t="s">
        <v>1079</v>
      </c>
      <c r="L245" s="12" t="s">
        <v>1086</v>
      </c>
    </row>
    <row r="246" customFormat="false" ht="19.5" hidden="false" customHeight="true" outlineLevel="0" collapsed="false">
      <c r="A246" s="27" t="s">
        <v>1087</v>
      </c>
      <c r="B246" s="27" t="s">
        <v>540</v>
      </c>
      <c r="C246" s="9" t="s">
        <v>654</v>
      </c>
      <c r="D246" s="9" t="s">
        <v>260</v>
      </c>
      <c r="E246" s="27" t="s">
        <v>1078</v>
      </c>
      <c r="F246" s="27" t="s">
        <v>626</v>
      </c>
      <c r="G246" s="27" t="s">
        <v>831</v>
      </c>
      <c r="H246" s="11" t="n">
        <v>1.92</v>
      </c>
      <c r="I246" s="30"/>
      <c r="J246" s="27" t="s">
        <v>113</v>
      </c>
      <c r="K246" s="23" t="s">
        <v>1079</v>
      </c>
      <c r="L246" s="9" t="s">
        <v>1088</v>
      </c>
    </row>
    <row r="247" customFormat="false" ht="19.5" hidden="false" customHeight="true" outlineLevel="0" collapsed="false">
      <c r="A247" s="25" t="s">
        <v>1089</v>
      </c>
      <c r="B247" s="25" t="s">
        <v>276</v>
      </c>
      <c r="C247" s="12" t="s">
        <v>841</v>
      </c>
      <c r="D247" s="12" t="s">
        <v>260</v>
      </c>
      <c r="E247" s="25" t="s">
        <v>1078</v>
      </c>
      <c r="F247" s="25" t="s">
        <v>626</v>
      </c>
      <c r="G247" s="25" t="s">
        <v>831</v>
      </c>
      <c r="H247" s="14" t="n">
        <v>0.69</v>
      </c>
      <c r="I247" s="32" t="n">
        <v>0.07</v>
      </c>
      <c r="J247" s="25" t="s">
        <v>113</v>
      </c>
      <c r="K247" s="22" t="s">
        <v>1079</v>
      </c>
      <c r="L247" s="12" t="s">
        <v>1090</v>
      </c>
    </row>
    <row r="248" customFormat="false" ht="19.5" hidden="false" customHeight="true" outlineLevel="0" collapsed="false">
      <c r="A248" s="27" t="s">
        <v>1091</v>
      </c>
      <c r="B248" s="27" t="s">
        <v>257</v>
      </c>
      <c r="C248" s="9" t="s">
        <v>844</v>
      </c>
      <c r="D248" s="9" t="s">
        <v>260</v>
      </c>
      <c r="E248" s="27" t="s">
        <v>1078</v>
      </c>
      <c r="F248" s="27" t="s">
        <v>626</v>
      </c>
      <c r="G248" s="27" t="s">
        <v>831</v>
      </c>
      <c r="H248" s="11" t="n">
        <v>3.1</v>
      </c>
      <c r="I248" s="31" t="n">
        <v>2.32</v>
      </c>
      <c r="J248" s="27" t="s">
        <v>113</v>
      </c>
      <c r="K248" s="23" t="s">
        <v>1079</v>
      </c>
      <c r="L248" s="9" t="s">
        <v>1092</v>
      </c>
    </row>
    <row r="249" customFormat="false" ht="19.5" hidden="false" customHeight="true" outlineLevel="0" collapsed="false">
      <c r="A249" s="25" t="s">
        <v>1093</v>
      </c>
      <c r="B249" s="25" t="s">
        <v>593</v>
      </c>
      <c r="C249" s="12" t="s">
        <v>865</v>
      </c>
      <c r="D249" s="12" t="s">
        <v>866</v>
      </c>
      <c r="E249" s="25" t="s">
        <v>1094</v>
      </c>
      <c r="F249" s="25" t="s">
        <v>626</v>
      </c>
      <c r="G249" s="25" t="s">
        <v>976</v>
      </c>
      <c r="H249" s="14" t="n">
        <v>10.6</v>
      </c>
      <c r="I249" s="29"/>
      <c r="J249" s="25" t="s">
        <v>86</v>
      </c>
      <c r="K249" s="22" t="s">
        <v>1095</v>
      </c>
      <c r="L249" s="12" t="s">
        <v>1096</v>
      </c>
    </row>
    <row r="250" customFormat="false" ht="19.5" hidden="false" customHeight="true" outlineLevel="0" collapsed="false">
      <c r="A250" s="27" t="s">
        <v>1097</v>
      </c>
      <c r="B250" s="27" t="s">
        <v>601</v>
      </c>
      <c r="C250" s="9" t="s">
        <v>872</v>
      </c>
      <c r="D250" s="9" t="s">
        <v>866</v>
      </c>
      <c r="E250" s="27" t="s">
        <v>1094</v>
      </c>
      <c r="F250" s="27" t="s">
        <v>626</v>
      </c>
      <c r="G250" s="27" t="s">
        <v>976</v>
      </c>
      <c r="H250" s="11" t="n">
        <v>9.8</v>
      </c>
      <c r="I250" s="30"/>
      <c r="J250" s="27" t="s">
        <v>86</v>
      </c>
      <c r="K250" s="23" t="s">
        <v>1095</v>
      </c>
      <c r="L250" s="9" t="s">
        <v>1098</v>
      </c>
    </row>
    <row r="251" customFormat="false" ht="19.5" hidden="false" customHeight="true" outlineLevel="0" collapsed="false">
      <c r="A251" s="25" t="s">
        <v>1099</v>
      </c>
      <c r="B251" s="25" t="s">
        <v>605</v>
      </c>
      <c r="C251" s="12" t="s">
        <v>875</v>
      </c>
      <c r="D251" s="12" t="s">
        <v>588</v>
      </c>
      <c r="E251" s="25" t="s">
        <v>1094</v>
      </c>
      <c r="F251" s="25" t="s">
        <v>626</v>
      </c>
      <c r="G251" s="25" t="s">
        <v>976</v>
      </c>
      <c r="H251" s="14" t="n">
        <v>4.4</v>
      </c>
      <c r="I251" s="29"/>
      <c r="J251" s="25" t="s">
        <v>86</v>
      </c>
      <c r="K251" s="22" t="s">
        <v>1095</v>
      </c>
      <c r="L251" s="12" t="s">
        <v>1100</v>
      </c>
    </row>
    <row r="252" customFormat="false" ht="19.5" hidden="false" customHeight="true" outlineLevel="0" collapsed="false">
      <c r="A252" s="27" t="s">
        <v>1101</v>
      </c>
      <c r="B252" s="27" t="s">
        <v>557</v>
      </c>
      <c r="C252" s="9" t="s">
        <v>624</v>
      </c>
      <c r="D252" s="9" t="s">
        <v>559</v>
      </c>
      <c r="E252" s="27" t="s">
        <v>1102</v>
      </c>
      <c r="F252" s="27" t="s">
        <v>626</v>
      </c>
      <c r="G252" s="27" t="s">
        <v>976</v>
      </c>
      <c r="H252" s="11" t="n">
        <v>1.5</v>
      </c>
      <c r="I252" s="30"/>
      <c r="J252" s="27" t="s">
        <v>86</v>
      </c>
      <c r="K252" s="23" t="s">
        <v>664</v>
      </c>
      <c r="L252" s="9" t="s">
        <v>1103</v>
      </c>
    </row>
    <row r="253" customFormat="false" ht="19.5" hidden="false" customHeight="true" outlineLevel="0" collapsed="false">
      <c r="A253" s="25" t="s">
        <v>1104</v>
      </c>
      <c r="B253" s="25" t="s">
        <v>564</v>
      </c>
      <c r="C253" s="12" t="s">
        <v>630</v>
      </c>
      <c r="D253" s="12" t="s">
        <v>559</v>
      </c>
      <c r="E253" s="25" t="s">
        <v>1102</v>
      </c>
      <c r="F253" s="25" t="s">
        <v>626</v>
      </c>
      <c r="G253" s="25" t="s">
        <v>976</v>
      </c>
      <c r="H253" s="14" t="n">
        <v>1.45</v>
      </c>
      <c r="I253" s="29"/>
      <c r="J253" s="25" t="s">
        <v>86</v>
      </c>
      <c r="K253" s="22" t="s">
        <v>664</v>
      </c>
      <c r="L253" s="12" t="s">
        <v>1103</v>
      </c>
    </row>
    <row r="254" customFormat="false" ht="19.5" hidden="false" customHeight="true" outlineLevel="0" collapsed="false">
      <c r="A254" s="27" t="s">
        <v>1105</v>
      </c>
      <c r="B254" s="27" t="s">
        <v>552</v>
      </c>
      <c r="C254" s="9" t="s">
        <v>633</v>
      </c>
      <c r="D254" s="9" t="s">
        <v>554</v>
      </c>
      <c r="E254" s="27" t="s">
        <v>1102</v>
      </c>
      <c r="F254" s="27" t="s">
        <v>626</v>
      </c>
      <c r="G254" s="27" t="s">
        <v>976</v>
      </c>
      <c r="H254" s="11" t="n">
        <v>1.6</v>
      </c>
      <c r="I254" s="30"/>
      <c r="J254" s="27" t="s">
        <v>86</v>
      </c>
      <c r="K254" s="23" t="s">
        <v>664</v>
      </c>
      <c r="L254" s="9" t="s">
        <v>1103</v>
      </c>
    </row>
    <row r="255" customFormat="false" ht="19.5" hidden="false" customHeight="true" outlineLevel="0" collapsed="false">
      <c r="A255" s="25" t="s">
        <v>1106</v>
      </c>
      <c r="B255" s="25" t="s">
        <v>411</v>
      </c>
      <c r="C255" s="12" t="s">
        <v>636</v>
      </c>
      <c r="D255" s="12" t="s">
        <v>554</v>
      </c>
      <c r="E255" s="25" t="s">
        <v>1102</v>
      </c>
      <c r="F255" s="25" t="s">
        <v>626</v>
      </c>
      <c r="G255" s="25" t="s">
        <v>976</v>
      </c>
      <c r="H255" s="14" t="n">
        <v>3.94</v>
      </c>
      <c r="I255" s="29"/>
      <c r="J255" s="25" t="s">
        <v>86</v>
      </c>
      <c r="K255" s="22" t="s">
        <v>664</v>
      </c>
      <c r="L255" s="12" t="s">
        <v>1103</v>
      </c>
    </row>
    <row r="256" customFormat="false" ht="19.5" hidden="false" customHeight="true" outlineLevel="0" collapsed="false">
      <c r="A256" s="27" t="s">
        <v>1107</v>
      </c>
      <c r="B256" s="27" t="s">
        <v>377</v>
      </c>
      <c r="C256" s="9" t="s">
        <v>639</v>
      </c>
      <c r="D256" s="9" t="s">
        <v>260</v>
      </c>
      <c r="E256" s="27" t="s">
        <v>1102</v>
      </c>
      <c r="F256" s="27" t="s">
        <v>626</v>
      </c>
      <c r="G256" s="27" t="s">
        <v>976</v>
      </c>
      <c r="H256" s="11" t="n">
        <v>5.44</v>
      </c>
      <c r="I256" s="30"/>
      <c r="J256" s="27" t="s">
        <v>86</v>
      </c>
      <c r="K256" s="23" t="s">
        <v>664</v>
      </c>
      <c r="L256" s="9" t="s">
        <v>1103</v>
      </c>
    </row>
    <row r="257" customFormat="false" ht="19.5" hidden="false" customHeight="true" outlineLevel="0" collapsed="false">
      <c r="A257" s="25" t="s">
        <v>1108</v>
      </c>
      <c r="B257" s="25" t="s">
        <v>576</v>
      </c>
      <c r="C257" s="12" t="s">
        <v>642</v>
      </c>
      <c r="D257" s="12" t="s">
        <v>344</v>
      </c>
      <c r="E257" s="25" t="s">
        <v>1102</v>
      </c>
      <c r="F257" s="25" t="s">
        <v>626</v>
      </c>
      <c r="G257" s="25" t="s">
        <v>976</v>
      </c>
      <c r="H257" s="14" t="n">
        <v>2.4</v>
      </c>
      <c r="I257" s="29"/>
      <c r="J257" s="25" t="s">
        <v>86</v>
      </c>
      <c r="K257" s="22" t="s">
        <v>664</v>
      </c>
      <c r="L257" s="12" t="s">
        <v>1103</v>
      </c>
    </row>
    <row r="258" customFormat="false" ht="19.5" hidden="false" customHeight="true" outlineLevel="0" collapsed="false">
      <c r="A258" s="27" t="s">
        <v>1109</v>
      </c>
      <c r="B258" s="27" t="s">
        <v>570</v>
      </c>
      <c r="C258" s="9" t="s">
        <v>645</v>
      </c>
      <c r="D258" s="9" t="s">
        <v>344</v>
      </c>
      <c r="E258" s="27" t="s">
        <v>1102</v>
      </c>
      <c r="F258" s="27" t="s">
        <v>626</v>
      </c>
      <c r="G258" s="27" t="s">
        <v>976</v>
      </c>
      <c r="H258" s="11" t="n">
        <v>5.7</v>
      </c>
      <c r="I258" s="30"/>
      <c r="J258" s="27" t="s">
        <v>86</v>
      </c>
      <c r="K258" s="23" t="s">
        <v>664</v>
      </c>
      <c r="L258" s="9" t="s">
        <v>1103</v>
      </c>
    </row>
    <row r="259" customFormat="false" ht="19.5" hidden="false" customHeight="true" outlineLevel="0" collapsed="false">
      <c r="A259" s="25" t="s">
        <v>1110</v>
      </c>
      <c r="B259" s="25" t="s">
        <v>266</v>
      </c>
      <c r="C259" s="12" t="s">
        <v>648</v>
      </c>
      <c r="D259" s="12" t="s">
        <v>260</v>
      </c>
      <c r="E259" s="25" t="s">
        <v>1102</v>
      </c>
      <c r="F259" s="25" t="s">
        <v>626</v>
      </c>
      <c r="G259" s="25" t="s">
        <v>976</v>
      </c>
      <c r="H259" s="14" t="n">
        <v>0.16</v>
      </c>
      <c r="I259" s="29"/>
      <c r="J259" s="25" t="s">
        <v>86</v>
      </c>
      <c r="K259" s="22" t="s">
        <v>664</v>
      </c>
      <c r="L259" s="12" t="s">
        <v>1103</v>
      </c>
    </row>
    <row r="260" customFormat="false" ht="19.5" hidden="false" customHeight="true" outlineLevel="0" collapsed="false">
      <c r="A260" s="27" t="s">
        <v>1111</v>
      </c>
      <c r="B260" s="27" t="s">
        <v>533</v>
      </c>
      <c r="C260" s="9" t="s">
        <v>651</v>
      </c>
      <c r="D260" s="9" t="s">
        <v>260</v>
      </c>
      <c r="E260" s="27" t="s">
        <v>1102</v>
      </c>
      <c r="F260" s="27" t="s">
        <v>626</v>
      </c>
      <c r="G260" s="27" t="s">
        <v>976</v>
      </c>
      <c r="H260" s="11" t="n">
        <v>3.6</v>
      </c>
      <c r="I260" s="30"/>
      <c r="J260" s="27" t="s">
        <v>86</v>
      </c>
      <c r="K260" s="23" t="s">
        <v>664</v>
      </c>
      <c r="L260" s="9" t="s">
        <v>1103</v>
      </c>
    </row>
    <row r="261" customFormat="false" ht="19.5" hidden="false" customHeight="true" outlineLevel="0" collapsed="false">
      <c r="A261" s="25" t="s">
        <v>1112</v>
      </c>
      <c r="B261" s="25" t="s">
        <v>540</v>
      </c>
      <c r="C261" s="12" t="s">
        <v>654</v>
      </c>
      <c r="D261" s="12" t="s">
        <v>260</v>
      </c>
      <c r="E261" s="25" t="s">
        <v>1102</v>
      </c>
      <c r="F261" s="25" t="s">
        <v>626</v>
      </c>
      <c r="G261" s="25" t="s">
        <v>976</v>
      </c>
      <c r="H261" s="14" t="n">
        <v>0.28</v>
      </c>
      <c r="I261" s="29"/>
      <c r="J261" s="25" t="s">
        <v>86</v>
      </c>
      <c r="K261" s="22" t="s">
        <v>664</v>
      </c>
      <c r="L261" s="12" t="s">
        <v>1103</v>
      </c>
    </row>
    <row r="262" customFormat="false" ht="19.5" hidden="false" customHeight="true" outlineLevel="0" collapsed="false">
      <c r="A262" s="27" t="s">
        <v>1113</v>
      </c>
      <c r="B262" s="27" t="s">
        <v>276</v>
      </c>
      <c r="C262" s="9" t="s">
        <v>676</v>
      </c>
      <c r="D262" s="9" t="s">
        <v>260</v>
      </c>
      <c r="E262" s="27" t="s">
        <v>1102</v>
      </c>
      <c r="F262" s="27" t="s">
        <v>626</v>
      </c>
      <c r="G262" s="27" t="s">
        <v>976</v>
      </c>
      <c r="H262" s="11" t="n">
        <v>0</v>
      </c>
      <c r="I262" s="30"/>
      <c r="J262" s="27" t="s">
        <v>86</v>
      </c>
      <c r="K262" s="23" t="s">
        <v>664</v>
      </c>
      <c r="L262" s="9" t="s">
        <v>1103</v>
      </c>
    </row>
    <row r="263" customFormat="false" ht="19.5" hidden="false" customHeight="true" outlineLevel="0" collapsed="false">
      <c r="A263" s="25" t="s">
        <v>1114</v>
      </c>
      <c r="B263" s="25" t="s">
        <v>257</v>
      </c>
      <c r="C263" s="12" t="s">
        <v>657</v>
      </c>
      <c r="D263" s="12" t="s">
        <v>260</v>
      </c>
      <c r="E263" s="25" t="s">
        <v>1102</v>
      </c>
      <c r="F263" s="25" t="s">
        <v>626</v>
      </c>
      <c r="G263" s="25" t="s">
        <v>976</v>
      </c>
      <c r="H263" s="14" t="n">
        <v>0.76</v>
      </c>
      <c r="I263" s="29"/>
      <c r="J263" s="25" t="s">
        <v>86</v>
      </c>
      <c r="K263" s="22" t="s">
        <v>664</v>
      </c>
      <c r="L263" s="12" t="s">
        <v>1103</v>
      </c>
    </row>
    <row r="264" customFormat="false" ht="19.5" hidden="false" customHeight="true" outlineLevel="0" collapsed="false">
      <c r="A264" s="27" t="s">
        <v>1115</v>
      </c>
      <c r="B264" s="27" t="s">
        <v>586</v>
      </c>
      <c r="C264" s="9" t="s">
        <v>660</v>
      </c>
      <c r="D264" s="9" t="s">
        <v>588</v>
      </c>
      <c r="E264" s="27" t="s">
        <v>1102</v>
      </c>
      <c r="F264" s="27" t="s">
        <v>626</v>
      </c>
      <c r="G264" s="27" t="s">
        <v>976</v>
      </c>
      <c r="H264" s="11" t="n">
        <v>3.1</v>
      </c>
      <c r="I264" s="30"/>
      <c r="J264" s="27" t="s">
        <v>86</v>
      </c>
      <c r="K264" s="23" t="s">
        <v>664</v>
      </c>
      <c r="L264" s="9" t="s">
        <v>1103</v>
      </c>
    </row>
    <row r="265" customFormat="false" ht="19.5" hidden="false" customHeight="true" outlineLevel="0" collapsed="false">
      <c r="A265" s="25" t="s">
        <v>1116</v>
      </c>
      <c r="B265" s="25" t="s">
        <v>557</v>
      </c>
      <c r="C265" s="12" t="s">
        <v>624</v>
      </c>
      <c r="D265" s="12" t="s">
        <v>559</v>
      </c>
      <c r="E265" s="25" t="s">
        <v>1117</v>
      </c>
      <c r="F265" s="25" t="s">
        <v>626</v>
      </c>
      <c r="G265" s="25" t="s">
        <v>976</v>
      </c>
      <c r="H265" s="14" t="n">
        <v>1.3</v>
      </c>
      <c r="I265" s="32" t="n">
        <v>-0.2</v>
      </c>
      <c r="J265" s="25" t="s">
        <v>86</v>
      </c>
      <c r="K265" s="22" t="s">
        <v>681</v>
      </c>
      <c r="L265" s="12" t="s">
        <v>1118</v>
      </c>
    </row>
    <row r="266" customFormat="false" ht="19.5" hidden="false" customHeight="true" outlineLevel="0" collapsed="false">
      <c r="A266" s="27" t="s">
        <v>1119</v>
      </c>
      <c r="B266" s="27" t="s">
        <v>564</v>
      </c>
      <c r="C266" s="9" t="s">
        <v>630</v>
      </c>
      <c r="D266" s="9" t="s">
        <v>559</v>
      </c>
      <c r="E266" s="27" t="s">
        <v>1117</v>
      </c>
      <c r="F266" s="27" t="s">
        <v>626</v>
      </c>
      <c r="G266" s="27" t="s">
        <v>976</v>
      </c>
      <c r="H266" s="11" t="n">
        <v>1.3</v>
      </c>
      <c r="I266" s="31" t="n">
        <v>-0.15</v>
      </c>
      <c r="J266" s="27" t="s">
        <v>86</v>
      </c>
      <c r="K266" s="23" t="s">
        <v>681</v>
      </c>
      <c r="L266" s="9" t="s">
        <v>1118</v>
      </c>
    </row>
    <row r="267" customFormat="false" ht="19.5" hidden="false" customHeight="true" outlineLevel="0" collapsed="false">
      <c r="A267" s="25" t="s">
        <v>1120</v>
      </c>
      <c r="B267" s="25" t="s">
        <v>552</v>
      </c>
      <c r="C267" s="12" t="s">
        <v>633</v>
      </c>
      <c r="D267" s="12" t="s">
        <v>554</v>
      </c>
      <c r="E267" s="25" t="s">
        <v>1117</v>
      </c>
      <c r="F267" s="25" t="s">
        <v>626</v>
      </c>
      <c r="G267" s="25" t="s">
        <v>976</v>
      </c>
      <c r="H267" s="14" t="n">
        <v>1.4</v>
      </c>
      <c r="I267" s="32" t="n">
        <v>-0.2</v>
      </c>
      <c r="J267" s="25" t="s">
        <v>86</v>
      </c>
      <c r="K267" s="22" t="s">
        <v>681</v>
      </c>
      <c r="L267" s="12" t="s">
        <v>1118</v>
      </c>
    </row>
    <row r="268" customFormat="false" ht="19.5" hidden="false" customHeight="true" outlineLevel="0" collapsed="false">
      <c r="A268" s="27" t="s">
        <v>1121</v>
      </c>
      <c r="B268" s="27" t="s">
        <v>411</v>
      </c>
      <c r="C268" s="9" t="s">
        <v>636</v>
      </c>
      <c r="D268" s="9" t="s">
        <v>554</v>
      </c>
      <c r="E268" s="27" t="s">
        <v>1117</v>
      </c>
      <c r="F268" s="27" t="s">
        <v>626</v>
      </c>
      <c r="G268" s="27" t="s">
        <v>976</v>
      </c>
      <c r="H268" s="11" t="n">
        <v>2.7</v>
      </c>
      <c r="I268" s="31" t="n">
        <v>-1.24</v>
      </c>
      <c r="J268" s="27" t="s">
        <v>86</v>
      </c>
      <c r="K268" s="23" t="s">
        <v>681</v>
      </c>
      <c r="L268" s="9" t="s">
        <v>1118</v>
      </c>
    </row>
    <row r="269" customFormat="false" ht="19.5" hidden="false" customHeight="true" outlineLevel="0" collapsed="false">
      <c r="A269" s="25" t="s">
        <v>1122</v>
      </c>
      <c r="B269" s="25" t="s">
        <v>377</v>
      </c>
      <c r="C269" s="12" t="s">
        <v>639</v>
      </c>
      <c r="D269" s="12" t="s">
        <v>260</v>
      </c>
      <c r="E269" s="25" t="s">
        <v>1117</v>
      </c>
      <c r="F269" s="25" t="s">
        <v>626</v>
      </c>
      <c r="G269" s="25" t="s">
        <v>976</v>
      </c>
      <c r="H269" s="14" t="n">
        <v>4.43</v>
      </c>
      <c r="I269" s="32" t="n">
        <v>-1.01</v>
      </c>
      <c r="J269" s="25" t="s">
        <v>86</v>
      </c>
      <c r="K269" s="22" t="s">
        <v>681</v>
      </c>
      <c r="L269" s="12" t="s">
        <v>1118</v>
      </c>
    </row>
    <row r="270" customFormat="false" ht="19.5" hidden="false" customHeight="true" outlineLevel="0" collapsed="false">
      <c r="A270" s="27" t="s">
        <v>1123</v>
      </c>
      <c r="B270" s="27" t="s">
        <v>576</v>
      </c>
      <c r="C270" s="9" t="s">
        <v>642</v>
      </c>
      <c r="D270" s="9" t="s">
        <v>344</v>
      </c>
      <c r="E270" s="27" t="s">
        <v>1117</v>
      </c>
      <c r="F270" s="27" t="s">
        <v>626</v>
      </c>
      <c r="G270" s="27" t="s">
        <v>976</v>
      </c>
      <c r="H270" s="11" t="n">
        <v>2.1</v>
      </c>
      <c r="I270" s="31" t="n">
        <v>-0.3</v>
      </c>
      <c r="J270" s="27" t="s">
        <v>86</v>
      </c>
      <c r="K270" s="23" t="s">
        <v>681</v>
      </c>
      <c r="L270" s="9" t="s">
        <v>1118</v>
      </c>
    </row>
    <row r="271" customFormat="false" ht="19.5" hidden="false" customHeight="true" outlineLevel="0" collapsed="false">
      <c r="A271" s="25" t="s">
        <v>1124</v>
      </c>
      <c r="B271" s="25" t="s">
        <v>570</v>
      </c>
      <c r="C271" s="12" t="s">
        <v>645</v>
      </c>
      <c r="D271" s="12" t="s">
        <v>344</v>
      </c>
      <c r="E271" s="25" t="s">
        <v>1117</v>
      </c>
      <c r="F271" s="25" t="s">
        <v>626</v>
      </c>
      <c r="G271" s="25" t="s">
        <v>976</v>
      </c>
      <c r="H271" s="14" t="n">
        <v>5.4</v>
      </c>
      <c r="I271" s="32" t="n">
        <v>-0.3</v>
      </c>
      <c r="J271" s="25" t="s">
        <v>86</v>
      </c>
      <c r="K271" s="22" t="s">
        <v>681</v>
      </c>
      <c r="L271" s="12" t="s">
        <v>1118</v>
      </c>
    </row>
    <row r="272" customFormat="false" ht="19.5" hidden="false" customHeight="true" outlineLevel="0" collapsed="false">
      <c r="A272" s="27" t="s">
        <v>1125</v>
      </c>
      <c r="B272" s="27" t="s">
        <v>266</v>
      </c>
      <c r="C272" s="9" t="s">
        <v>648</v>
      </c>
      <c r="D272" s="9" t="s">
        <v>260</v>
      </c>
      <c r="E272" s="27" t="s">
        <v>1117</v>
      </c>
      <c r="F272" s="27" t="s">
        <v>626</v>
      </c>
      <c r="G272" s="27" t="s">
        <v>976</v>
      </c>
      <c r="H272" s="11" t="n">
        <v>0.14</v>
      </c>
      <c r="I272" s="31" t="n">
        <v>-0.02</v>
      </c>
      <c r="J272" s="27" t="s">
        <v>86</v>
      </c>
      <c r="K272" s="23" t="s">
        <v>681</v>
      </c>
      <c r="L272" s="9" t="s">
        <v>1118</v>
      </c>
    </row>
    <row r="273" customFormat="false" ht="19.5" hidden="false" customHeight="true" outlineLevel="0" collapsed="false">
      <c r="A273" s="25" t="s">
        <v>1126</v>
      </c>
      <c r="B273" s="25" t="s">
        <v>533</v>
      </c>
      <c r="C273" s="12" t="s">
        <v>651</v>
      </c>
      <c r="D273" s="12" t="s">
        <v>260</v>
      </c>
      <c r="E273" s="25" t="s">
        <v>1117</v>
      </c>
      <c r="F273" s="25" t="s">
        <v>626</v>
      </c>
      <c r="G273" s="25" t="s">
        <v>976</v>
      </c>
      <c r="H273" s="14" t="n">
        <v>3.3</v>
      </c>
      <c r="I273" s="32" t="n">
        <v>-0.3</v>
      </c>
      <c r="J273" s="25" t="s">
        <v>86</v>
      </c>
      <c r="K273" s="22" t="s">
        <v>681</v>
      </c>
      <c r="L273" s="12" t="s">
        <v>1118</v>
      </c>
    </row>
    <row r="274" customFormat="false" ht="19.5" hidden="false" customHeight="true" outlineLevel="0" collapsed="false">
      <c r="A274" s="27" t="s">
        <v>1127</v>
      </c>
      <c r="B274" s="27" t="s">
        <v>540</v>
      </c>
      <c r="C274" s="9" t="s">
        <v>654</v>
      </c>
      <c r="D274" s="9" t="s">
        <v>260</v>
      </c>
      <c r="E274" s="27" t="s">
        <v>1117</v>
      </c>
      <c r="F274" s="27" t="s">
        <v>626</v>
      </c>
      <c r="G274" s="27" t="s">
        <v>976</v>
      </c>
      <c r="H274" s="11" t="n">
        <v>0.24</v>
      </c>
      <c r="I274" s="31" t="n">
        <v>-0.04</v>
      </c>
      <c r="J274" s="27" t="s">
        <v>86</v>
      </c>
      <c r="K274" s="23" t="s">
        <v>681</v>
      </c>
      <c r="L274" s="9" t="s">
        <v>1118</v>
      </c>
    </row>
    <row r="275" customFormat="false" ht="19.5" hidden="false" customHeight="true" outlineLevel="0" collapsed="false">
      <c r="A275" s="25" t="s">
        <v>1128</v>
      </c>
      <c r="B275" s="25" t="s">
        <v>276</v>
      </c>
      <c r="C275" s="12" t="s">
        <v>676</v>
      </c>
      <c r="D275" s="12" t="s">
        <v>260</v>
      </c>
      <c r="E275" s="25" t="s">
        <v>1117</v>
      </c>
      <c r="F275" s="25" t="s">
        <v>626</v>
      </c>
      <c r="G275" s="25" t="s">
        <v>976</v>
      </c>
      <c r="H275" s="14" t="n">
        <v>0</v>
      </c>
      <c r="I275" s="32" t="n">
        <v>0</v>
      </c>
      <c r="J275" s="25" t="s">
        <v>86</v>
      </c>
      <c r="K275" s="22" t="s">
        <v>681</v>
      </c>
      <c r="L275" s="12" t="s">
        <v>1118</v>
      </c>
    </row>
    <row r="276" customFormat="false" ht="19.5" hidden="false" customHeight="true" outlineLevel="0" collapsed="false">
      <c r="A276" s="27" t="s">
        <v>1129</v>
      </c>
      <c r="B276" s="27" t="s">
        <v>257</v>
      </c>
      <c r="C276" s="9" t="s">
        <v>657</v>
      </c>
      <c r="D276" s="9" t="s">
        <v>260</v>
      </c>
      <c r="E276" s="27" t="s">
        <v>1117</v>
      </c>
      <c r="F276" s="27" t="s">
        <v>626</v>
      </c>
      <c r="G276" s="27" t="s">
        <v>976</v>
      </c>
      <c r="H276" s="11" t="n">
        <v>0.91</v>
      </c>
      <c r="I276" s="31" t="n">
        <v>0.15</v>
      </c>
      <c r="J276" s="27" t="s">
        <v>86</v>
      </c>
      <c r="K276" s="23" t="s">
        <v>681</v>
      </c>
      <c r="L276" s="9" t="s">
        <v>1118</v>
      </c>
    </row>
    <row r="277" customFormat="false" ht="19.5" hidden="false" customHeight="true" outlineLevel="0" collapsed="false">
      <c r="A277" s="25" t="s">
        <v>1130</v>
      </c>
      <c r="B277" s="25" t="s">
        <v>586</v>
      </c>
      <c r="C277" s="12" t="s">
        <v>660</v>
      </c>
      <c r="D277" s="12" t="s">
        <v>588</v>
      </c>
      <c r="E277" s="25" t="s">
        <v>1117</v>
      </c>
      <c r="F277" s="25" t="s">
        <v>626</v>
      </c>
      <c r="G277" s="25" t="s">
        <v>976</v>
      </c>
      <c r="H277" s="14" t="n">
        <v>2.8</v>
      </c>
      <c r="I277" s="32" t="n">
        <v>-0.3</v>
      </c>
      <c r="J277" s="25" t="s">
        <v>86</v>
      </c>
      <c r="K277" s="22" t="s">
        <v>681</v>
      </c>
      <c r="L277" s="12" t="s">
        <v>1118</v>
      </c>
    </row>
    <row r="278" customFormat="false" ht="19.5" hidden="false" customHeight="true" outlineLevel="0" collapsed="false">
      <c r="A278" s="27" t="s">
        <v>1131</v>
      </c>
      <c r="B278" s="27" t="s">
        <v>557</v>
      </c>
      <c r="C278" s="9" t="s">
        <v>624</v>
      </c>
      <c r="D278" s="9" t="s">
        <v>559</v>
      </c>
      <c r="E278" s="27" t="s">
        <v>1132</v>
      </c>
      <c r="F278" s="27" t="s">
        <v>626</v>
      </c>
      <c r="G278" s="27" t="s">
        <v>976</v>
      </c>
      <c r="H278" s="11" t="n">
        <v>1.1</v>
      </c>
      <c r="I278" s="31" t="n">
        <v>-0.2</v>
      </c>
      <c r="J278" s="27" t="s">
        <v>86</v>
      </c>
      <c r="K278" s="23" t="s">
        <v>697</v>
      </c>
      <c r="L278" s="9" t="s">
        <v>1133</v>
      </c>
    </row>
    <row r="279" customFormat="false" ht="19.5" hidden="false" customHeight="true" outlineLevel="0" collapsed="false">
      <c r="A279" s="25" t="s">
        <v>1134</v>
      </c>
      <c r="B279" s="25" t="s">
        <v>564</v>
      </c>
      <c r="C279" s="12" t="s">
        <v>630</v>
      </c>
      <c r="D279" s="12" t="s">
        <v>559</v>
      </c>
      <c r="E279" s="25" t="s">
        <v>1132</v>
      </c>
      <c r="F279" s="25" t="s">
        <v>626</v>
      </c>
      <c r="G279" s="25" t="s">
        <v>976</v>
      </c>
      <c r="H279" s="14" t="n">
        <v>1.2</v>
      </c>
      <c r="I279" s="32" t="n">
        <v>-0.1</v>
      </c>
      <c r="J279" s="25" t="s">
        <v>86</v>
      </c>
      <c r="K279" s="22" t="s">
        <v>697</v>
      </c>
      <c r="L279" s="12" t="s">
        <v>1133</v>
      </c>
    </row>
    <row r="280" customFormat="false" ht="19.5" hidden="false" customHeight="true" outlineLevel="0" collapsed="false">
      <c r="A280" s="27" t="s">
        <v>1135</v>
      </c>
      <c r="B280" s="27" t="s">
        <v>552</v>
      </c>
      <c r="C280" s="9" t="s">
        <v>633</v>
      </c>
      <c r="D280" s="9" t="s">
        <v>554</v>
      </c>
      <c r="E280" s="27" t="s">
        <v>1132</v>
      </c>
      <c r="F280" s="27" t="s">
        <v>626</v>
      </c>
      <c r="G280" s="27" t="s">
        <v>976</v>
      </c>
      <c r="H280" s="11" t="n">
        <v>1.3</v>
      </c>
      <c r="I280" s="31" t="n">
        <v>-0.1</v>
      </c>
      <c r="J280" s="27" t="s">
        <v>86</v>
      </c>
      <c r="K280" s="23" t="s">
        <v>697</v>
      </c>
      <c r="L280" s="9" t="s">
        <v>1133</v>
      </c>
    </row>
    <row r="281" customFormat="false" ht="19.5" hidden="false" customHeight="true" outlineLevel="0" collapsed="false">
      <c r="A281" s="25" t="s">
        <v>1136</v>
      </c>
      <c r="B281" s="25" t="s">
        <v>411</v>
      </c>
      <c r="C281" s="12" t="s">
        <v>636</v>
      </c>
      <c r="D281" s="12" t="s">
        <v>554</v>
      </c>
      <c r="E281" s="25" t="s">
        <v>1132</v>
      </c>
      <c r="F281" s="25" t="s">
        <v>626</v>
      </c>
      <c r="G281" s="25" t="s">
        <v>976</v>
      </c>
      <c r="H281" s="14" t="n">
        <v>2.45</v>
      </c>
      <c r="I281" s="32" t="n">
        <v>-0.25</v>
      </c>
      <c r="J281" s="25" t="s">
        <v>86</v>
      </c>
      <c r="K281" s="22" t="s">
        <v>697</v>
      </c>
      <c r="L281" s="12" t="s">
        <v>1133</v>
      </c>
    </row>
    <row r="282" customFormat="false" ht="19.5" hidden="false" customHeight="true" outlineLevel="0" collapsed="false">
      <c r="A282" s="27" t="s">
        <v>1137</v>
      </c>
      <c r="B282" s="27" t="s">
        <v>377</v>
      </c>
      <c r="C282" s="9" t="s">
        <v>639</v>
      </c>
      <c r="D282" s="9" t="s">
        <v>260</v>
      </c>
      <c r="E282" s="27" t="s">
        <v>1132</v>
      </c>
      <c r="F282" s="27" t="s">
        <v>626</v>
      </c>
      <c r="G282" s="27" t="s">
        <v>976</v>
      </c>
      <c r="H282" s="11" t="n">
        <v>7.35</v>
      </c>
      <c r="I282" s="31" t="n">
        <v>2.92</v>
      </c>
      <c r="J282" s="27" t="s">
        <v>86</v>
      </c>
      <c r="K282" s="23" t="s">
        <v>697</v>
      </c>
      <c r="L282" s="9" t="s">
        <v>1133</v>
      </c>
    </row>
    <row r="283" customFormat="false" ht="19.5" hidden="false" customHeight="true" outlineLevel="0" collapsed="false">
      <c r="A283" s="25" t="s">
        <v>1138</v>
      </c>
      <c r="B283" s="25" t="s">
        <v>576</v>
      </c>
      <c r="C283" s="12" t="s">
        <v>642</v>
      </c>
      <c r="D283" s="12" t="s">
        <v>344</v>
      </c>
      <c r="E283" s="25" t="s">
        <v>1132</v>
      </c>
      <c r="F283" s="25" t="s">
        <v>626</v>
      </c>
      <c r="G283" s="25" t="s">
        <v>976</v>
      </c>
      <c r="H283" s="14" t="n">
        <v>2.4</v>
      </c>
      <c r="I283" s="32" t="n">
        <v>0.3</v>
      </c>
      <c r="J283" s="25" t="s">
        <v>86</v>
      </c>
      <c r="K283" s="22" t="s">
        <v>697</v>
      </c>
      <c r="L283" s="12" t="s">
        <v>1133</v>
      </c>
    </row>
    <row r="284" customFormat="false" ht="19.5" hidden="false" customHeight="true" outlineLevel="0" collapsed="false">
      <c r="A284" s="27" t="s">
        <v>1139</v>
      </c>
      <c r="B284" s="27" t="s">
        <v>570</v>
      </c>
      <c r="C284" s="9" t="s">
        <v>645</v>
      </c>
      <c r="D284" s="9" t="s">
        <v>344</v>
      </c>
      <c r="E284" s="27" t="s">
        <v>1132</v>
      </c>
      <c r="F284" s="27" t="s">
        <v>626</v>
      </c>
      <c r="G284" s="27" t="s">
        <v>976</v>
      </c>
      <c r="H284" s="11" t="n">
        <v>7.1</v>
      </c>
      <c r="I284" s="31" t="n">
        <v>1.7</v>
      </c>
      <c r="J284" s="27" t="s">
        <v>86</v>
      </c>
      <c r="K284" s="23" t="s">
        <v>697</v>
      </c>
      <c r="L284" s="9" t="s">
        <v>1133</v>
      </c>
    </row>
    <row r="285" customFormat="false" ht="19.5" hidden="false" customHeight="true" outlineLevel="0" collapsed="false">
      <c r="A285" s="25" t="s">
        <v>1140</v>
      </c>
      <c r="B285" s="25" t="s">
        <v>266</v>
      </c>
      <c r="C285" s="12" t="s">
        <v>648</v>
      </c>
      <c r="D285" s="12" t="s">
        <v>260</v>
      </c>
      <c r="E285" s="25" t="s">
        <v>1132</v>
      </c>
      <c r="F285" s="25" t="s">
        <v>626</v>
      </c>
      <c r="G285" s="25" t="s">
        <v>976</v>
      </c>
      <c r="H285" s="14" t="n">
        <v>0.14</v>
      </c>
      <c r="I285" s="32" t="n">
        <v>0</v>
      </c>
      <c r="J285" s="25" t="s">
        <v>86</v>
      </c>
      <c r="K285" s="22" t="s">
        <v>697</v>
      </c>
      <c r="L285" s="12" t="s">
        <v>1133</v>
      </c>
    </row>
    <row r="286" customFormat="false" ht="19.5" hidden="false" customHeight="true" outlineLevel="0" collapsed="false">
      <c r="A286" s="27" t="s">
        <v>1141</v>
      </c>
      <c r="B286" s="27" t="s">
        <v>533</v>
      </c>
      <c r="C286" s="9" t="s">
        <v>651</v>
      </c>
      <c r="D286" s="9" t="s">
        <v>260</v>
      </c>
      <c r="E286" s="27" t="s">
        <v>1132</v>
      </c>
      <c r="F286" s="27" t="s">
        <v>626</v>
      </c>
      <c r="G286" s="27" t="s">
        <v>976</v>
      </c>
      <c r="H286" s="11" t="n">
        <v>3.2</v>
      </c>
      <c r="I286" s="31" t="n">
        <v>-0.1</v>
      </c>
      <c r="J286" s="27" t="s">
        <v>86</v>
      </c>
      <c r="K286" s="23" t="s">
        <v>697</v>
      </c>
      <c r="L286" s="9" t="s">
        <v>1133</v>
      </c>
    </row>
    <row r="287" customFormat="false" ht="19.5" hidden="false" customHeight="true" outlineLevel="0" collapsed="false">
      <c r="A287" s="25" t="s">
        <v>1142</v>
      </c>
      <c r="B287" s="25" t="s">
        <v>540</v>
      </c>
      <c r="C287" s="12" t="s">
        <v>654</v>
      </c>
      <c r="D287" s="12" t="s">
        <v>260</v>
      </c>
      <c r="E287" s="25" t="s">
        <v>1132</v>
      </c>
      <c r="F287" s="25" t="s">
        <v>626</v>
      </c>
      <c r="G287" s="25" t="s">
        <v>976</v>
      </c>
      <c r="H287" s="14" t="n">
        <v>0.3</v>
      </c>
      <c r="I287" s="32" t="n">
        <v>0.06</v>
      </c>
      <c r="J287" s="25" t="s">
        <v>86</v>
      </c>
      <c r="K287" s="22" t="s">
        <v>697</v>
      </c>
      <c r="L287" s="12" t="s">
        <v>1133</v>
      </c>
    </row>
    <row r="288" customFormat="false" ht="19.5" hidden="false" customHeight="true" outlineLevel="0" collapsed="false">
      <c r="A288" s="27" t="s">
        <v>1143</v>
      </c>
      <c r="B288" s="27" t="s">
        <v>276</v>
      </c>
      <c r="C288" s="9" t="s">
        <v>676</v>
      </c>
      <c r="D288" s="9" t="s">
        <v>260</v>
      </c>
      <c r="E288" s="27" t="s">
        <v>1132</v>
      </c>
      <c r="F288" s="27" t="s">
        <v>626</v>
      </c>
      <c r="G288" s="27" t="s">
        <v>976</v>
      </c>
      <c r="H288" s="11" t="n">
        <v>0</v>
      </c>
      <c r="I288" s="31" t="n">
        <v>0</v>
      </c>
      <c r="J288" s="27" t="s">
        <v>86</v>
      </c>
      <c r="K288" s="23" t="s">
        <v>697</v>
      </c>
      <c r="L288" s="9" t="s">
        <v>1133</v>
      </c>
    </row>
    <row r="289" customFormat="false" ht="19.5" hidden="false" customHeight="true" outlineLevel="0" collapsed="false">
      <c r="A289" s="25" t="s">
        <v>1144</v>
      </c>
      <c r="B289" s="25" t="s">
        <v>257</v>
      </c>
      <c r="C289" s="12" t="s">
        <v>657</v>
      </c>
      <c r="D289" s="12" t="s">
        <v>260</v>
      </c>
      <c r="E289" s="25" t="s">
        <v>1132</v>
      </c>
      <c r="F289" s="25" t="s">
        <v>626</v>
      </c>
      <c r="G289" s="25" t="s">
        <v>976</v>
      </c>
      <c r="H289" s="14" t="n">
        <v>0.89</v>
      </c>
      <c r="I289" s="32" t="n">
        <v>-0.02</v>
      </c>
      <c r="J289" s="25" t="s">
        <v>86</v>
      </c>
      <c r="K289" s="22" t="s">
        <v>697</v>
      </c>
      <c r="L289" s="12" t="s">
        <v>1133</v>
      </c>
    </row>
    <row r="290" customFormat="false" ht="19.5" hidden="false" customHeight="true" outlineLevel="0" collapsed="false">
      <c r="A290" s="27" t="s">
        <v>1145</v>
      </c>
      <c r="B290" s="27" t="s">
        <v>586</v>
      </c>
      <c r="C290" s="9" t="s">
        <v>660</v>
      </c>
      <c r="D290" s="9" t="s">
        <v>588</v>
      </c>
      <c r="E290" s="27" t="s">
        <v>1132</v>
      </c>
      <c r="F290" s="27" t="s">
        <v>626</v>
      </c>
      <c r="G290" s="27" t="s">
        <v>976</v>
      </c>
      <c r="H290" s="11" t="n">
        <v>2.7</v>
      </c>
      <c r="I290" s="31" t="n">
        <v>-0.1</v>
      </c>
      <c r="J290" s="27" t="s">
        <v>86</v>
      </c>
      <c r="K290" s="23" t="s">
        <v>697</v>
      </c>
      <c r="L290" s="9" t="s">
        <v>1133</v>
      </c>
    </row>
    <row r="291" customFormat="false" ht="19.5" hidden="false" customHeight="true" outlineLevel="0" collapsed="false">
      <c r="A291" s="25" t="s">
        <v>1146</v>
      </c>
      <c r="B291" s="25" t="s">
        <v>557</v>
      </c>
      <c r="C291" s="12" t="s">
        <v>624</v>
      </c>
      <c r="D291" s="12" t="s">
        <v>559</v>
      </c>
      <c r="E291" s="25" t="s">
        <v>1147</v>
      </c>
      <c r="F291" s="25" t="s">
        <v>626</v>
      </c>
      <c r="G291" s="25" t="s">
        <v>976</v>
      </c>
      <c r="H291" s="14" t="n">
        <v>1.1</v>
      </c>
      <c r="I291" s="32" t="n">
        <v>0</v>
      </c>
      <c r="J291" s="25" t="s">
        <v>86</v>
      </c>
      <c r="K291" s="22" t="s">
        <v>713</v>
      </c>
      <c r="L291" s="12" t="s">
        <v>1148</v>
      </c>
    </row>
    <row r="292" customFormat="false" ht="19.5" hidden="false" customHeight="true" outlineLevel="0" collapsed="false">
      <c r="A292" s="27" t="s">
        <v>1149</v>
      </c>
      <c r="B292" s="27" t="s">
        <v>564</v>
      </c>
      <c r="C292" s="9" t="s">
        <v>630</v>
      </c>
      <c r="D292" s="9" t="s">
        <v>559</v>
      </c>
      <c r="E292" s="27" t="s">
        <v>1147</v>
      </c>
      <c r="F292" s="27" t="s">
        <v>626</v>
      </c>
      <c r="G292" s="27" t="s">
        <v>976</v>
      </c>
      <c r="H292" s="11" t="n">
        <v>1</v>
      </c>
      <c r="I292" s="31" t="n">
        <v>-0.2</v>
      </c>
      <c r="J292" s="27" t="s">
        <v>86</v>
      </c>
      <c r="K292" s="23" t="s">
        <v>713</v>
      </c>
      <c r="L292" s="9" t="s">
        <v>1148</v>
      </c>
    </row>
    <row r="293" customFormat="false" ht="19.5" hidden="false" customHeight="true" outlineLevel="0" collapsed="false">
      <c r="A293" s="25" t="s">
        <v>1150</v>
      </c>
      <c r="B293" s="25" t="s">
        <v>552</v>
      </c>
      <c r="C293" s="12" t="s">
        <v>633</v>
      </c>
      <c r="D293" s="12" t="s">
        <v>554</v>
      </c>
      <c r="E293" s="25" t="s">
        <v>1147</v>
      </c>
      <c r="F293" s="25" t="s">
        <v>626</v>
      </c>
      <c r="G293" s="25" t="s">
        <v>976</v>
      </c>
      <c r="H293" s="14" t="n">
        <v>1.3</v>
      </c>
      <c r="I293" s="32" t="n">
        <v>0</v>
      </c>
      <c r="J293" s="25" t="s">
        <v>86</v>
      </c>
      <c r="K293" s="22" t="s">
        <v>713</v>
      </c>
      <c r="L293" s="12" t="s">
        <v>1148</v>
      </c>
    </row>
    <row r="294" customFormat="false" ht="19.5" hidden="false" customHeight="true" outlineLevel="0" collapsed="false">
      <c r="A294" s="27" t="s">
        <v>1151</v>
      </c>
      <c r="B294" s="27" t="s">
        <v>411</v>
      </c>
      <c r="C294" s="9" t="s">
        <v>636</v>
      </c>
      <c r="D294" s="9" t="s">
        <v>554</v>
      </c>
      <c r="E294" s="27" t="s">
        <v>1147</v>
      </c>
      <c r="F294" s="27" t="s">
        <v>626</v>
      </c>
      <c r="G294" s="27" t="s">
        <v>976</v>
      </c>
      <c r="H294" s="11" t="n">
        <v>2.4</v>
      </c>
      <c r="I294" s="31" t="n">
        <v>-0.05</v>
      </c>
      <c r="J294" s="27" t="s">
        <v>86</v>
      </c>
      <c r="K294" s="23" t="s">
        <v>713</v>
      </c>
      <c r="L294" s="9" t="s">
        <v>1148</v>
      </c>
    </row>
    <row r="295" customFormat="false" ht="19.5" hidden="false" customHeight="true" outlineLevel="0" collapsed="false">
      <c r="A295" s="25" t="s">
        <v>1152</v>
      </c>
      <c r="B295" s="25" t="s">
        <v>377</v>
      </c>
      <c r="C295" s="12" t="s">
        <v>639</v>
      </c>
      <c r="D295" s="12" t="s">
        <v>260</v>
      </c>
      <c r="E295" s="25" t="s">
        <v>1147</v>
      </c>
      <c r="F295" s="25" t="s">
        <v>626</v>
      </c>
      <c r="G295" s="25" t="s">
        <v>976</v>
      </c>
      <c r="H295" s="14" t="n">
        <v>8.06</v>
      </c>
      <c r="I295" s="32" t="n">
        <v>0.71</v>
      </c>
      <c r="J295" s="25" t="s">
        <v>86</v>
      </c>
      <c r="K295" s="22" t="s">
        <v>713</v>
      </c>
      <c r="L295" s="12" t="s">
        <v>1148</v>
      </c>
    </row>
    <row r="296" customFormat="false" ht="19.5" hidden="false" customHeight="true" outlineLevel="0" collapsed="false">
      <c r="A296" s="27" t="s">
        <v>1153</v>
      </c>
      <c r="B296" s="27" t="s">
        <v>576</v>
      </c>
      <c r="C296" s="9" t="s">
        <v>642</v>
      </c>
      <c r="D296" s="9" t="s">
        <v>344</v>
      </c>
      <c r="E296" s="27" t="s">
        <v>1147</v>
      </c>
      <c r="F296" s="27" t="s">
        <v>626</v>
      </c>
      <c r="G296" s="27" t="s">
        <v>976</v>
      </c>
      <c r="H296" s="11" t="n">
        <v>2.5</v>
      </c>
      <c r="I296" s="31" t="n">
        <v>0.1</v>
      </c>
      <c r="J296" s="27" t="s">
        <v>86</v>
      </c>
      <c r="K296" s="23" t="s">
        <v>713</v>
      </c>
      <c r="L296" s="9" t="s">
        <v>1148</v>
      </c>
    </row>
    <row r="297" customFormat="false" ht="19.5" hidden="false" customHeight="true" outlineLevel="0" collapsed="false">
      <c r="A297" s="25" t="s">
        <v>1154</v>
      </c>
      <c r="B297" s="25" t="s">
        <v>570</v>
      </c>
      <c r="C297" s="12" t="s">
        <v>645</v>
      </c>
      <c r="D297" s="12" t="s">
        <v>344</v>
      </c>
      <c r="E297" s="25" t="s">
        <v>1147</v>
      </c>
      <c r="F297" s="25" t="s">
        <v>626</v>
      </c>
      <c r="G297" s="25" t="s">
        <v>976</v>
      </c>
      <c r="H297" s="14" t="n">
        <v>8.1</v>
      </c>
      <c r="I297" s="32" t="n">
        <v>1</v>
      </c>
      <c r="J297" s="25" t="s">
        <v>86</v>
      </c>
      <c r="K297" s="22" t="s">
        <v>713</v>
      </c>
      <c r="L297" s="12" t="s">
        <v>1148</v>
      </c>
    </row>
    <row r="298" customFormat="false" ht="19.5" hidden="false" customHeight="true" outlineLevel="0" collapsed="false">
      <c r="A298" s="27" t="s">
        <v>1155</v>
      </c>
      <c r="B298" s="27" t="s">
        <v>266</v>
      </c>
      <c r="C298" s="9" t="s">
        <v>648</v>
      </c>
      <c r="D298" s="9" t="s">
        <v>260</v>
      </c>
      <c r="E298" s="27" t="s">
        <v>1147</v>
      </c>
      <c r="F298" s="27" t="s">
        <v>626</v>
      </c>
      <c r="G298" s="27" t="s">
        <v>976</v>
      </c>
      <c r="H298" s="11" t="n">
        <v>0.2</v>
      </c>
      <c r="I298" s="31" t="n">
        <v>0.06</v>
      </c>
      <c r="J298" s="27" t="s">
        <v>86</v>
      </c>
      <c r="K298" s="23" t="s">
        <v>713</v>
      </c>
      <c r="L298" s="9" t="s">
        <v>1148</v>
      </c>
    </row>
    <row r="299" customFormat="false" ht="19.5" hidden="false" customHeight="true" outlineLevel="0" collapsed="false">
      <c r="A299" s="25" t="s">
        <v>1156</v>
      </c>
      <c r="B299" s="25" t="s">
        <v>533</v>
      </c>
      <c r="C299" s="12" t="s">
        <v>651</v>
      </c>
      <c r="D299" s="12" t="s">
        <v>260</v>
      </c>
      <c r="E299" s="25" t="s">
        <v>1147</v>
      </c>
      <c r="F299" s="25" t="s">
        <v>626</v>
      </c>
      <c r="G299" s="25" t="s">
        <v>976</v>
      </c>
      <c r="H299" s="14" t="n">
        <v>5.1</v>
      </c>
      <c r="I299" s="32" t="n">
        <v>1.9</v>
      </c>
      <c r="J299" s="25" t="s">
        <v>86</v>
      </c>
      <c r="K299" s="22" t="s">
        <v>713</v>
      </c>
      <c r="L299" s="12" t="s">
        <v>1148</v>
      </c>
    </row>
    <row r="300" customFormat="false" ht="19.5" hidden="false" customHeight="true" outlineLevel="0" collapsed="false">
      <c r="A300" s="27" t="s">
        <v>1157</v>
      </c>
      <c r="B300" s="27" t="s">
        <v>540</v>
      </c>
      <c r="C300" s="9" t="s">
        <v>654</v>
      </c>
      <c r="D300" s="9" t="s">
        <v>260</v>
      </c>
      <c r="E300" s="27" t="s">
        <v>1147</v>
      </c>
      <c r="F300" s="27" t="s">
        <v>626</v>
      </c>
      <c r="G300" s="27" t="s">
        <v>976</v>
      </c>
      <c r="H300" s="11" t="n">
        <v>0.3</v>
      </c>
      <c r="I300" s="31" t="n">
        <v>0</v>
      </c>
      <c r="J300" s="27" t="s">
        <v>86</v>
      </c>
      <c r="K300" s="23" t="s">
        <v>713</v>
      </c>
      <c r="L300" s="9" t="s">
        <v>1148</v>
      </c>
    </row>
    <row r="301" customFormat="false" ht="19.5" hidden="false" customHeight="true" outlineLevel="0" collapsed="false">
      <c r="A301" s="25" t="s">
        <v>1158</v>
      </c>
      <c r="B301" s="25" t="s">
        <v>276</v>
      </c>
      <c r="C301" s="12" t="s">
        <v>676</v>
      </c>
      <c r="D301" s="12" t="s">
        <v>260</v>
      </c>
      <c r="E301" s="25" t="s">
        <v>1147</v>
      </c>
      <c r="F301" s="25" t="s">
        <v>626</v>
      </c>
      <c r="G301" s="25" t="s">
        <v>976</v>
      </c>
      <c r="H301" s="14" t="n">
        <v>0</v>
      </c>
      <c r="I301" s="32" t="n">
        <v>0</v>
      </c>
      <c r="J301" s="25" t="s">
        <v>86</v>
      </c>
      <c r="K301" s="22" t="s">
        <v>713</v>
      </c>
      <c r="L301" s="12" t="s">
        <v>1148</v>
      </c>
    </row>
    <row r="302" customFormat="false" ht="19.5" hidden="false" customHeight="true" outlineLevel="0" collapsed="false">
      <c r="A302" s="27" t="s">
        <v>1159</v>
      </c>
      <c r="B302" s="27" t="s">
        <v>257</v>
      </c>
      <c r="C302" s="9" t="s">
        <v>657</v>
      </c>
      <c r="D302" s="9" t="s">
        <v>260</v>
      </c>
      <c r="E302" s="27" t="s">
        <v>1147</v>
      </c>
      <c r="F302" s="27" t="s">
        <v>626</v>
      </c>
      <c r="G302" s="27" t="s">
        <v>976</v>
      </c>
      <c r="H302" s="11" t="n">
        <v>1.1</v>
      </c>
      <c r="I302" s="31" t="n">
        <v>0.21</v>
      </c>
      <c r="J302" s="27" t="s">
        <v>86</v>
      </c>
      <c r="K302" s="23" t="s">
        <v>713</v>
      </c>
      <c r="L302" s="9" t="s">
        <v>1148</v>
      </c>
    </row>
    <row r="303" customFormat="false" ht="19.5" hidden="false" customHeight="true" outlineLevel="0" collapsed="false">
      <c r="A303" s="25" t="s">
        <v>1160</v>
      </c>
      <c r="B303" s="25" t="s">
        <v>586</v>
      </c>
      <c r="C303" s="12" t="s">
        <v>660</v>
      </c>
      <c r="D303" s="12" t="s">
        <v>588</v>
      </c>
      <c r="E303" s="25" t="s">
        <v>1147</v>
      </c>
      <c r="F303" s="25" t="s">
        <v>626</v>
      </c>
      <c r="G303" s="25" t="s">
        <v>976</v>
      </c>
      <c r="H303" s="14" t="n">
        <v>2.3</v>
      </c>
      <c r="I303" s="32" t="n">
        <v>-0.4</v>
      </c>
      <c r="J303" s="25" t="s">
        <v>86</v>
      </c>
      <c r="K303" s="22" t="s">
        <v>713</v>
      </c>
      <c r="L303" s="12" t="s">
        <v>1148</v>
      </c>
    </row>
    <row r="304" customFormat="false" ht="19.5" hidden="false" customHeight="true" outlineLevel="0" collapsed="false">
      <c r="A304" s="27" t="s">
        <v>1161</v>
      </c>
      <c r="B304" s="27" t="s">
        <v>557</v>
      </c>
      <c r="C304" s="9" t="s">
        <v>624</v>
      </c>
      <c r="D304" s="9" t="s">
        <v>559</v>
      </c>
      <c r="E304" s="27" t="s">
        <v>1162</v>
      </c>
      <c r="F304" s="27" t="s">
        <v>626</v>
      </c>
      <c r="G304" s="27" t="s">
        <v>976</v>
      </c>
      <c r="H304" s="11" t="n">
        <v>1</v>
      </c>
      <c r="I304" s="31" t="n">
        <v>-0.1</v>
      </c>
      <c r="J304" s="27" t="s">
        <v>86</v>
      </c>
      <c r="K304" s="23" t="s">
        <v>729</v>
      </c>
      <c r="L304" s="9" t="s">
        <v>1163</v>
      </c>
    </row>
    <row r="305" customFormat="false" ht="19.5" hidden="false" customHeight="true" outlineLevel="0" collapsed="false">
      <c r="A305" s="25" t="s">
        <v>1164</v>
      </c>
      <c r="B305" s="25" t="s">
        <v>564</v>
      </c>
      <c r="C305" s="12" t="s">
        <v>630</v>
      </c>
      <c r="D305" s="12" t="s">
        <v>559</v>
      </c>
      <c r="E305" s="25" t="s">
        <v>1162</v>
      </c>
      <c r="F305" s="25" t="s">
        <v>626</v>
      </c>
      <c r="G305" s="25" t="s">
        <v>976</v>
      </c>
      <c r="H305" s="14" t="n">
        <v>0.9</v>
      </c>
      <c r="I305" s="32" t="n">
        <v>-0.1</v>
      </c>
      <c r="J305" s="25" t="s">
        <v>86</v>
      </c>
      <c r="K305" s="22" t="s">
        <v>729</v>
      </c>
      <c r="L305" s="12" t="s">
        <v>1163</v>
      </c>
    </row>
    <row r="306" customFormat="false" ht="19.5" hidden="false" customHeight="true" outlineLevel="0" collapsed="false">
      <c r="A306" s="27" t="s">
        <v>1165</v>
      </c>
      <c r="B306" s="27" t="s">
        <v>552</v>
      </c>
      <c r="C306" s="9" t="s">
        <v>633</v>
      </c>
      <c r="D306" s="9" t="s">
        <v>554</v>
      </c>
      <c r="E306" s="27" t="s">
        <v>1162</v>
      </c>
      <c r="F306" s="27" t="s">
        <v>626</v>
      </c>
      <c r="G306" s="27" t="s">
        <v>976</v>
      </c>
      <c r="H306" s="11" t="n">
        <v>1.3</v>
      </c>
      <c r="I306" s="31" t="n">
        <v>0</v>
      </c>
      <c r="J306" s="27" t="s">
        <v>86</v>
      </c>
      <c r="K306" s="23" t="s">
        <v>729</v>
      </c>
      <c r="L306" s="9" t="s">
        <v>1163</v>
      </c>
    </row>
    <row r="307" customFormat="false" ht="19.5" hidden="false" customHeight="true" outlineLevel="0" collapsed="false">
      <c r="A307" s="25" t="s">
        <v>1166</v>
      </c>
      <c r="B307" s="25" t="s">
        <v>411</v>
      </c>
      <c r="C307" s="12" t="s">
        <v>636</v>
      </c>
      <c r="D307" s="12" t="s">
        <v>554</v>
      </c>
      <c r="E307" s="25" t="s">
        <v>1162</v>
      </c>
      <c r="F307" s="25" t="s">
        <v>626</v>
      </c>
      <c r="G307" s="25" t="s">
        <v>976</v>
      </c>
      <c r="H307" s="14" t="n">
        <v>2.4</v>
      </c>
      <c r="I307" s="32" t="n">
        <v>0</v>
      </c>
      <c r="J307" s="25" t="s">
        <v>86</v>
      </c>
      <c r="K307" s="22" t="s">
        <v>729</v>
      </c>
      <c r="L307" s="12" t="s">
        <v>1163</v>
      </c>
    </row>
    <row r="308" customFormat="false" ht="19.5" hidden="false" customHeight="true" outlineLevel="0" collapsed="false">
      <c r="A308" s="27" t="s">
        <v>1167</v>
      </c>
      <c r="B308" s="27" t="s">
        <v>377</v>
      </c>
      <c r="C308" s="9" t="s">
        <v>639</v>
      </c>
      <c r="D308" s="9" t="s">
        <v>260</v>
      </c>
      <c r="E308" s="27" t="s">
        <v>1162</v>
      </c>
      <c r="F308" s="27" t="s">
        <v>626</v>
      </c>
      <c r="G308" s="27" t="s">
        <v>976</v>
      </c>
      <c r="H308" s="11" t="n">
        <v>8.7</v>
      </c>
      <c r="I308" s="31" t="n">
        <v>0.64</v>
      </c>
      <c r="J308" s="27" t="s">
        <v>86</v>
      </c>
      <c r="K308" s="23" t="s">
        <v>729</v>
      </c>
      <c r="L308" s="9" t="s">
        <v>1163</v>
      </c>
    </row>
    <row r="309" customFormat="false" ht="19.5" hidden="false" customHeight="true" outlineLevel="0" collapsed="false">
      <c r="A309" s="25" t="s">
        <v>1168</v>
      </c>
      <c r="B309" s="25" t="s">
        <v>576</v>
      </c>
      <c r="C309" s="12" t="s">
        <v>642</v>
      </c>
      <c r="D309" s="12" t="s">
        <v>344</v>
      </c>
      <c r="E309" s="25" t="s">
        <v>1162</v>
      </c>
      <c r="F309" s="25" t="s">
        <v>626</v>
      </c>
      <c r="G309" s="25" t="s">
        <v>976</v>
      </c>
      <c r="H309" s="14" t="n">
        <v>2.6</v>
      </c>
      <c r="I309" s="32" t="n">
        <v>0.1</v>
      </c>
      <c r="J309" s="25" t="s">
        <v>86</v>
      </c>
      <c r="K309" s="22" t="s">
        <v>729</v>
      </c>
      <c r="L309" s="12" t="s">
        <v>1163</v>
      </c>
    </row>
    <row r="310" customFormat="false" ht="19.5" hidden="false" customHeight="true" outlineLevel="0" collapsed="false">
      <c r="A310" s="27" t="s">
        <v>1169</v>
      </c>
      <c r="B310" s="27" t="s">
        <v>570</v>
      </c>
      <c r="C310" s="9" t="s">
        <v>645</v>
      </c>
      <c r="D310" s="9" t="s">
        <v>344</v>
      </c>
      <c r="E310" s="27" t="s">
        <v>1162</v>
      </c>
      <c r="F310" s="27" t="s">
        <v>626</v>
      </c>
      <c r="G310" s="27" t="s">
        <v>976</v>
      </c>
      <c r="H310" s="11" t="n">
        <v>9</v>
      </c>
      <c r="I310" s="31" t="n">
        <v>0.9</v>
      </c>
      <c r="J310" s="27" t="s">
        <v>86</v>
      </c>
      <c r="K310" s="23" t="s">
        <v>729</v>
      </c>
      <c r="L310" s="9" t="s">
        <v>1163</v>
      </c>
    </row>
    <row r="311" customFormat="false" ht="19.5" hidden="false" customHeight="true" outlineLevel="0" collapsed="false">
      <c r="A311" s="25" t="s">
        <v>1170</v>
      </c>
      <c r="B311" s="25" t="s">
        <v>266</v>
      </c>
      <c r="C311" s="12" t="s">
        <v>648</v>
      </c>
      <c r="D311" s="12" t="s">
        <v>260</v>
      </c>
      <c r="E311" s="25" t="s">
        <v>1162</v>
      </c>
      <c r="F311" s="25" t="s">
        <v>626</v>
      </c>
      <c r="G311" s="25" t="s">
        <v>976</v>
      </c>
      <c r="H311" s="14" t="n">
        <v>0.2</v>
      </c>
      <c r="I311" s="32" t="n">
        <v>0</v>
      </c>
      <c r="J311" s="25" t="s">
        <v>86</v>
      </c>
      <c r="K311" s="22" t="s">
        <v>729</v>
      </c>
      <c r="L311" s="12" t="s">
        <v>1163</v>
      </c>
    </row>
    <row r="312" customFormat="false" ht="19.5" hidden="false" customHeight="true" outlineLevel="0" collapsed="false">
      <c r="A312" s="27" t="s">
        <v>1171</v>
      </c>
      <c r="B312" s="27" t="s">
        <v>533</v>
      </c>
      <c r="C312" s="9" t="s">
        <v>651</v>
      </c>
      <c r="D312" s="9" t="s">
        <v>260</v>
      </c>
      <c r="E312" s="27" t="s">
        <v>1162</v>
      </c>
      <c r="F312" s="27" t="s">
        <v>626</v>
      </c>
      <c r="G312" s="27" t="s">
        <v>976</v>
      </c>
      <c r="H312" s="11" t="n">
        <v>5.7</v>
      </c>
      <c r="I312" s="31" t="n">
        <v>0.6</v>
      </c>
      <c r="J312" s="27" t="s">
        <v>86</v>
      </c>
      <c r="K312" s="23" t="s">
        <v>729</v>
      </c>
      <c r="L312" s="9" t="s">
        <v>1163</v>
      </c>
    </row>
    <row r="313" customFormat="false" ht="19.5" hidden="false" customHeight="true" outlineLevel="0" collapsed="false">
      <c r="A313" s="25" t="s">
        <v>1172</v>
      </c>
      <c r="B313" s="25" t="s">
        <v>540</v>
      </c>
      <c r="C313" s="12" t="s">
        <v>654</v>
      </c>
      <c r="D313" s="12" t="s">
        <v>260</v>
      </c>
      <c r="E313" s="25" t="s">
        <v>1162</v>
      </c>
      <c r="F313" s="25" t="s">
        <v>626</v>
      </c>
      <c r="G313" s="25" t="s">
        <v>976</v>
      </c>
      <c r="H313" s="14" t="n">
        <v>0.4</v>
      </c>
      <c r="I313" s="32" t="n">
        <v>0.1</v>
      </c>
      <c r="J313" s="25" t="s">
        <v>86</v>
      </c>
      <c r="K313" s="22" t="s">
        <v>729</v>
      </c>
      <c r="L313" s="12" t="s">
        <v>1163</v>
      </c>
    </row>
    <row r="314" customFormat="false" ht="19.5" hidden="false" customHeight="true" outlineLevel="0" collapsed="false">
      <c r="A314" s="27" t="s">
        <v>1173</v>
      </c>
      <c r="B314" s="27" t="s">
        <v>276</v>
      </c>
      <c r="C314" s="9" t="s">
        <v>676</v>
      </c>
      <c r="D314" s="9" t="s">
        <v>260</v>
      </c>
      <c r="E314" s="27" t="s">
        <v>1162</v>
      </c>
      <c r="F314" s="27" t="s">
        <v>626</v>
      </c>
      <c r="G314" s="27" t="s">
        <v>976</v>
      </c>
      <c r="H314" s="11" t="n">
        <v>0</v>
      </c>
      <c r="I314" s="31" t="n">
        <v>0</v>
      </c>
      <c r="J314" s="27" t="s">
        <v>86</v>
      </c>
      <c r="K314" s="23" t="s">
        <v>729</v>
      </c>
      <c r="L314" s="9" t="s">
        <v>1163</v>
      </c>
    </row>
    <row r="315" customFormat="false" ht="19.5" hidden="false" customHeight="true" outlineLevel="0" collapsed="false">
      <c r="A315" s="25" t="s">
        <v>1174</v>
      </c>
      <c r="B315" s="25" t="s">
        <v>257</v>
      </c>
      <c r="C315" s="12" t="s">
        <v>657</v>
      </c>
      <c r="D315" s="12" t="s">
        <v>260</v>
      </c>
      <c r="E315" s="25" t="s">
        <v>1162</v>
      </c>
      <c r="F315" s="25" t="s">
        <v>626</v>
      </c>
      <c r="G315" s="25" t="s">
        <v>976</v>
      </c>
      <c r="H315" s="14" t="n">
        <v>1.1</v>
      </c>
      <c r="I315" s="32" t="n">
        <v>0</v>
      </c>
      <c r="J315" s="25" t="s">
        <v>86</v>
      </c>
      <c r="K315" s="22" t="s">
        <v>729</v>
      </c>
      <c r="L315" s="12" t="s">
        <v>1163</v>
      </c>
    </row>
    <row r="316" customFormat="false" ht="19.5" hidden="false" customHeight="true" outlineLevel="0" collapsed="false">
      <c r="A316" s="27" t="s">
        <v>1175</v>
      </c>
      <c r="B316" s="27" t="s">
        <v>586</v>
      </c>
      <c r="C316" s="9" t="s">
        <v>660</v>
      </c>
      <c r="D316" s="9" t="s">
        <v>588</v>
      </c>
      <c r="E316" s="27" t="s">
        <v>1162</v>
      </c>
      <c r="F316" s="27" t="s">
        <v>626</v>
      </c>
      <c r="G316" s="27" t="s">
        <v>976</v>
      </c>
      <c r="H316" s="11" t="n">
        <v>1.9</v>
      </c>
      <c r="I316" s="31" t="n">
        <v>-0.4</v>
      </c>
      <c r="J316" s="27" t="s">
        <v>86</v>
      </c>
      <c r="K316" s="23" t="s">
        <v>729</v>
      </c>
      <c r="L316" s="9" t="s">
        <v>1163</v>
      </c>
    </row>
    <row r="317" customFormat="false" ht="19.5" hidden="false" customHeight="true" outlineLevel="0" collapsed="false">
      <c r="A317" s="25" t="s">
        <v>1176</v>
      </c>
      <c r="B317" s="25" t="s">
        <v>557</v>
      </c>
      <c r="C317" s="12" t="s">
        <v>624</v>
      </c>
      <c r="D317" s="12" t="s">
        <v>559</v>
      </c>
      <c r="E317" s="25" t="s">
        <v>1177</v>
      </c>
      <c r="F317" s="25" t="s">
        <v>626</v>
      </c>
      <c r="G317" s="25" t="s">
        <v>1002</v>
      </c>
      <c r="H317" s="14" t="n">
        <v>0.9</v>
      </c>
      <c r="I317" s="29"/>
      <c r="J317" s="25" t="s">
        <v>86</v>
      </c>
      <c r="K317" s="22" t="s">
        <v>197</v>
      </c>
      <c r="L317" s="12" t="s">
        <v>1178</v>
      </c>
    </row>
    <row r="318" customFormat="false" ht="19.5" hidden="false" customHeight="true" outlineLevel="0" collapsed="false">
      <c r="A318" s="27" t="s">
        <v>1179</v>
      </c>
      <c r="B318" s="27" t="s">
        <v>564</v>
      </c>
      <c r="C318" s="9" t="s">
        <v>630</v>
      </c>
      <c r="D318" s="9" t="s">
        <v>559</v>
      </c>
      <c r="E318" s="27" t="s">
        <v>1177</v>
      </c>
      <c r="F318" s="27" t="s">
        <v>626</v>
      </c>
      <c r="G318" s="27" t="s">
        <v>1002</v>
      </c>
      <c r="H318" s="11" t="n">
        <v>0.73</v>
      </c>
      <c r="I318" s="30"/>
      <c r="J318" s="27" t="s">
        <v>86</v>
      </c>
      <c r="K318" s="23" t="s">
        <v>197</v>
      </c>
      <c r="L318" s="9" t="s">
        <v>1178</v>
      </c>
    </row>
    <row r="319" customFormat="false" ht="19.5" hidden="false" customHeight="true" outlineLevel="0" collapsed="false">
      <c r="A319" s="25" t="s">
        <v>1180</v>
      </c>
      <c r="B319" s="25" t="s">
        <v>552</v>
      </c>
      <c r="C319" s="12" t="s">
        <v>633</v>
      </c>
      <c r="D319" s="12" t="s">
        <v>554</v>
      </c>
      <c r="E319" s="25" t="s">
        <v>1177</v>
      </c>
      <c r="F319" s="25" t="s">
        <v>626</v>
      </c>
      <c r="G319" s="25" t="s">
        <v>1002</v>
      </c>
      <c r="H319" s="14" t="n">
        <v>1.3</v>
      </c>
      <c r="I319" s="29"/>
      <c r="J319" s="25" t="s">
        <v>86</v>
      </c>
      <c r="K319" s="22" t="s">
        <v>197</v>
      </c>
      <c r="L319" s="12" t="s">
        <v>1178</v>
      </c>
    </row>
    <row r="320" customFormat="false" ht="19.5" hidden="false" customHeight="true" outlineLevel="0" collapsed="false">
      <c r="A320" s="27" t="s">
        <v>1181</v>
      </c>
      <c r="B320" s="27" t="s">
        <v>411</v>
      </c>
      <c r="C320" s="9" t="s">
        <v>636</v>
      </c>
      <c r="D320" s="9" t="s">
        <v>554</v>
      </c>
      <c r="E320" s="27" t="s">
        <v>1177</v>
      </c>
      <c r="F320" s="27" t="s">
        <v>626</v>
      </c>
      <c r="G320" s="27" t="s">
        <v>1002</v>
      </c>
      <c r="H320" s="11" t="n">
        <v>4.93</v>
      </c>
      <c r="I320" s="30"/>
      <c r="J320" s="27" t="s">
        <v>86</v>
      </c>
      <c r="K320" s="23" t="s">
        <v>197</v>
      </c>
      <c r="L320" s="9" t="s">
        <v>1178</v>
      </c>
    </row>
    <row r="321" customFormat="false" ht="19.5" hidden="false" customHeight="true" outlineLevel="0" collapsed="false">
      <c r="A321" s="25" t="s">
        <v>1182</v>
      </c>
      <c r="B321" s="25" t="s">
        <v>377</v>
      </c>
      <c r="C321" s="12" t="s">
        <v>639</v>
      </c>
      <c r="D321" s="12" t="s">
        <v>260</v>
      </c>
      <c r="E321" s="25" t="s">
        <v>1177</v>
      </c>
      <c r="F321" s="25" t="s">
        <v>626</v>
      </c>
      <c r="G321" s="25" t="s">
        <v>1002</v>
      </c>
      <c r="H321" s="14" t="n">
        <v>3.43</v>
      </c>
      <c r="I321" s="29"/>
      <c r="J321" s="25" t="s">
        <v>86</v>
      </c>
      <c r="K321" s="22" t="s">
        <v>197</v>
      </c>
      <c r="L321" s="12" t="s">
        <v>1178</v>
      </c>
    </row>
    <row r="322" customFormat="false" ht="19.5" hidden="false" customHeight="true" outlineLevel="0" collapsed="false">
      <c r="A322" s="27" t="s">
        <v>1183</v>
      </c>
      <c r="B322" s="27" t="s">
        <v>576</v>
      </c>
      <c r="C322" s="9" t="s">
        <v>642</v>
      </c>
      <c r="D322" s="9" t="s">
        <v>344</v>
      </c>
      <c r="E322" s="27" t="s">
        <v>1177</v>
      </c>
      <c r="F322" s="27" t="s">
        <v>626</v>
      </c>
      <c r="G322" s="27" t="s">
        <v>1002</v>
      </c>
      <c r="H322" s="11" t="n">
        <v>1.3</v>
      </c>
      <c r="I322" s="30"/>
      <c r="J322" s="27" t="s">
        <v>86</v>
      </c>
      <c r="K322" s="23" t="s">
        <v>197</v>
      </c>
      <c r="L322" s="9" t="s">
        <v>1178</v>
      </c>
    </row>
    <row r="323" customFormat="false" ht="19.5" hidden="false" customHeight="true" outlineLevel="0" collapsed="false">
      <c r="A323" s="25" t="s">
        <v>1184</v>
      </c>
      <c r="B323" s="25" t="s">
        <v>570</v>
      </c>
      <c r="C323" s="12" t="s">
        <v>645</v>
      </c>
      <c r="D323" s="12" t="s">
        <v>344</v>
      </c>
      <c r="E323" s="25" t="s">
        <v>1177</v>
      </c>
      <c r="F323" s="25" t="s">
        <v>626</v>
      </c>
      <c r="G323" s="25" t="s">
        <v>1002</v>
      </c>
      <c r="H323" s="14" t="n">
        <v>3.2</v>
      </c>
      <c r="I323" s="29"/>
      <c r="J323" s="25" t="s">
        <v>86</v>
      </c>
      <c r="K323" s="22" t="s">
        <v>197</v>
      </c>
      <c r="L323" s="12" t="s">
        <v>1178</v>
      </c>
    </row>
    <row r="324" customFormat="false" ht="19.5" hidden="false" customHeight="true" outlineLevel="0" collapsed="false">
      <c r="A324" s="27" t="s">
        <v>1185</v>
      </c>
      <c r="B324" s="27" t="s">
        <v>266</v>
      </c>
      <c r="C324" s="9" t="s">
        <v>648</v>
      </c>
      <c r="D324" s="9" t="s">
        <v>260</v>
      </c>
      <c r="E324" s="27" t="s">
        <v>1177</v>
      </c>
      <c r="F324" s="27" t="s">
        <v>626</v>
      </c>
      <c r="G324" s="27" t="s">
        <v>1002</v>
      </c>
      <c r="H324" s="11" t="n">
        <v>0.68</v>
      </c>
      <c r="I324" s="30"/>
      <c r="J324" s="27" t="s">
        <v>86</v>
      </c>
      <c r="K324" s="23" t="s">
        <v>197</v>
      </c>
      <c r="L324" s="9" t="s">
        <v>1178</v>
      </c>
    </row>
    <row r="325" customFormat="false" ht="19.5" hidden="false" customHeight="true" outlineLevel="0" collapsed="false">
      <c r="A325" s="25" t="s">
        <v>1186</v>
      </c>
      <c r="B325" s="25" t="s">
        <v>533</v>
      </c>
      <c r="C325" s="12" t="s">
        <v>651</v>
      </c>
      <c r="D325" s="12" t="s">
        <v>260</v>
      </c>
      <c r="E325" s="25" t="s">
        <v>1177</v>
      </c>
      <c r="F325" s="25" t="s">
        <v>626</v>
      </c>
      <c r="G325" s="25" t="s">
        <v>1002</v>
      </c>
      <c r="H325" s="14" t="n">
        <v>4.1</v>
      </c>
      <c r="I325" s="29"/>
      <c r="J325" s="25" t="s">
        <v>86</v>
      </c>
      <c r="K325" s="22" t="s">
        <v>197</v>
      </c>
      <c r="L325" s="12" t="s">
        <v>1178</v>
      </c>
    </row>
    <row r="326" customFormat="false" ht="19.5" hidden="false" customHeight="true" outlineLevel="0" collapsed="false">
      <c r="A326" s="27" t="s">
        <v>1187</v>
      </c>
      <c r="B326" s="27" t="s">
        <v>540</v>
      </c>
      <c r="C326" s="9" t="s">
        <v>654</v>
      </c>
      <c r="D326" s="9" t="s">
        <v>260</v>
      </c>
      <c r="E326" s="27" t="s">
        <v>1177</v>
      </c>
      <c r="F326" s="27" t="s">
        <v>626</v>
      </c>
      <c r="G326" s="27" t="s">
        <v>1002</v>
      </c>
      <c r="H326" s="11" t="n">
        <v>1.2</v>
      </c>
      <c r="I326" s="30"/>
      <c r="J326" s="27" t="s">
        <v>86</v>
      </c>
      <c r="K326" s="23" t="s">
        <v>197</v>
      </c>
      <c r="L326" s="9" t="s">
        <v>1178</v>
      </c>
    </row>
    <row r="327" customFormat="false" ht="19.5" hidden="false" customHeight="true" outlineLevel="0" collapsed="false">
      <c r="A327" s="25" t="s">
        <v>1188</v>
      </c>
      <c r="B327" s="25" t="s">
        <v>276</v>
      </c>
      <c r="C327" s="12" t="s">
        <v>676</v>
      </c>
      <c r="D327" s="12" t="s">
        <v>260</v>
      </c>
      <c r="E327" s="25" t="s">
        <v>1177</v>
      </c>
      <c r="F327" s="25" t="s">
        <v>626</v>
      </c>
      <c r="G327" s="25" t="s">
        <v>1002</v>
      </c>
      <c r="H327" s="14" t="n">
        <v>0.45</v>
      </c>
      <c r="I327" s="29"/>
      <c r="J327" s="25" t="s">
        <v>113</v>
      </c>
      <c r="K327" s="22" t="s">
        <v>1189</v>
      </c>
      <c r="L327" s="12" t="s">
        <v>1190</v>
      </c>
    </row>
    <row r="328" customFormat="false" ht="19.5" hidden="false" customHeight="true" outlineLevel="0" collapsed="false">
      <c r="A328" s="27" t="s">
        <v>1191</v>
      </c>
      <c r="B328" s="27" t="s">
        <v>257</v>
      </c>
      <c r="C328" s="9" t="s">
        <v>657</v>
      </c>
      <c r="D328" s="9" t="s">
        <v>260</v>
      </c>
      <c r="E328" s="27" t="s">
        <v>1177</v>
      </c>
      <c r="F328" s="27" t="s">
        <v>626</v>
      </c>
      <c r="G328" s="27" t="s">
        <v>1002</v>
      </c>
      <c r="H328" s="11" t="n">
        <v>2.54</v>
      </c>
      <c r="I328" s="30"/>
      <c r="J328" s="27" t="s">
        <v>86</v>
      </c>
      <c r="K328" s="23" t="s">
        <v>197</v>
      </c>
      <c r="L328" s="9" t="s">
        <v>1178</v>
      </c>
    </row>
    <row r="329" customFormat="false" ht="19.5" hidden="false" customHeight="true" outlineLevel="0" collapsed="false">
      <c r="A329" s="25" t="s">
        <v>1192</v>
      </c>
      <c r="B329" s="25" t="s">
        <v>586</v>
      </c>
      <c r="C329" s="12" t="s">
        <v>660</v>
      </c>
      <c r="D329" s="12" t="s">
        <v>588</v>
      </c>
      <c r="E329" s="25" t="s">
        <v>1177</v>
      </c>
      <c r="F329" s="25" t="s">
        <v>626</v>
      </c>
      <c r="G329" s="25" t="s">
        <v>1002</v>
      </c>
      <c r="H329" s="14" t="n">
        <v>0.2</v>
      </c>
      <c r="I329" s="29"/>
      <c r="J329" s="25" t="s">
        <v>86</v>
      </c>
      <c r="K329" s="22" t="s">
        <v>197</v>
      </c>
      <c r="L329" s="12" t="s">
        <v>1178</v>
      </c>
    </row>
    <row r="330" customFormat="false" ht="19.5" hidden="false" customHeight="true" outlineLevel="0" collapsed="false">
      <c r="A330" s="27" t="s">
        <v>1193</v>
      </c>
      <c r="B330" s="27" t="s">
        <v>557</v>
      </c>
      <c r="C330" s="9" t="s">
        <v>624</v>
      </c>
      <c r="D330" s="9" t="s">
        <v>559</v>
      </c>
      <c r="E330" s="27" t="s">
        <v>1194</v>
      </c>
      <c r="F330" s="27" t="s">
        <v>626</v>
      </c>
      <c r="G330" s="27" t="s">
        <v>1002</v>
      </c>
      <c r="H330" s="11" t="n">
        <v>1.2</v>
      </c>
      <c r="I330" s="31" t="n">
        <v>0.3</v>
      </c>
      <c r="J330" s="27" t="s">
        <v>86</v>
      </c>
      <c r="K330" s="23" t="s">
        <v>197</v>
      </c>
      <c r="L330" s="9" t="s">
        <v>1195</v>
      </c>
    </row>
    <row r="331" customFormat="false" ht="19.5" hidden="false" customHeight="true" outlineLevel="0" collapsed="false">
      <c r="A331" s="25" t="s">
        <v>1196</v>
      </c>
      <c r="B331" s="25" t="s">
        <v>564</v>
      </c>
      <c r="C331" s="12" t="s">
        <v>630</v>
      </c>
      <c r="D331" s="12" t="s">
        <v>559</v>
      </c>
      <c r="E331" s="25" t="s">
        <v>1194</v>
      </c>
      <c r="F331" s="25" t="s">
        <v>626</v>
      </c>
      <c r="G331" s="25" t="s">
        <v>1002</v>
      </c>
      <c r="H331" s="14" t="n">
        <v>0.95</v>
      </c>
      <c r="I331" s="32" t="n">
        <v>0.22</v>
      </c>
      <c r="J331" s="25" t="s">
        <v>86</v>
      </c>
      <c r="K331" s="22" t="s">
        <v>197</v>
      </c>
      <c r="L331" s="12" t="s">
        <v>1195</v>
      </c>
    </row>
    <row r="332" customFormat="false" ht="19.5" hidden="false" customHeight="true" outlineLevel="0" collapsed="false">
      <c r="A332" s="27" t="s">
        <v>1197</v>
      </c>
      <c r="B332" s="27" t="s">
        <v>552</v>
      </c>
      <c r="C332" s="9" t="s">
        <v>633</v>
      </c>
      <c r="D332" s="9" t="s">
        <v>554</v>
      </c>
      <c r="E332" s="27" t="s">
        <v>1194</v>
      </c>
      <c r="F332" s="27" t="s">
        <v>626</v>
      </c>
      <c r="G332" s="27" t="s">
        <v>1002</v>
      </c>
      <c r="H332" s="11" t="n">
        <v>1.2</v>
      </c>
      <c r="I332" s="31" t="n">
        <v>-0.1</v>
      </c>
      <c r="J332" s="27" t="s">
        <v>86</v>
      </c>
      <c r="K332" s="23" t="s">
        <v>197</v>
      </c>
      <c r="L332" s="9" t="s">
        <v>1195</v>
      </c>
    </row>
    <row r="333" customFormat="false" ht="19.5" hidden="false" customHeight="true" outlineLevel="0" collapsed="false">
      <c r="A333" s="25" t="s">
        <v>1198</v>
      </c>
      <c r="B333" s="25" t="s">
        <v>411</v>
      </c>
      <c r="C333" s="12" t="s">
        <v>636</v>
      </c>
      <c r="D333" s="12" t="s">
        <v>554</v>
      </c>
      <c r="E333" s="25" t="s">
        <v>1194</v>
      </c>
      <c r="F333" s="25" t="s">
        <v>626</v>
      </c>
      <c r="G333" s="25" t="s">
        <v>1002</v>
      </c>
      <c r="H333" s="14" t="n">
        <v>4.83</v>
      </c>
      <c r="I333" s="32" t="n">
        <v>-0.1</v>
      </c>
      <c r="J333" s="25" t="s">
        <v>86</v>
      </c>
      <c r="K333" s="22" t="s">
        <v>197</v>
      </c>
      <c r="L333" s="12" t="s">
        <v>1195</v>
      </c>
    </row>
    <row r="334" customFormat="false" ht="19.5" hidden="false" customHeight="true" outlineLevel="0" collapsed="false">
      <c r="A334" s="27" t="s">
        <v>1199</v>
      </c>
      <c r="B334" s="27" t="s">
        <v>377</v>
      </c>
      <c r="C334" s="9" t="s">
        <v>639</v>
      </c>
      <c r="D334" s="9" t="s">
        <v>260</v>
      </c>
      <c r="E334" s="27" t="s">
        <v>1194</v>
      </c>
      <c r="F334" s="27" t="s">
        <v>626</v>
      </c>
      <c r="G334" s="27" t="s">
        <v>1002</v>
      </c>
      <c r="H334" s="11" t="n">
        <v>4.08</v>
      </c>
      <c r="I334" s="31" t="n">
        <v>0.65</v>
      </c>
      <c r="J334" s="27" t="s">
        <v>86</v>
      </c>
      <c r="K334" s="23" t="s">
        <v>197</v>
      </c>
      <c r="L334" s="9" t="s">
        <v>1195</v>
      </c>
    </row>
    <row r="335" customFormat="false" ht="19.5" hidden="false" customHeight="true" outlineLevel="0" collapsed="false">
      <c r="A335" s="25" t="s">
        <v>1200</v>
      </c>
      <c r="B335" s="25" t="s">
        <v>576</v>
      </c>
      <c r="C335" s="12" t="s">
        <v>642</v>
      </c>
      <c r="D335" s="12" t="s">
        <v>344</v>
      </c>
      <c r="E335" s="25" t="s">
        <v>1194</v>
      </c>
      <c r="F335" s="25" t="s">
        <v>626</v>
      </c>
      <c r="G335" s="25" t="s">
        <v>1002</v>
      </c>
      <c r="H335" s="14" t="n">
        <v>1</v>
      </c>
      <c r="I335" s="32" t="n">
        <v>-0.3</v>
      </c>
      <c r="J335" s="25" t="s">
        <v>86</v>
      </c>
      <c r="K335" s="22" t="s">
        <v>197</v>
      </c>
      <c r="L335" s="12" t="s">
        <v>1195</v>
      </c>
    </row>
    <row r="336" customFormat="false" ht="19.5" hidden="false" customHeight="true" outlineLevel="0" collapsed="false">
      <c r="A336" s="27" t="s">
        <v>1201</v>
      </c>
      <c r="B336" s="27" t="s">
        <v>570</v>
      </c>
      <c r="C336" s="9" t="s">
        <v>645</v>
      </c>
      <c r="D336" s="9" t="s">
        <v>344</v>
      </c>
      <c r="E336" s="27" t="s">
        <v>1194</v>
      </c>
      <c r="F336" s="27" t="s">
        <v>626</v>
      </c>
      <c r="G336" s="27" t="s">
        <v>1002</v>
      </c>
      <c r="H336" s="11" t="n">
        <v>3</v>
      </c>
      <c r="I336" s="31" t="n">
        <v>-0.2</v>
      </c>
      <c r="J336" s="27" t="s">
        <v>86</v>
      </c>
      <c r="K336" s="23" t="s">
        <v>197</v>
      </c>
      <c r="L336" s="9" t="s">
        <v>1195</v>
      </c>
    </row>
    <row r="337" customFormat="false" ht="19.5" hidden="false" customHeight="true" outlineLevel="0" collapsed="false">
      <c r="A337" s="25" t="s">
        <v>1202</v>
      </c>
      <c r="B337" s="25" t="s">
        <v>266</v>
      </c>
      <c r="C337" s="12" t="s">
        <v>648</v>
      </c>
      <c r="D337" s="12" t="s">
        <v>260</v>
      </c>
      <c r="E337" s="25" t="s">
        <v>1194</v>
      </c>
      <c r="F337" s="25" t="s">
        <v>626</v>
      </c>
      <c r="G337" s="25" t="s">
        <v>1002</v>
      </c>
      <c r="H337" s="14" t="n">
        <v>0</v>
      </c>
      <c r="I337" s="32" t="n">
        <v>-0.68</v>
      </c>
      <c r="J337" s="25" t="s">
        <v>86</v>
      </c>
      <c r="K337" s="22" t="s">
        <v>197</v>
      </c>
      <c r="L337" s="12" t="s">
        <v>1195</v>
      </c>
    </row>
    <row r="338" customFormat="false" ht="19.5" hidden="false" customHeight="true" outlineLevel="0" collapsed="false">
      <c r="A338" s="27" t="s">
        <v>1203</v>
      </c>
      <c r="B338" s="27" t="s">
        <v>533</v>
      </c>
      <c r="C338" s="9" t="s">
        <v>651</v>
      </c>
      <c r="D338" s="9" t="s">
        <v>260</v>
      </c>
      <c r="E338" s="27" t="s">
        <v>1194</v>
      </c>
      <c r="F338" s="27" t="s">
        <v>626</v>
      </c>
      <c r="G338" s="27" t="s">
        <v>1002</v>
      </c>
      <c r="H338" s="11" t="n">
        <v>4.6</v>
      </c>
      <c r="I338" s="31" t="n">
        <v>0.5</v>
      </c>
      <c r="J338" s="27" t="s">
        <v>86</v>
      </c>
      <c r="K338" s="23" t="s">
        <v>197</v>
      </c>
      <c r="L338" s="9" t="s">
        <v>1195</v>
      </c>
    </row>
    <row r="339" customFormat="false" ht="19.5" hidden="false" customHeight="true" outlineLevel="0" collapsed="false">
      <c r="A339" s="25" t="s">
        <v>1204</v>
      </c>
      <c r="B339" s="25" t="s">
        <v>540</v>
      </c>
      <c r="C339" s="12" t="s">
        <v>654</v>
      </c>
      <c r="D339" s="12" t="s">
        <v>260</v>
      </c>
      <c r="E339" s="25" t="s">
        <v>1194</v>
      </c>
      <c r="F339" s="25" t="s">
        <v>626</v>
      </c>
      <c r="G339" s="25" t="s">
        <v>1002</v>
      </c>
      <c r="H339" s="14" t="n">
        <v>0.2</v>
      </c>
      <c r="I339" s="32" t="n">
        <v>-1</v>
      </c>
      <c r="J339" s="25" t="s">
        <v>86</v>
      </c>
      <c r="K339" s="22" t="s">
        <v>197</v>
      </c>
      <c r="L339" s="12" t="s">
        <v>1195</v>
      </c>
    </row>
    <row r="340" customFormat="false" ht="19.5" hidden="false" customHeight="true" outlineLevel="0" collapsed="false">
      <c r="A340" s="27" t="s">
        <v>1205</v>
      </c>
      <c r="B340" s="27" t="s">
        <v>257</v>
      </c>
      <c r="C340" s="9" t="s">
        <v>657</v>
      </c>
      <c r="D340" s="9" t="s">
        <v>260</v>
      </c>
      <c r="E340" s="27" t="s">
        <v>1194</v>
      </c>
      <c r="F340" s="27" t="s">
        <v>626</v>
      </c>
      <c r="G340" s="27" t="s">
        <v>1002</v>
      </c>
      <c r="H340" s="11" t="n">
        <v>1.51</v>
      </c>
      <c r="I340" s="31" t="n">
        <v>-1.03</v>
      </c>
      <c r="J340" s="27" t="s">
        <v>86</v>
      </c>
      <c r="K340" s="23" t="s">
        <v>197</v>
      </c>
      <c r="L340" s="9" t="s">
        <v>1195</v>
      </c>
    </row>
    <row r="341" customFormat="false" ht="19.5" hidden="false" customHeight="true" outlineLevel="0" collapsed="false">
      <c r="A341" s="25" t="s">
        <v>1206</v>
      </c>
      <c r="B341" s="25" t="s">
        <v>586</v>
      </c>
      <c r="C341" s="12" t="s">
        <v>660</v>
      </c>
      <c r="D341" s="12" t="s">
        <v>588</v>
      </c>
      <c r="E341" s="25" t="s">
        <v>1194</v>
      </c>
      <c r="F341" s="25" t="s">
        <v>626</v>
      </c>
      <c r="G341" s="25" t="s">
        <v>1002</v>
      </c>
      <c r="H341" s="14" t="n">
        <v>0.2</v>
      </c>
      <c r="I341" s="32" t="n">
        <v>0</v>
      </c>
      <c r="J341" s="25" t="s">
        <v>86</v>
      </c>
      <c r="K341" s="22" t="s">
        <v>197</v>
      </c>
      <c r="L341" s="12" t="s">
        <v>1195</v>
      </c>
    </row>
    <row r="342" customFormat="false" ht="19.5" hidden="false" customHeight="true" outlineLevel="0" collapsed="false">
      <c r="A342" s="27" t="s">
        <v>1207</v>
      </c>
      <c r="B342" s="27" t="s">
        <v>593</v>
      </c>
      <c r="C342" s="9" t="s">
        <v>865</v>
      </c>
      <c r="D342" s="9" t="s">
        <v>866</v>
      </c>
      <c r="E342" s="27" t="s">
        <v>1208</v>
      </c>
      <c r="F342" s="27" t="s">
        <v>626</v>
      </c>
      <c r="G342" s="27" t="s">
        <v>1002</v>
      </c>
      <c r="H342" s="11" t="n">
        <v>8.5</v>
      </c>
      <c r="I342" s="30"/>
      <c r="J342" s="27" t="s">
        <v>86</v>
      </c>
      <c r="K342" s="23" t="s">
        <v>1095</v>
      </c>
      <c r="L342" s="9" t="s">
        <v>1209</v>
      </c>
    </row>
    <row r="343" customFormat="false" ht="19.5" hidden="false" customHeight="true" outlineLevel="0" collapsed="false">
      <c r="A343" s="25" t="s">
        <v>1210</v>
      </c>
      <c r="B343" s="25" t="s">
        <v>601</v>
      </c>
      <c r="C343" s="12" t="s">
        <v>872</v>
      </c>
      <c r="D343" s="12" t="s">
        <v>866</v>
      </c>
      <c r="E343" s="25" t="s">
        <v>1208</v>
      </c>
      <c r="F343" s="25" t="s">
        <v>626</v>
      </c>
      <c r="G343" s="25" t="s">
        <v>1002</v>
      </c>
      <c r="H343" s="14" t="n">
        <v>3.3</v>
      </c>
      <c r="I343" s="29"/>
      <c r="J343" s="25" t="s">
        <v>86</v>
      </c>
      <c r="K343" s="22" t="s">
        <v>1095</v>
      </c>
      <c r="L343" s="12" t="s">
        <v>1211</v>
      </c>
    </row>
    <row r="344" customFormat="false" ht="19.5" hidden="false" customHeight="true" outlineLevel="0" collapsed="false">
      <c r="A344" s="27" t="s">
        <v>1212</v>
      </c>
      <c r="B344" s="27" t="s">
        <v>605</v>
      </c>
      <c r="C344" s="9" t="s">
        <v>875</v>
      </c>
      <c r="D344" s="9" t="s">
        <v>588</v>
      </c>
      <c r="E344" s="27" t="s">
        <v>1208</v>
      </c>
      <c r="F344" s="27" t="s">
        <v>626</v>
      </c>
      <c r="G344" s="27" t="s">
        <v>1002</v>
      </c>
      <c r="H344" s="11" t="n">
        <v>0.3</v>
      </c>
      <c r="I344" s="30"/>
      <c r="J344" s="27" t="s">
        <v>86</v>
      </c>
      <c r="K344" s="23" t="s">
        <v>1095</v>
      </c>
      <c r="L344" s="9" t="s">
        <v>1213</v>
      </c>
    </row>
    <row r="345" customFormat="false" ht="19.5" hidden="false" customHeight="true" outlineLevel="0" collapsed="false">
      <c r="A345" s="25" t="s">
        <v>1214</v>
      </c>
      <c r="B345" s="25" t="s">
        <v>593</v>
      </c>
      <c r="C345" s="12" t="s">
        <v>865</v>
      </c>
      <c r="D345" s="12" t="s">
        <v>866</v>
      </c>
      <c r="E345" s="25" t="s">
        <v>1215</v>
      </c>
      <c r="F345" s="25" t="s">
        <v>626</v>
      </c>
      <c r="G345" s="25" t="s">
        <v>1002</v>
      </c>
      <c r="H345" s="14" t="n">
        <v>6.2</v>
      </c>
      <c r="I345" s="32" t="n">
        <v>-2.3</v>
      </c>
      <c r="J345" s="25" t="s">
        <v>86</v>
      </c>
      <c r="K345" s="22" t="s">
        <v>1095</v>
      </c>
      <c r="L345" s="12" t="s">
        <v>1216</v>
      </c>
    </row>
    <row r="346" customFormat="false" ht="19.5" hidden="false" customHeight="true" outlineLevel="0" collapsed="false">
      <c r="A346" s="27" t="s">
        <v>1217</v>
      </c>
      <c r="B346" s="27" t="s">
        <v>601</v>
      </c>
      <c r="C346" s="9" t="s">
        <v>872</v>
      </c>
      <c r="D346" s="9" t="s">
        <v>866</v>
      </c>
      <c r="E346" s="27" t="s">
        <v>1215</v>
      </c>
      <c r="F346" s="27" t="s">
        <v>626</v>
      </c>
      <c r="G346" s="27" t="s">
        <v>1002</v>
      </c>
      <c r="H346" s="11" t="n">
        <v>1.9</v>
      </c>
      <c r="I346" s="31" t="n">
        <v>-1.4</v>
      </c>
      <c r="J346" s="27" t="s">
        <v>86</v>
      </c>
      <c r="K346" s="23" t="s">
        <v>1095</v>
      </c>
      <c r="L346" s="9" t="s">
        <v>1218</v>
      </c>
    </row>
    <row r="347" customFormat="false" ht="19.5" hidden="false" customHeight="true" outlineLevel="0" collapsed="false">
      <c r="A347" s="25" t="s">
        <v>1219</v>
      </c>
      <c r="B347" s="25" t="s">
        <v>605</v>
      </c>
      <c r="C347" s="12" t="s">
        <v>875</v>
      </c>
      <c r="D347" s="12" t="s">
        <v>588</v>
      </c>
      <c r="E347" s="25" t="s">
        <v>1215</v>
      </c>
      <c r="F347" s="25" t="s">
        <v>626</v>
      </c>
      <c r="G347" s="25" t="s">
        <v>1002</v>
      </c>
      <c r="H347" s="14" t="n">
        <v>0.1</v>
      </c>
      <c r="I347" s="32" t="n">
        <v>-0.2</v>
      </c>
      <c r="J347" s="25" t="s">
        <v>86</v>
      </c>
      <c r="K347" s="22" t="s">
        <v>1095</v>
      </c>
      <c r="L347" s="12" t="s">
        <v>1220</v>
      </c>
    </row>
    <row r="348" customFormat="false" ht="19.5" hidden="false" customHeight="true" outlineLevel="0" collapsed="false">
      <c r="A348" s="27" t="s">
        <v>1221</v>
      </c>
      <c r="B348" s="27" t="s">
        <v>284</v>
      </c>
      <c r="C348" s="9" t="s">
        <v>835</v>
      </c>
      <c r="D348" s="9" t="s">
        <v>260</v>
      </c>
      <c r="E348" s="27" t="s">
        <v>1222</v>
      </c>
      <c r="F348" s="27" t="s">
        <v>626</v>
      </c>
      <c r="G348" s="27" t="s">
        <v>831</v>
      </c>
      <c r="H348" s="11" t="n">
        <v>0.07</v>
      </c>
      <c r="I348" s="30"/>
      <c r="J348" s="27" t="s">
        <v>113</v>
      </c>
      <c r="K348" s="23" t="s">
        <v>120</v>
      </c>
      <c r="L348" s="9" t="s">
        <v>1223</v>
      </c>
    </row>
    <row r="349" customFormat="false" ht="19.5" hidden="false" customHeight="true" outlineLevel="0" collapsed="false">
      <c r="A349" s="25" t="s">
        <v>1224</v>
      </c>
      <c r="B349" s="25" t="s">
        <v>266</v>
      </c>
      <c r="C349" s="12" t="s">
        <v>838</v>
      </c>
      <c r="D349" s="12" t="s">
        <v>260</v>
      </c>
      <c r="E349" s="25" t="s">
        <v>1222</v>
      </c>
      <c r="F349" s="25" t="s">
        <v>626</v>
      </c>
      <c r="G349" s="25" t="s">
        <v>831</v>
      </c>
      <c r="H349" s="14" t="n">
        <v>0.94</v>
      </c>
      <c r="I349" s="29"/>
      <c r="J349" s="25" t="s">
        <v>113</v>
      </c>
      <c r="K349" s="22" t="s">
        <v>120</v>
      </c>
      <c r="L349" s="12" t="s">
        <v>1225</v>
      </c>
    </row>
    <row r="350" customFormat="false" ht="19.5" hidden="false" customHeight="true" outlineLevel="0" collapsed="false">
      <c r="A350" s="27" t="s">
        <v>1226</v>
      </c>
      <c r="B350" s="27" t="s">
        <v>276</v>
      </c>
      <c r="C350" s="9" t="s">
        <v>841</v>
      </c>
      <c r="D350" s="9" t="s">
        <v>260</v>
      </c>
      <c r="E350" s="27" t="s">
        <v>1222</v>
      </c>
      <c r="F350" s="27" t="s">
        <v>626</v>
      </c>
      <c r="G350" s="27" t="s">
        <v>831</v>
      </c>
      <c r="H350" s="11" t="n">
        <v>0.37</v>
      </c>
      <c r="I350" s="30"/>
      <c r="J350" s="27" t="s">
        <v>113</v>
      </c>
      <c r="K350" s="23" t="s">
        <v>120</v>
      </c>
      <c r="L350" s="9" t="s">
        <v>1227</v>
      </c>
    </row>
    <row r="351" customFormat="false" ht="19.5" hidden="false" customHeight="true" outlineLevel="0" collapsed="false">
      <c r="A351" s="25" t="s">
        <v>1228</v>
      </c>
      <c r="B351" s="25" t="s">
        <v>257</v>
      </c>
      <c r="C351" s="12" t="s">
        <v>844</v>
      </c>
      <c r="D351" s="12" t="s">
        <v>260</v>
      </c>
      <c r="E351" s="25" t="s">
        <v>1222</v>
      </c>
      <c r="F351" s="25" t="s">
        <v>626</v>
      </c>
      <c r="G351" s="25" t="s">
        <v>831</v>
      </c>
      <c r="H351" s="14" t="n">
        <v>2</v>
      </c>
      <c r="I351" s="29"/>
      <c r="J351" s="25" t="s">
        <v>113</v>
      </c>
      <c r="K351" s="22" t="s">
        <v>120</v>
      </c>
      <c r="L351" s="12" t="s">
        <v>1229</v>
      </c>
    </row>
    <row r="352" customFormat="false" ht="19.5" hidden="false" customHeight="true" outlineLevel="0" collapsed="false">
      <c r="A352" s="27" t="s">
        <v>1230</v>
      </c>
      <c r="B352" s="27" t="s">
        <v>557</v>
      </c>
      <c r="C352" s="9" t="s">
        <v>624</v>
      </c>
      <c r="D352" s="9" t="s">
        <v>559</v>
      </c>
      <c r="E352" s="27" t="s">
        <v>1231</v>
      </c>
      <c r="F352" s="27" t="s">
        <v>626</v>
      </c>
      <c r="G352" s="27" t="s">
        <v>1002</v>
      </c>
      <c r="H352" s="11" t="n">
        <v>5.8</v>
      </c>
      <c r="I352" s="30"/>
      <c r="J352" s="27" t="s">
        <v>86</v>
      </c>
      <c r="K352" s="23" t="s">
        <v>664</v>
      </c>
      <c r="L352" s="9" t="s">
        <v>1232</v>
      </c>
    </row>
    <row r="353" customFormat="false" ht="19.5" hidden="false" customHeight="true" outlineLevel="0" collapsed="false">
      <c r="A353" s="25" t="s">
        <v>1233</v>
      </c>
      <c r="B353" s="25" t="s">
        <v>564</v>
      </c>
      <c r="C353" s="12" t="s">
        <v>630</v>
      </c>
      <c r="D353" s="12" t="s">
        <v>559</v>
      </c>
      <c r="E353" s="25" t="s">
        <v>1231</v>
      </c>
      <c r="F353" s="25" t="s">
        <v>626</v>
      </c>
      <c r="G353" s="25" t="s">
        <v>1002</v>
      </c>
      <c r="H353" s="14" t="n">
        <v>0.7</v>
      </c>
      <c r="I353" s="29"/>
      <c r="J353" s="25" t="s">
        <v>86</v>
      </c>
      <c r="K353" s="22" t="s">
        <v>664</v>
      </c>
      <c r="L353" s="12" t="s">
        <v>1232</v>
      </c>
    </row>
    <row r="354" customFormat="false" ht="19.5" hidden="false" customHeight="true" outlineLevel="0" collapsed="false">
      <c r="A354" s="27" t="s">
        <v>1234</v>
      </c>
      <c r="B354" s="27" t="s">
        <v>552</v>
      </c>
      <c r="C354" s="9" t="s">
        <v>633</v>
      </c>
      <c r="D354" s="9" t="s">
        <v>554</v>
      </c>
      <c r="E354" s="27" t="s">
        <v>1231</v>
      </c>
      <c r="F354" s="27" t="s">
        <v>626</v>
      </c>
      <c r="G354" s="27" t="s">
        <v>1002</v>
      </c>
      <c r="H354" s="11" t="n">
        <v>7.9</v>
      </c>
      <c r="I354" s="30"/>
      <c r="J354" s="27" t="s">
        <v>86</v>
      </c>
      <c r="K354" s="23" t="s">
        <v>664</v>
      </c>
      <c r="L354" s="9" t="s">
        <v>1232</v>
      </c>
    </row>
    <row r="355" customFormat="false" ht="19.5" hidden="false" customHeight="true" outlineLevel="0" collapsed="false">
      <c r="A355" s="25" t="s">
        <v>1235</v>
      </c>
      <c r="B355" s="25" t="s">
        <v>411</v>
      </c>
      <c r="C355" s="12" t="s">
        <v>636</v>
      </c>
      <c r="D355" s="12" t="s">
        <v>554</v>
      </c>
      <c r="E355" s="25" t="s">
        <v>1231</v>
      </c>
      <c r="F355" s="25" t="s">
        <v>626</v>
      </c>
      <c r="G355" s="25" t="s">
        <v>1002</v>
      </c>
      <c r="H355" s="14" t="n">
        <v>13.96</v>
      </c>
      <c r="I355" s="29"/>
      <c r="J355" s="25" t="s">
        <v>86</v>
      </c>
      <c r="K355" s="22" t="s">
        <v>664</v>
      </c>
      <c r="L355" s="12" t="s">
        <v>1232</v>
      </c>
    </row>
    <row r="356" customFormat="false" ht="19.5" hidden="false" customHeight="true" outlineLevel="0" collapsed="false">
      <c r="A356" s="27" t="s">
        <v>1236</v>
      </c>
      <c r="B356" s="27" t="s">
        <v>377</v>
      </c>
      <c r="C356" s="9" t="s">
        <v>639</v>
      </c>
      <c r="D356" s="9" t="s">
        <v>260</v>
      </c>
      <c r="E356" s="27" t="s">
        <v>1231</v>
      </c>
      <c r="F356" s="27" t="s">
        <v>626</v>
      </c>
      <c r="G356" s="27" t="s">
        <v>1002</v>
      </c>
      <c r="H356" s="11" t="n">
        <v>5.83</v>
      </c>
      <c r="I356" s="30"/>
      <c r="J356" s="27" t="s">
        <v>86</v>
      </c>
      <c r="K356" s="23" t="s">
        <v>664</v>
      </c>
      <c r="L356" s="9" t="s">
        <v>1232</v>
      </c>
    </row>
    <row r="357" customFormat="false" ht="19.5" hidden="false" customHeight="true" outlineLevel="0" collapsed="false">
      <c r="A357" s="25" t="s">
        <v>1237</v>
      </c>
      <c r="B357" s="25" t="s">
        <v>576</v>
      </c>
      <c r="C357" s="12" t="s">
        <v>642</v>
      </c>
      <c r="D357" s="12" t="s">
        <v>344</v>
      </c>
      <c r="E357" s="25" t="s">
        <v>1231</v>
      </c>
      <c r="F357" s="25" t="s">
        <v>626</v>
      </c>
      <c r="G357" s="25" t="s">
        <v>1002</v>
      </c>
      <c r="H357" s="14" t="n">
        <v>2.2</v>
      </c>
      <c r="I357" s="29"/>
      <c r="J357" s="25" t="s">
        <v>86</v>
      </c>
      <c r="K357" s="22" t="s">
        <v>664</v>
      </c>
      <c r="L357" s="12" t="s">
        <v>1232</v>
      </c>
    </row>
    <row r="358" customFormat="false" ht="19.5" hidden="false" customHeight="true" outlineLevel="0" collapsed="false">
      <c r="A358" s="27" t="s">
        <v>1238</v>
      </c>
      <c r="B358" s="27" t="s">
        <v>570</v>
      </c>
      <c r="C358" s="9" t="s">
        <v>645</v>
      </c>
      <c r="D358" s="9" t="s">
        <v>344</v>
      </c>
      <c r="E358" s="27" t="s">
        <v>1231</v>
      </c>
      <c r="F358" s="27" t="s">
        <v>626</v>
      </c>
      <c r="G358" s="27" t="s">
        <v>1002</v>
      </c>
      <c r="H358" s="11" t="n">
        <v>5.4</v>
      </c>
      <c r="I358" s="30"/>
      <c r="J358" s="27" t="s">
        <v>86</v>
      </c>
      <c r="K358" s="23" t="s">
        <v>664</v>
      </c>
      <c r="L358" s="9" t="s">
        <v>1232</v>
      </c>
    </row>
    <row r="359" customFormat="false" ht="19.5" hidden="false" customHeight="true" outlineLevel="0" collapsed="false">
      <c r="A359" s="25" t="s">
        <v>1239</v>
      </c>
      <c r="B359" s="25" t="s">
        <v>266</v>
      </c>
      <c r="C359" s="12" t="s">
        <v>648</v>
      </c>
      <c r="D359" s="12" t="s">
        <v>260</v>
      </c>
      <c r="E359" s="25" t="s">
        <v>1231</v>
      </c>
      <c r="F359" s="25" t="s">
        <v>626</v>
      </c>
      <c r="G359" s="25" t="s">
        <v>1002</v>
      </c>
      <c r="H359" s="14" t="n">
        <v>0.23</v>
      </c>
      <c r="I359" s="29"/>
      <c r="J359" s="25" t="s">
        <v>86</v>
      </c>
      <c r="K359" s="22" t="s">
        <v>664</v>
      </c>
      <c r="L359" s="12" t="s">
        <v>1232</v>
      </c>
    </row>
    <row r="360" customFormat="false" ht="19.5" hidden="false" customHeight="true" outlineLevel="0" collapsed="false">
      <c r="A360" s="27" t="s">
        <v>1240</v>
      </c>
      <c r="B360" s="27" t="s">
        <v>533</v>
      </c>
      <c r="C360" s="9" t="s">
        <v>651</v>
      </c>
      <c r="D360" s="9" t="s">
        <v>260</v>
      </c>
      <c r="E360" s="27" t="s">
        <v>1231</v>
      </c>
      <c r="F360" s="27" t="s">
        <v>626</v>
      </c>
      <c r="G360" s="27" t="s">
        <v>1002</v>
      </c>
      <c r="H360" s="11" t="n">
        <v>2.5</v>
      </c>
      <c r="I360" s="30"/>
      <c r="J360" s="27" t="s">
        <v>86</v>
      </c>
      <c r="K360" s="23" t="s">
        <v>664</v>
      </c>
      <c r="L360" s="9" t="s">
        <v>1232</v>
      </c>
    </row>
    <row r="361" customFormat="false" ht="19.5" hidden="false" customHeight="true" outlineLevel="0" collapsed="false">
      <c r="A361" s="25" t="s">
        <v>1241</v>
      </c>
      <c r="B361" s="25" t="s">
        <v>540</v>
      </c>
      <c r="C361" s="12" t="s">
        <v>654</v>
      </c>
      <c r="D361" s="12" t="s">
        <v>260</v>
      </c>
      <c r="E361" s="25" t="s">
        <v>1231</v>
      </c>
      <c r="F361" s="25" t="s">
        <v>626</v>
      </c>
      <c r="G361" s="25" t="s">
        <v>1002</v>
      </c>
      <c r="H361" s="14" t="n">
        <v>0.33</v>
      </c>
      <c r="I361" s="29"/>
      <c r="J361" s="25" t="s">
        <v>86</v>
      </c>
      <c r="K361" s="22" t="s">
        <v>664</v>
      </c>
      <c r="L361" s="12" t="s">
        <v>1232</v>
      </c>
    </row>
    <row r="362" customFormat="false" ht="19.5" hidden="false" customHeight="true" outlineLevel="0" collapsed="false">
      <c r="A362" s="27" t="s">
        <v>1242</v>
      </c>
      <c r="B362" s="27" t="s">
        <v>276</v>
      </c>
      <c r="C362" s="9" t="s">
        <v>676</v>
      </c>
      <c r="D362" s="9" t="s">
        <v>260</v>
      </c>
      <c r="E362" s="27" t="s">
        <v>1231</v>
      </c>
      <c r="F362" s="27" t="s">
        <v>626</v>
      </c>
      <c r="G362" s="27" t="s">
        <v>1002</v>
      </c>
      <c r="H362" s="11" t="n">
        <v>0.03</v>
      </c>
      <c r="I362" s="30"/>
      <c r="J362" s="27" t="s">
        <v>86</v>
      </c>
      <c r="K362" s="23" t="s">
        <v>664</v>
      </c>
      <c r="L362" s="9" t="s">
        <v>1232</v>
      </c>
    </row>
    <row r="363" customFormat="false" ht="19.5" hidden="false" customHeight="true" outlineLevel="0" collapsed="false">
      <c r="A363" s="25" t="s">
        <v>1243</v>
      </c>
      <c r="B363" s="25" t="s">
        <v>257</v>
      </c>
      <c r="C363" s="12" t="s">
        <v>657</v>
      </c>
      <c r="D363" s="12" t="s">
        <v>260</v>
      </c>
      <c r="E363" s="25" t="s">
        <v>1231</v>
      </c>
      <c r="F363" s="25" t="s">
        <v>626</v>
      </c>
      <c r="G363" s="25" t="s">
        <v>1002</v>
      </c>
      <c r="H363" s="14" t="n">
        <v>0.68</v>
      </c>
      <c r="I363" s="29"/>
      <c r="J363" s="25" t="s">
        <v>86</v>
      </c>
      <c r="K363" s="22" t="s">
        <v>664</v>
      </c>
      <c r="L363" s="12" t="s">
        <v>1232</v>
      </c>
    </row>
    <row r="364" customFormat="false" ht="19.5" hidden="false" customHeight="true" outlineLevel="0" collapsed="false">
      <c r="A364" s="27" t="s">
        <v>1244</v>
      </c>
      <c r="B364" s="27" t="s">
        <v>586</v>
      </c>
      <c r="C364" s="9" t="s">
        <v>660</v>
      </c>
      <c r="D364" s="9" t="s">
        <v>588</v>
      </c>
      <c r="E364" s="27" t="s">
        <v>1231</v>
      </c>
      <c r="F364" s="27" t="s">
        <v>626</v>
      </c>
      <c r="G364" s="27" t="s">
        <v>1002</v>
      </c>
      <c r="H364" s="11" t="n">
        <v>0.9</v>
      </c>
      <c r="I364" s="30"/>
      <c r="J364" s="27" t="s">
        <v>86</v>
      </c>
      <c r="K364" s="23" t="s">
        <v>664</v>
      </c>
      <c r="L364" s="9" t="s">
        <v>1232</v>
      </c>
    </row>
    <row r="365" customFormat="false" ht="19.5" hidden="false" customHeight="true" outlineLevel="0" collapsed="false">
      <c r="A365" s="25" t="s">
        <v>1245</v>
      </c>
      <c r="B365" s="25" t="s">
        <v>557</v>
      </c>
      <c r="C365" s="12" t="s">
        <v>624</v>
      </c>
      <c r="D365" s="12" t="s">
        <v>559</v>
      </c>
      <c r="E365" s="25" t="s">
        <v>1246</v>
      </c>
      <c r="F365" s="25" t="s">
        <v>626</v>
      </c>
      <c r="G365" s="25" t="s">
        <v>1002</v>
      </c>
      <c r="H365" s="14" t="n">
        <v>1.1</v>
      </c>
      <c r="I365" s="32" t="n">
        <v>-4.7</v>
      </c>
      <c r="J365" s="25" t="s">
        <v>86</v>
      </c>
      <c r="K365" s="22" t="s">
        <v>664</v>
      </c>
      <c r="L365" s="12" t="s">
        <v>1247</v>
      </c>
    </row>
    <row r="366" customFormat="false" ht="19.5" hidden="false" customHeight="true" outlineLevel="0" collapsed="false">
      <c r="A366" s="27" t="s">
        <v>1248</v>
      </c>
      <c r="B366" s="27" t="s">
        <v>564</v>
      </c>
      <c r="C366" s="9" t="s">
        <v>630</v>
      </c>
      <c r="D366" s="9" t="s">
        <v>559</v>
      </c>
      <c r="E366" s="27" t="s">
        <v>1246</v>
      </c>
      <c r="F366" s="27" t="s">
        <v>626</v>
      </c>
      <c r="G366" s="27" t="s">
        <v>1002</v>
      </c>
      <c r="H366" s="11" t="n">
        <v>0.66</v>
      </c>
      <c r="I366" s="31" t="n">
        <v>-0.04</v>
      </c>
      <c r="J366" s="27" t="s">
        <v>86</v>
      </c>
      <c r="K366" s="23" t="s">
        <v>664</v>
      </c>
      <c r="L366" s="9" t="s">
        <v>1247</v>
      </c>
    </row>
    <row r="367" customFormat="false" ht="19.5" hidden="false" customHeight="true" outlineLevel="0" collapsed="false">
      <c r="A367" s="25" t="s">
        <v>1249</v>
      </c>
      <c r="B367" s="25" t="s">
        <v>552</v>
      </c>
      <c r="C367" s="12" t="s">
        <v>633</v>
      </c>
      <c r="D367" s="12" t="s">
        <v>554</v>
      </c>
      <c r="E367" s="25" t="s">
        <v>1246</v>
      </c>
      <c r="F367" s="25" t="s">
        <v>626</v>
      </c>
      <c r="G367" s="25" t="s">
        <v>1002</v>
      </c>
      <c r="H367" s="14" t="n">
        <v>3.6</v>
      </c>
      <c r="I367" s="32" t="n">
        <v>-4.3</v>
      </c>
      <c r="J367" s="25" t="s">
        <v>86</v>
      </c>
      <c r="K367" s="22" t="s">
        <v>664</v>
      </c>
      <c r="L367" s="12" t="s">
        <v>1247</v>
      </c>
    </row>
    <row r="368" customFormat="false" ht="19.5" hidden="false" customHeight="true" outlineLevel="0" collapsed="false">
      <c r="A368" s="27" t="s">
        <v>1250</v>
      </c>
      <c r="B368" s="27" t="s">
        <v>411</v>
      </c>
      <c r="C368" s="9" t="s">
        <v>636</v>
      </c>
      <c r="D368" s="9" t="s">
        <v>554</v>
      </c>
      <c r="E368" s="27" t="s">
        <v>1246</v>
      </c>
      <c r="F368" s="27" t="s">
        <v>626</v>
      </c>
      <c r="G368" s="27" t="s">
        <v>1002</v>
      </c>
      <c r="H368" s="11" t="n">
        <v>12.05</v>
      </c>
      <c r="I368" s="31" t="n">
        <v>-1.91</v>
      </c>
      <c r="J368" s="27" t="s">
        <v>86</v>
      </c>
      <c r="K368" s="23" t="s">
        <v>664</v>
      </c>
      <c r="L368" s="9" t="s">
        <v>1247</v>
      </c>
    </row>
    <row r="369" customFormat="false" ht="19.5" hidden="false" customHeight="true" outlineLevel="0" collapsed="false">
      <c r="A369" s="25" t="s">
        <v>1251</v>
      </c>
      <c r="B369" s="25" t="s">
        <v>377</v>
      </c>
      <c r="C369" s="12" t="s">
        <v>639</v>
      </c>
      <c r="D369" s="12" t="s">
        <v>260</v>
      </c>
      <c r="E369" s="25" t="s">
        <v>1246</v>
      </c>
      <c r="F369" s="25" t="s">
        <v>626</v>
      </c>
      <c r="G369" s="25" t="s">
        <v>1002</v>
      </c>
      <c r="H369" s="14" t="n">
        <v>6.58</v>
      </c>
      <c r="I369" s="32" t="n">
        <v>0.75</v>
      </c>
      <c r="J369" s="25" t="s">
        <v>86</v>
      </c>
      <c r="K369" s="22" t="s">
        <v>664</v>
      </c>
      <c r="L369" s="12" t="s">
        <v>1247</v>
      </c>
    </row>
    <row r="370" customFormat="false" ht="19.5" hidden="false" customHeight="true" outlineLevel="0" collapsed="false">
      <c r="A370" s="27" t="s">
        <v>1252</v>
      </c>
      <c r="B370" s="27" t="s">
        <v>576</v>
      </c>
      <c r="C370" s="9" t="s">
        <v>642</v>
      </c>
      <c r="D370" s="9" t="s">
        <v>344</v>
      </c>
      <c r="E370" s="27" t="s">
        <v>1246</v>
      </c>
      <c r="F370" s="27" t="s">
        <v>626</v>
      </c>
      <c r="G370" s="27" t="s">
        <v>1002</v>
      </c>
      <c r="H370" s="11" t="n">
        <v>2</v>
      </c>
      <c r="I370" s="31" t="n">
        <v>-0.2</v>
      </c>
      <c r="J370" s="27" t="s">
        <v>86</v>
      </c>
      <c r="K370" s="23" t="s">
        <v>664</v>
      </c>
      <c r="L370" s="9" t="s">
        <v>1247</v>
      </c>
    </row>
    <row r="371" customFormat="false" ht="19.5" hidden="false" customHeight="true" outlineLevel="0" collapsed="false">
      <c r="A371" s="25" t="s">
        <v>1253</v>
      </c>
      <c r="B371" s="25" t="s">
        <v>570</v>
      </c>
      <c r="C371" s="12" t="s">
        <v>645</v>
      </c>
      <c r="D371" s="12" t="s">
        <v>344</v>
      </c>
      <c r="E371" s="25" t="s">
        <v>1246</v>
      </c>
      <c r="F371" s="25" t="s">
        <v>626</v>
      </c>
      <c r="G371" s="25" t="s">
        <v>1002</v>
      </c>
      <c r="H371" s="14" t="n">
        <v>4.5</v>
      </c>
      <c r="I371" s="32" t="n">
        <v>-0.9</v>
      </c>
      <c r="J371" s="25" t="s">
        <v>86</v>
      </c>
      <c r="K371" s="22" t="s">
        <v>664</v>
      </c>
      <c r="L371" s="12" t="s">
        <v>1247</v>
      </c>
    </row>
    <row r="372" customFormat="false" ht="19.5" hidden="false" customHeight="true" outlineLevel="0" collapsed="false">
      <c r="A372" s="27" t="s">
        <v>1254</v>
      </c>
      <c r="B372" s="27" t="s">
        <v>266</v>
      </c>
      <c r="C372" s="9" t="s">
        <v>648</v>
      </c>
      <c r="D372" s="9" t="s">
        <v>260</v>
      </c>
      <c r="E372" s="27" t="s">
        <v>1246</v>
      </c>
      <c r="F372" s="27" t="s">
        <v>626</v>
      </c>
      <c r="G372" s="27" t="s">
        <v>1002</v>
      </c>
      <c r="H372" s="11" t="n">
        <v>0.2</v>
      </c>
      <c r="I372" s="31" t="n">
        <v>-0.03</v>
      </c>
      <c r="J372" s="27" t="s">
        <v>86</v>
      </c>
      <c r="K372" s="23" t="s">
        <v>664</v>
      </c>
      <c r="L372" s="9" t="s">
        <v>1247</v>
      </c>
    </row>
    <row r="373" customFormat="false" ht="19.5" hidden="false" customHeight="true" outlineLevel="0" collapsed="false">
      <c r="A373" s="25" t="s">
        <v>1255</v>
      </c>
      <c r="B373" s="25" t="s">
        <v>533</v>
      </c>
      <c r="C373" s="12" t="s">
        <v>651</v>
      </c>
      <c r="D373" s="12" t="s">
        <v>260</v>
      </c>
      <c r="E373" s="25" t="s">
        <v>1246</v>
      </c>
      <c r="F373" s="25" t="s">
        <v>626</v>
      </c>
      <c r="G373" s="25" t="s">
        <v>1002</v>
      </c>
      <c r="H373" s="14" t="n">
        <v>3.3</v>
      </c>
      <c r="I373" s="32" t="n">
        <v>0.8</v>
      </c>
      <c r="J373" s="25" t="s">
        <v>86</v>
      </c>
      <c r="K373" s="22" t="s">
        <v>664</v>
      </c>
      <c r="L373" s="12" t="s">
        <v>1247</v>
      </c>
    </row>
    <row r="374" customFormat="false" ht="19.5" hidden="false" customHeight="true" outlineLevel="0" collapsed="false">
      <c r="A374" s="27" t="s">
        <v>1256</v>
      </c>
      <c r="B374" s="27" t="s">
        <v>540</v>
      </c>
      <c r="C374" s="9" t="s">
        <v>654</v>
      </c>
      <c r="D374" s="9" t="s">
        <v>260</v>
      </c>
      <c r="E374" s="27" t="s">
        <v>1246</v>
      </c>
      <c r="F374" s="27" t="s">
        <v>626</v>
      </c>
      <c r="G374" s="27" t="s">
        <v>1002</v>
      </c>
      <c r="H374" s="11" t="n">
        <v>0.24</v>
      </c>
      <c r="I374" s="31" t="n">
        <v>-0.09</v>
      </c>
      <c r="J374" s="27" t="s">
        <v>86</v>
      </c>
      <c r="K374" s="23" t="s">
        <v>664</v>
      </c>
      <c r="L374" s="9" t="s">
        <v>1247</v>
      </c>
    </row>
    <row r="375" customFormat="false" ht="19.5" hidden="false" customHeight="true" outlineLevel="0" collapsed="false">
      <c r="A375" s="25" t="s">
        <v>1257</v>
      </c>
      <c r="B375" s="25" t="s">
        <v>276</v>
      </c>
      <c r="C375" s="12" t="s">
        <v>676</v>
      </c>
      <c r="D375" s="12" t="s">
        <v>260</v>
      </c>
      <c r="E375" s="25" t="s">
        <v>1246</v>
      </c>
      <c r="F375" s="25" t="s">
        <v>626</v>
      </c>
      <c r="G375" s="25" t="s">
        <v>1002</v>
      </c>
      <c r="H375" s="14" t="n">
        <v>0</v>
      </c>
      <c r="I375" s="32" t="n">
        <v>-0.03</v>
      </c>
      <c r="J375" s="25" t="s">
        <v>86</v>
      </c>
      <c r="K375" s="22" t="s">
        <v>664</v>
      </c>
      <c r="L375" s="12" t="s">
        <v>1247</v>
      </c>
    </row>
    <row r="376" customFormat="false" ht="19.5" hidden="false" customHeight="true" outlineLevel="0" collapsed="false">
      <c r="A376" s="27" t="s">
        <v>1258</v>
      </c>
      <c r="B376" s="27" t="s">
        <v>257</v>
      </c>
      <c r="C376" s="9" t="s">
        <v>657</v>
      </c>
      <c r="D376" s="9" t="s">
        <v>260</v>
      </c>
      <c r="E376" s="27" t="s">
        <v>1246</v>
      </c>
      <c r="F376" s="27" t="s">
        <v>626</v>
      </c>
      <c r="G376" s="27" t="s">
        <v>1002</v>
      </c>
      <c r="H376" s="11" t="n">
        <v>0.86</v>
      </c>
      <c r="I376" s="31" t="n">
        <v>0.18</v>
      </c>
      <c r="J376" s="27" t="s">
        <v>86</v>
      </c>
      <c r="K376" s="23" t="s">
        <v>664</v>
      </c>
      <c r="L376" s="9" t="s">
        <v>1247</v>
      </c>
    </row>
    <row r="377" customFormat="false" ht="19.5" hidden="false" customHeight="true" outlineLevel="0" collapsed="false">
      <c r="A377" s="25" t="s">
        <v>1259</v>
      </c>
      <c r="B377" s="25" t="s">
        <v>586</v>
      </c>
      <c r="C377" s="12" t="s">
        <v>660</v>
      </c>
      <c r="D377" s="12" t="s">
        <v>588</v>
      </c>
      <c r="E377" s="25" t="s">
        <v>1246</v>
      </c>
      <c r="F377" s="25" t="s">
        <v>626</v>
      </c>
      <c r="G377" s="25" t="s">
        <v>1002</v>
      </c>
      <c r="H377" s="14" t="n">
        <v>0.6</v>
      </c>
      <c r="I377" s="32" t="n">
        <v>-0.3</v>
      </c>
      <c r="J377" s="25" t="s">
        <v>86</v>
      </c>
      <c r="K377" s="22" t="s">
        <v>664</v>
      </c>
      <c r="L377" s="12" t="s">
        <v>1247</v>
      </c>
    </row>
    <row r="378" customFormat="false" ht="19.5" hidden="false" customHeight="true" outlineLevel="0" collapsed="false">
      <c r="A378" s="27" t="s">
        <v>1260</v>
      </c>
      <c r="B378" s="27" t="s">
        <v>557</v>
      </c>
      <c r="C378" s="9" t="s">
        <v>624</v>
      </c>
      <c r="D378" s="9" t="s">
        <v>559</v>
      </c>
      <c r="E378" s="27" t="s">
        <v>1261</v>
      </c>
      <c r="F378" s="27" t="s">
        <v>626</v>
      </c>
      <c r="G378" s="27" t="s">
        <v>1002</v>
      </c>
      <c r="H378" s="11" t="n">
        <v>1.1</v>
      </c>
      <c r="I378" s="31" t="n">
        <v>0</v>
      </c>
      <c r="J378" s="27" t="s">
        <v>86</v>
      </c>
      <c r="K378" s="23" t="s">
        <v>681</v>
      </c>
      <c r="L378" s="9" t="s">
        <v>1262</v>
      </c>
    </row>
    <row r="379" customFormat="false" ht="19.5" hidden="false" customHeight="true" outlineLevel="0" collapsed="false">
      <c r="A379" s="25" t="s">
        <v>1263</v>
      </c>
      <c r="B379" s="25" t="s">
        <v>564</v>
      </c>
      <c r="C379" s="12" t="s">
        <v>630</v>
      </c>
      <c r="D379" s="12" t="s">
        <v>559</v>
      </c>
      <c r="E379" s="25" t="s">
        <v>1261</v>
      </c>
      <c r="F379" s="25" t="s">
        <v>626</v>
      </c>
      <c r="G379" s="25" t="s">
        <v>1002</v>
      </c>
      <c r="H379" s="14" t="n">
        <v>0.65</v>
      </c>
      <c r="I379" s="32" t="n">
        <v>-0.01</v>
      </c>
      <c r="J379" s="25" t="s">
        <v>86</v>
      </c>
      <c r="K379" s="22" t="s">
        <v>681</v>
      </c>
      <c r="L379" s="12" t="s">
        <v>1262</v>
      </c>
    </row>
    <row r="380" customFormat="false" ht="19.5" hidden="false" customHeight="true" outlineLevel="0" collapsed="false">
      <c r="A380" s="27" t="s">
        <v>1264</v>
      </c>
      <c r="B380" s="27" t="s">
        <v>552</v>
      </c>
      <c r="C380" s="9" t="s">
        <v>633</v>
      </c>
      <c r="D380" s="9" t="s">
        <v>554</v>
      </c>
      <c r="E380" s="27" t="s">
        <v>1261</v>
      </c>
      <c r="F380" s="27" t="s">
        <v>626</v>
      </c>
      <c r="G380" s="27" t="s">
        <v>1002</v>
      </c>
      <c r="H380" s="11" t="n">
        <v>3.7</v>
      </c>
      <c r="I380" s="31" t="n">
        <v>0.1</v>
      </c>
      <c r="J380" s="27" t="s">
        <v>86</v>
      </c>
      <c r="K380" s="23" t="s">
        <v>681</v>
      </c>
      <c r="L380" s="9" t="s">
        <v>1262</v>
      </c>
    </row>
    <row r="381" customFormat="false" ht="19.5" hidden="false" customHeight="true" outlineLevel="0" collapsed="false">
      <c r="A381" s="25" t="s">
        <v>1265</v>
      </c>
      <c r="B381" s="25" t="s">
        <v>411</v>
      </c>
      <c r="C381" s="12" t="s">
        <v>636</v>
      </c>
      <c r="D381" s="12" t="s">
        <v>554</v>
      </c>
      <c r="E381" s="25" t="s">
        <v>1261</v>
      </c>
      <c r="F381" s="25" t="s">
        <v>626</v>
      </c>
      <c r="G381" s="25" t="s">
        <v>1002</v>
      </c>
      <c r="H381" s="14" t="n">
        <v>11.4</v>
      </c>
      <c r="I381" s="32" t="n">
        <v>-0.65</v>
      </c>
      <c r="J381" s="25" t="s">
        <v>86</v>
      </c>
      <c r="K381" s="22" t="s">
        <v>681</v>
      </c>
      <c r="L381" s="12" t="s">
        <v>1262</v>
      </c>
    </row>
    <row r="382" customFormat="false" ht="19.5" hidden="false" customHeight="true" outlineLevel="0" collapsed="false">
      <c r="A382" s="27" t="s">
        <v>1266</v>
      </c>
      <c r="B382" s="27" t="s">
        <v>377</v>
      </c>
      <c r="C382" s="9" t="s">
        <v>639</v>
      </c>
      <c r="D382" s="9" t="s">
        <v>260</v>
      </c>
      <c r="E382" s="27" t="s">
        <v>1261</v>
      </c>
      <c r="F382" s="27" t="s">
        <v>626</v>
      </c>
      <c r="G382" s="27" t="s">
        <v>1002</v>
      </c>
      <c r="H382" s="11" t="n">
        <v>5.8</v>
      </c>
      <c r="I382" s="31" t="n">
        <v>-0.78</v>
      </c>
      <c r="J382" s="27" t="s">
        <v>86</v>
      </c>
      <c r="K382" s="23" t="s">
        <v>681</v>
      </c>
      <c r="L382" s="9" t="s">
        <v>1262</v>
      </c>
    </row>
    <row r="383" customFormat="false" ht="19.5" hidden="false" customHeight="true" outlineLevel="0" collapsed="false">
      <c r="A383" s="25" t="s">
        <v>1267</v>
      </c>
      <c r="B383" s="25" t="s">
        <v>576</v>
      </c>
      <c r="C383" s="12" t="s">
        <v>642</v>
      </c>
      <c r="D383" s="12" t="s">
        <v>344</v>
      </c>
      <c r="E383" s="25" t="s">
        <v>1261</v>
      </c>
      <c r="F383" s="25" t="s">
        <v>626</v>
      </c>
      <c r="G383" s="25" t="s">
        <v>1002</v>
      </c>
      <c r="H383" s="14" t="n">
        <v>1.5</v>
      </c>
      <c r="I383" s="32" t="n">
        <v>-0.5</v>
      </c>
      <c r="J383" s="25" t="s">
        <v>86</v>
      </c>
      <c r="K383" s="22" t="s">
        <v>681</v>
      </c>
      <c r="L383" s="12" t="s">
        <v>1262</v>
      </c>
    </row>
    <row r="384" customFormat="false" ht="19.5" hidden="false" customHeight="true" outlineLevel="0" collapsed="false">
      <c r="A384" s="27" t="s">
        <v>1268</v>
      </c>
      <c r="B384" s="27" t="s">
        <v>570</v>
      </c>
      <c r="C384" s="9" t="s">
        <v>645</v>
      </c>
      <c r="D384" s="9" t="s">
        <v>344</v>
      </c>
      <c r="E384" s="27" t="s">
        <v>1261</v>
      </c>
      <c r="F384" s="27" t="s">
        <v>626</v>
      </c>
      <c r="G384" s="27" t="s">
        <v>1002</v>
      </c>
      <c r="H384" s="11" t="n">
        <v>4.1</v>
      </c>
      <c r="I384" s="31" t="n">
        <v>-0.4</v>
      </c>
      <c r="J384" s="27" t="s">
        <v>86</v>
      </c>
      <c r="K384" s="23" t="s">
        <v>681</v>
      </c>
      <c r="L384" s="9" t="s">
        <v>1262</v>
      </c>
    </row>
    <row r="385" customFormat="false" ht="19.5" hidden="false" customHeight="true" outlineLevel="0" collapsed="false">
      <c r="A385" s="25" t="s">
        <v>1269</v>
      </c>
      <c r="B385" s="25" t="s">
        <v>266</v>
      </c>
      <c r="C385" s="12" t="s">
        <v>648</v>
      </c>
      <c r="D385" s="12" t="s">
        <v>260</v>
      </c>
      <c r="E385" s="25" t="s">
        <v>1261</v>
      </c>
      <c r="F385" s="25" t="s">
        <v>626</v>
      </c>
      <c r="G385" s="25" t="s">
        <v>1002</v>
      </c>
      <c r="H385" s="14" t="n">
        <v>0.17</v>
      </c>
      <c r="I385" s="32" t="n">
        <v>-0.03</v>
      </c>
      <c r="J385" s="25" t="s">
        <v>86</v>
      </c>
      <c r="K385" s="22" t="s">
        <v>681</v>
      </c>
      <c r="L385" s="12" t="s">
        <v>1262</v>
      </c>
    </row>
    <row r="386" customFormat="false" ht="19.5" hidden="false" customHeight="true" outlineLevel="0" collapsed="false">
      <c r="A386" s="27" t="s">
        <v>1270</v>
      </c>
      <c r="B386" s="27" t="s">
        <v>533</v>
      </c>
      <c r="C386" s="9" t="s">
        <v>651</v>
      </c>
      <c r="D386" s="9" t="s">
        <v>260</v>
      </c>
      <c r="E386" s="27" t="s">
        <v>1261</v>
      </c>
      <c r="F386" s="27" t="s">
        <v>626</v>
      </c>
      <c r="G386" s="27" t="s">
        <v>1002</v>
      </c>
      <c r="H386" s="11" t="n">
        <v>3.2</v>
      </c>
      <c r="I386" s="31" t="n">
        <v>-0.1</v>
      </c>
      <c r="J386" s="27" t="s">
        <v>86</v>
      </c>
      <c r="K386" s="23" t="s">
        <v>681</v>
      </c>
      <c r="L386" s="9" t="s">
        <v>1262</v>
      </c>
    </row>
    <row r="387" customFormat="false" ht="19.5" hidden="false" customHeight="true" outlineLevel="0" collapsed="false">
      <c r="A387" s="25" t="s">
        <v>1271</v>
      </c>
      <c r="B387" s="25" t="s">
        <v>540</v>
      </c>
      <c r="C387" s="12" t="s">
        <v>654</v>
      </c>
      <c r="D387" s="12" t="s">
        <v>260</v>
      </c>
      <c r="E387" s="25" t="s">
        <v>1261</v>
      </c>
      <c r="F387" s="25" t="s">
        <v>626</v>
      </c>
      <c r="G387" s="25" t="s">
        <v>1002</v>
      </c>
      <c r="H387" s="14" t="n">
        <v>0.23</v>
      </c>
      <c r="I387" s="32" t="n">
        <v>-0.01</v>
      </c>
      <c r="J387" s="25" t="s">
        <v>86</v>
      </c>
      <c r="K387" s="22" t="s">
        <v>681</v>
      </c>
      <c r="L387" s="12" t="s">
        <v>1262</v>
      </c>
    </row>
    <row r="388" customFormat="false" ht="19.5" hidden="false" customHeight="true" outlineLevel="0" collapsed="false">
      <c r="A388" s="27" t="s">
        <v>1272</v>
      </c>
      <c r="B388" s="27" t="s">
        <v>276</v>
      </c>
      <c r="C388" s="9" t="s">
        <v>676</v>
      </c>
      <c r="D388" s="9" t="s">
        <v>260</v>
      </c>
      <c r="E388" s="27" t="s">
        <v>1261</v>
      </c>
      <c r="F388" s="27" t="s">
        <v>626</v>
      </c>
      <c r="G388" s="27" t="s">
        <v>1002</v>
      </c>
      <c r="H388" s="11" t="n">
        <v>0</v>
      </c>
      <c r="I388" s="31" t="n">
        <v>0</v>
      </c>
      <c r="J388" s="27" t="s">
        <v>86</v>
      </c>
      <c r="K388" s="23" t="s">
        <v>681</v>
      </c>
      <c r="L388" s="9" t="s">
        <v>1262</v>
      </c>
    </row>
    <row r="389" customFormat="false" ht="19.5" hidden="false" customHeight="true" outlineLevel="0" collapsed="false">
      <c r="A389" s="25" t="s">
        <v>1273</v>
      </c>
      <c r="B389" s="25" t="s">
        <v>257</v>
      </c>
      <c r="C389" s="12" t="s">
        <v>657</v>
      </c>
      <c r="D389" s="12" t="s">
        <v>260</v>
      </c>
      <c r="E389" s="25" t="s">
        <v>1261</v>
      </c>
      <c r="F389" s="25" t="s">
        <v>626</v>
      </c>
      <c r="G389" s="25" t="s">
        <v>1002</v>
      </c>
      <c r="H389" s="14" t="n">
        <v>0.43</v>
      </c>
      <c r="I389" s="32" t="n">
        <v>-0.43</v>
      </c>
      <c r="J389" s="25" t="s">
        <v>86</v>
      </c>
      <c r="K389" s="22" t="s">
        <v>681</v>
      </c>
      <c r="L389" s="12" t="s">
        <v>1262</v>
      </c>
    </row>
    <row r="390" customFormat="false" ht="19.5" hidden="false" customHeight="true" outlineLevel="0" collapsed="false">
      <c r="A390" s="27" t="s">
        <v>1274</v>
      </c>
      <c r="B390" s="27" t="s">
        <v>586</v>
      </c>
      <c r="C390" s="9" t="s">
        <v>660</v>
      </c>
      <c r="D390" s="9" t="s">
        <v>588</v>
      </c>
      <c r="E390" s="27" t="s">
        <v>1261</v>
      </c>
      <c r="F390" s="27" t="s">
        <v>626</v>
      </c>
      <c r="G390" s="27" t="s">
        <v>1002</v>
      </c>
      <c r="H390" s="11" t="n">
        <v>0.5</v>
      </c>
      <c r="I390" s="31" t="n">
        <v>-0.1</v>
      </c>
      <c r="J390" s="27" t="s">
        <v>86</v>
      </c>
      <c r="K390" s="23" t="s">
        <v>681</v>
      </c>
      <c r="L390" s="9" t="s">
        <v>1262</v>
      </c>
    </row>
    <row r="391" customFormat="false" ht="19.5" hidden="false" customHeight="true" outlineLevel="0" collapsed="false">
      <c r="A391" s="25" t="s">
        <v>1275</v>
      </c>
      <c r="B391" s="25" t="s">
        <v>557</v>
      </c>
      <c r="C391" s="12" t="s">
        <v>624</v>
      </c>
      <c r="D391" s="12" t="s">
        <v>559</v>
      </c>
      <c r="E391" s="25" t="s">
        <v>1276</v>
      </c>
      <c r="F391" s="25" t="s">
        <v>626</v>
      </c>
      <c r="G391" s="25" t="s">
        <v>1002</v>
      </c>
      <c r="H391" s="14" t="n">
        <v>1.2</v>
      </c>
      <c r="I391" s="32" t="n">
        <v>0.1</v>
      </c>
      <c r="J391" s="25" t="s">
        <v>86</v>
      </c>
      <c r="K391" s="22" t="s">
        <v>697</v>
      </c>
      <c r="L391" s="12" t="s">
        <v>1277</v>
      </c>
    </row>
    <row r="392" customFormat="false" ht="19.5" hidden="false" customHeight="true" outlineLevel="0" collapsed="false">
      <c r="A392" s="27" t="s">
        <v>1278</v>
      </c>
      <c r="B392" s="27" t="s">
        <v>564</v>
      </c>
      <c r="C392" s="9" t="s">
        <v>630</v>
      </c>
      <c r="D392" s="9" t="s">
        <v>559</v>
      </c>
      <c r="E392" s="27" t="s">
        <v>1276</v>
      </c>
      <c r="F392" s="27" t="s">
        <v>626</v>
      </c>
      <c r="G392" s="27" t="s">
        <v>1002</v>
      </c>
      <c r="H392" s="11" t="n">
        <v>0.56</v>
      </c>
      <c r="I392" s="31" t="n">
        <v>-0.09</v>
      </c>
      <c r="J392" s="27" t="s">
        <v>86</v>
      </c>
      <c r="K392" s="23" t="s">
        <v>697</v>
      </c>
      <c r="L392" s="9" t="s">
        <v>1277</v>
      </c>
    </row>
    <row r="393" customFormat="false" ht="19.5" hidden="false" customHeight="true" outlineLevel="0" collapsed="false">
      <c r="A393" s="25" t="s">
        <v>1279</v>
      </c>
      <c r="B393" s="25" t="s">
        <v>552</v>
      </c>
      <c r="C393" s="12" t="s">
        <v>633</v>
      </c>
      <c r="D393" s="12" t="s">
        <v>554</v>
      </c>
      <c r="E393" s="25" t="s">
        <v>1276</v>
      </c>
      <c r="F393" s="25" t="s">
        <v>626</v>
      </c>
      <c r="G393" s="25" t="s">
        <v>1002</v>
      </c>
      <c r="H393" s="14" t="n">
        <v>3.6</v>
      </c>
      <c r="I393" s="32" t="n">
        <v>-0.1</v>
      </c>
      <c r="J393" s="25" t="s">
        <v>86</v>
      </c>
      <c r="K393" s="22" t="s">
        <v>697</v>
      </c>
      <c r="L393" s="12" t="s">
        <v>1277</v>
      </c>
    </row>
    <row r="394" customFormat="false" ht="19.5" hidden="false" customHeight="true" outlineLevel="0" collapsed="false">
      <c r="A394" s="27" t="s">
        <v>1280</v>
      </c>
      <c r="B394" s="27" t="s">
        <v>411</v>
      </c>
      <c r="C394" s="9" t="s">
        <v>636</v>
      </c>
      <c r="D394" s="9" t="s">
        <v>554</v>
      </c>
      <c r="E394" s="27" t="s">
        <v>1276</v>
      </c>
      <c r="F394" s="27" t="s">
        <v>626</v>
      </c>
      <c r="G394" s="27" t="s">
        <v>1002</v>
      </c>
      <c r="H394" s="11" t="n">
        <v>11.4</v>
      </c>
      <c r="I394" s="31" t="n">
        <v>0</v>
      </c>
      <c r="J394" s="27" t="s">
        <v>86</v>
      </c>
      <c r="K394" s="23" t="s">
        <v>697</v>
      </c>
      <c r="L394" s="9" t="s">
        <v>1277</v>
      </c>
    </row>
    <row r="395" customFormat="false" ht="19.5" hidden="false" customHeight="true" outlineLevel="0" collapsed="false">
      <c r="A395" s="25" t="s">
        <v>1281</v>
      </c>
      <c r="B395" s="25" t="s">
        <v>377</v>
      </c>
      <c r="C395" s="12" t="s">
        <v>639</v>
      </c>
      <c r="D395" s="12" t="s">
        <v>260</v>
      </c>
      <c r="E395" s="25" t="s">
        <v>1276</v>
      </c>
      <c r="F395" s="25" t="s">
        <v>626</v>
      </c>
      <c r="G395" s="25" t="s">
        <v>1002</v>
      </c>
      <c r="H395" s="14" t="n">
        <v>5.2</v>
      </c>
      <c r="I395" s="32" t="n">
        <v>-0.6</v>
      </c>
      <c r="J395" s="25" t="s">
        <v>86</v>
      </c>
      <c r="K395" s="22" t="s">
        <v>697</v>
      </c>
      <c r="L395" s="12" t="s">
        <v>1277</v>
      </c>
    </row>
    <row r="396" customFormat="false" ht="19.5" hidden="false" customHeight="true" outlineLevel="0" collapsed="false">
      <c r="A396" s="27" t="s">
        <v>1282</v>
      </c>
      <c r="B396" s="27" t="s">
        <v>576</v>
      </c>
      <c r="C396" s="9" t="s">
        <v>642</v>
      </c>
      <c r="D396" s="9" t="s">
        <v>344</v>
      </c>
      <c r="E396" s="27" t="s">
        <v>1276</v>
      </c>
      <c r="F396" s="27" t="s">
        <v>626</v>
      </c>
      <c r="G396" s="27" t="s">
        <v>1002</v>
      </c>
      <c r="H396" s="11" t="n">
        <v>1.5</v>
      </c>
      <c r="I396" s="31" t="n">
        <v>0</v>
      </c>
      <c r="J396" s="27" t="s">
        <v>86</v>
      </c>
      <c r="K396" s="23" t="s">
        <v>697</v>
      </c>
      <c r="L396" s="9" t="s">
        <v>1277</v>
      </c>
    </row>
    <row r="397" customFormat="false" ht="19.5" hidden="false" customHeight="true" outlineLevel="0" collapsed="false">
      <c r="A397" s="25" t="s">
        <v>1283</v>
      </c>
      <c r="B397" s="25" t="s">
        <v>570</v>
      </c>
      <c r="C397" s="12" t="s">
        <v>645</v>
      </c>
      <c r="D397" s="12" t="s">
        <v>344</v>
      </c>
      <c r="E397" s="25" t="s">
        <v>1276</v>
      </c>
      <c r="F397" s="25" t="s">
        <v>626</v>
      </c>
      <c r="G397" s="25" t="s">
        <v>1002</v>
      </c>
      <c r="H397" s="14" t="n">
        <v>3.6</v>
      </c>
      <c r="I397" s="32" t="n">
        <v>-0.5</v>
      </c>
      <c r="J397" s="25" t="s">
        <v>86</v>
      </c>
      <c r="K397" s="22" t="s">
        <v>697</v>
      </c>
      <c r="L397" s="12" t="s">
        <v>1277</v>
      </c>
    </row>
    <row r="398" customFormat="false" ht="19.5" hidden="false" customHeight="true" outlineLevel="0" collapsed="false">
      <c r="A398" s="27" t="s">
        <v>1284</v>
      </c>
      <c r="B398" s="27" t="s">
        <v>266</v>
      </c>
      <c r="C398" s="9" t="s">
        <v>648</v>
      </c>
      <c r="D398" s="9" t="s">
        <v>260</v>
      </c>
      <c r="E398" s="27" t="s">
        <v>1276</v>
      </c>
      <c r="F398" s="27" t="s">
        <v>626</v>
      </c>
      <c r="G398" s="27" t="s">
        <v>1002</v>
      </c>
      <c r="H398" s="11" t="n">
        <v>0.2</v>
      </c>
      <c r="I398" s="31" t="n">
        <v>0.03</v>
      </c>
      <c r="J398" s="27" t="s">
        <v>86</v>
      </c>
      <c r="K398" s="23" t="s">
        <v>697</v>
      </c>
      <c r="L398" s="9" t="s">
        <v>1277</v>
      </c>
    </row>
    <row r="399" customFormat="false" ht="19.5" hidden="false" customHeight="true" outlineLevel="0" collapsed="false">
      <c r="A399" s="25" t="s">
        <v>1285</v>
      </c>
      <c r="B399" s="25" t="s">
        <v>533</v>
      </c>
      <c r="C399" s="12" t="s">
        <v>651</v>
      </c>
      <c r="D399" s="12" t="s">
        <v>260</v>
      </c>
      <c r="E399" s="25" t="s">
        <v>1276</v>
      </c>
      <c r="F399" s="25" t="s">
        <v>626</v>
      </c>
      <c r="G399" s="25" t="s">
        <v>1002</v>
      </c>
      <c r="H399" s="14" t="n">
        <v>2.9</v>
      </c>
      <c r="I399" s="32" t="n">
        <v>-0.3</v>
      </c>
      <c r="J399" s="25" t="s">
        <v>86</v>
      </c>
      <c r="K399" s="22" t="s">
        <v>697</v>
      </c>
      <c r="L399" s="12" t="s">
        <v>1277</v>
      </c>
    </row>
    <row r="400" customFormat="false" ht="19.5" hidden="false" customHeight="true" outlineLevel="0" collapsed="false">
      <c r="A400" s="27" t="s">
        <v>1286</v>
      </c>
      <c r="B400" s="27" t="s">
        <v>540</v>
      </c>
      <c r="C400" s="9" t="s">
        <v>654</v>
      </c>
      <c r="D400" s="9" t="s">
        <v>260</v>
      </c>
      <c r="E400" s="27" t="s">
        <v>1276</v>
      </c>
      <c r="F400" s="27" t="s">
        <v>626</v>
      </c>
      <c r="G400" s="27" t="s">
        <v>1002</v>
      </c>
      <c r="H400" s="11" t="n">
        <v>0.25</v>
      </c>
      <c r="I400" s="31" t="n">
        <v>0.02</v>
      </c>
      <c r="J400" s="27" t="s">
        <v>86</v>
      </c>
      <c r="K400" s="23" t="s">
        <v>697</v>
      </c>
      <c r="L400" s="9" t="s">
        <v>1277</v>
      </c>
    </row>
    <row r="401" customFormat="false" ht="19.5" hidden="false" customHeight="true" outlineLevel="0" collapsed="false">
      <c r="A401" s="25" t="s">
        <v>1287</v>
      </c>
      <c r="B401" s="25" t="s">
        <v>276</v>
      </c>
      <c r="C401" s="12" t="s">
        <v>676</v>
      </c>
      <c r="D401" s="12" t="s">
        <v>260</v>
      </c>
      <c r="E401" s="25" t="s">
        <v>1276</v>
      </c>
      <c r="F401" s="25" t="s">
        <v>626</v>
      </c>
      <c r="G401" s="25" t="s">
        <v>1002</v>
      </c>
      <c r="H401" s="14" t="n">
        <v>0</v>
      </c>
      <c r="I401" s="32" t="n">
        <v>0</v>
      </c>
      <c r="J401" s="25" t="s">
        <v>86</v>
      </c>
      <c r="K401" s="22" t="s">
        <v>697</v>
      </c>
      <c r="L401" s="12" t="s">
        <v>1277</v>
      </c>
    </row>
    <row r="402" customFormat="false" ht="19.5" hidden="false" customHeight="true" outlineLevel="0" collapsed="false">
      <c r="A402" s="27" t="s">
        <v>1288</v>
      </c>
      <c r="B402" s="27" t="s">
        <v>257</v>
      </c>
      <c r="C402" s="9" t="s">
        <v>657</v>
      </c>
      <c r="D402" s="9" t="s">
        <v>260</v>
      </c>
      <c r="E402" s="27" t="s">
        <v>1276</v>
      </c>
      <c r="F402" s="27" t="s">
        <v>626</v>
      </c>
      <c r="G402" s="27" t="s">
        <v>1002</v>
      </c>
      <c r="H402" s="11" t="n">
        <v>0.4</v>
      </c>
      <c r="I402" s="31" t="n">
        <v>-0.03</v>
      </c>
      <c r="J402" s="27" t="s">
        <v>86</v>
      </c>
      <c r="K402" s="23" t="s">
        <v>697</v>
      </c>
      <c r="L402" s="9" t="s">
        <v>1277</v>
      </c>
    </row>
    <row r="403" customFormat="false" ht="19.5" hidden="false" customHeight="true" outlineLevel="0" collapsed="false">
      <c r="A403" s="25" t="s">
        <v>1289</v>
      </c>
      <c r="B403" s="25" t="s">
        <v>586</v>
      </c>
      <c r="C403" s="12" t="s">
        <v>660</v>
      </c>
      <c r="D403" s="12" t="s">
        <v>588</v>
      </c>
      <c r="E403" s="25" t="s">
        <v>1276</v>
      </c>
      <c r="F403" s="25" t="s">
        <v>626</v>
      </c>
      <c r="G403" s="25" t="s">
        <v>1002</v>
      </c>
      <c r="H403" s="14" t="n">
        <v>0.4</v>
      </c>
      <c r="I403" s="32" t="n">
        <v>-0.1</v>
      </c>
      <c r="J403" s="25" t="s">
        <v>86</v>
      </c>
      <c r="K403" s="22" t="s">
        <v>697</v>
      </c>
      <c r="L403" s="12" t="s">
        <v>1277</v>
      </c>
    </row>
    <row r="404" customFormat="false" ht="19.5" hidden="false" customHeight="true" outlineLevel="0" collapsed="false">
      <c r="A404" s="27" t="s">
        <v>1290</v>
      </c>
      <c r="B404" s="27" t="s">
        <v>557</v>
      </c>
      <c r="C404" s="9" t="s">
        <v>624</v>
      </c>
      <c r="D404" s="9" t="s">
        <v>559</v>
      </c>
      <c r="E404" s="27" t="s">
        <v>1291</v>
      </c>
      <c r="F404" s="27" t="s">
        <v>626</v>
      </c>
      <c r="G404" s="27" t="s">
        <v>1002</v>
      </c>
      <c r="H404" s="11" t="n">
        <v>1.2</v>
      </c>
      <c r="I404" s="31" t="n">
        <v>0</v>
      </c>
      <c r="J404" s="27" t="s">
        <v>86</v>
      </c>
      <c r="K404" s="23" t="s">
        <v>713</v>
      </c>
      <c r="L404" s="9" t="s">
        <v>1292</v>
      </c>
    </row>
    <row r="405" customFormat="false" ht="19.5" hidden="false" customHeight="true" outlineLevel="0" collapsed="false">
      <c r="A405" s="25" t="s">
        <v>1293</v>
      </c>
      <c r="B405" s="25" t="s">
        <v>564</v>
      </c>
      <c r="C405" s="12" t="s">
        <v>630</v>
      </c>
      <c r="D405" s="12" t="s">
        <v>559</v>
      </c>
      <c r="E405" s="25" t="s">
        <v>1291</v>
      </c>
      <c r="F405" s="25" t="s">
        <v>626</v>
      </c>
      <c r="G405" s="25" t="s">
        <v>1002</v>
      </c>
      <c r="H405" s="14" t="n">
        <v>0.62</v>
      </c>
      <c r="I405" s="32" t="n">
        <v>0.06</v>
      </c>
      <c r="J405" s="25" t="s">
        <v>86</v>
      </c>
      <c r="K405" s="22" t="s">
        <v>713</v>
      </c>
      <c r="L405" s="12" t="s">
        <v>1292</v>
      </c>
    </row>
    <row r="406" customFormat="false" ht="19.5" hidden="false" customHeight="true" outlineLevel="0" collapsed="false">
      <c r="A406" s="27" t="s">
        <v>1294</v>
      </c>
      <c r="B406" s="27" t="s">
        <v>552</v>
      </c>
      <c r="C406" s="9" t="s">
        <v>633</v>
      </c>
      <c r="D406" s="9" t="s">
        <v>554</v>
      </c>
      <c r="E406" s="27" t="s">
        <v>1291</v>
      </c>
      <c r="F406" s="27" t="s">
        <v>626</v>
      </c>
      <c r="G406" s="27" t="s">
        <v>1002</v>
      </c>
      <c r="H406" s="11" t="n">
        <v>3.5</v>
      </c>
      <c r="I406" s="31" t="n">
        <v>-0.1</v>
      </c>
      <c r="J406" s="27" t="s">
        <v>86</v>
      </c>
      <c r="K406" s="23" t="s">
        <v>713</v>
      </c>
      <c r="L406" s="9" t="s">
        <v>1292</v>
      </c>
    </row>
    <row r="407" customFormat="false" ht="19.5" hidden="false" customHeight="true" outlineLevel="0" collapsed="false">
      <c r="A407" s="25" t="s">
        <v>1295</v>
      </c>
      <c r="B407" s="25" t="s">
        <v>411</v>
      </c>
      <c r="C407" s="12" t="s">
        <v>636</v>
      </c>
      <c r="D407" s="12" t="s">
        <v>554</v>
      </c>
      <c r="E407" s="25" t="s">
        <v>1291</v>
      </c>
      <c r="F407" s="25" t="s">
        <v>626</v>
      </c>
      <c r="G407" s="25" t="s">
        <v>1002</v>
      </c>
      <c r="H407" s="14" t="n">
        <v>8.6</v>
      </c>
      <c r="I407" s="32" t="n">
        <v>-2.8</v>
      </c>
      <c r="J407" s="25" t="s">
        <v>86</v>
      </c>
      <c r="K407" s="22" t="s">
        <v>713</v>
      </c>
      <c r="L407" s="12" t="s">
        <v>1292</v>
      </c>
    </row>
    <row r="408" customFormat="false" ht="19.5" hidden="false" customHeight="true" outlineLevel="0" collapsed="false">
      <c r="A408" s="27" t="s">
        <v>1296</v>
      </c>
      <c r="B408" s="27" t="s">
        <v>377</v>
      </c>
      <c r="C408" s="9" t="s">
        <v>639</v>
      </c>
      <c r="D408" s="9" t="s">
        <v>260</v>
      </c>
      <c r="E408" s="27" t="s">
        <v>1291</v>
      </c>
      <c r="F408" s="27" t="s">
        <v>626</v>
      </c>
      <c r="G408" s="27" t="s">
        <v>1002</v>
      </c>
      <c r="H408" s="11" t="n">
        <v>4.1</v>
      </c>
      <c r="I408" s="31" t="n">
        <v>-1.1</v>
      </c>
      <c r="J408" s="27" t="s">
        <v>86</v>
      </c>
      <c r="K408" s="23" t="s">
        <v>713</v>
      </c>
      <c r="L408" s="9" t="s">
        <v>1292</v>
      </c>
    </row>
    <row r="409" customFormat="false" ht="19.5" hidden="false" customHeight="true" outlineLevel="0" collapsed="false">
      <c r="A409" s="25" t="s">
        <v>1297</v>
      </c>
      <c r="B409" s="25" t="s">
        <v>576</v>
      </c>
      <c r="C409" s="12" t="s">
        <v>642</v>
      </c>
      <c r="D409" s="12" t="s">
        <v>344</v>
      </c>
      <c r="E409" s="25" t="s">
        <v>1291</v>
      </c>
      <c r="F409" s="25" t="s">
        <v>626</v>
      </c>
      <c r="G409" s="25" t="s">
        <v>1002</v>
      </c>
      <c r="H409" s="14" t="n">
        <v>1.4</v>
      </c>
      <c r="I409" s="32" t="n">
        <v>-0.1</v>
      </c>
      <c r="J409" s="25" t="s">
        <v>86</v>
      </c>
      <c r="K409" s="22" t="s">
        <v>713</v>
      </c>
      <c r="L409" s="12" t="s">
        <v>1292</v>
      </c>
    </row>
    <row r="410" customFormat="false" ht="19.5" hidden="false" customHeight="true" outlineLevel="0" collapsed="false">
      <c r="A410" s="27" t="s">
        <v>1298</v>
      </c>
      <c r="B410" s="27" t="s">
        <v>570</v>
      </c>
      <c r="C410" s="9" t="s">
        <v>645</v>
      </c>
      <c r="D410" s="9" t="s">
        <v>344</v>
      </c>
      <c r="E410" s="27" t="s">
        <v>1291</v>
      </c>
      <c r="F410" s="27" t="s">
        <v>626</v>
      </c>
      <c r="G410" s="27" t="s">
        <v>1002</v>
      </c>
      <c r="H410" s="11" t="n">
        <v>3.6</v>
      </c>
      <c r="I410" s="31" t="n">
        <v>0</v>
      </c>
      <c r="J410" s="27" t="s">
        <v>86</v>
      </c>
      <c r="K410" s="23" t="s">
        <v>713</v>
      </c>
      <c r="L410" s="9" t="s">
        <v>1292</v>
      </c>
    </row>
    <row r="411" customFormat="false" ht="19.5" hidden="false" customHeight="true" outlineLevel="0" collapsed="false">
      <c r="A411" s="25" t="s">
        <v>1299</v>
      </c>
      <c r="B411" s="25" t="s">
        <v>266</v>
      </c>
      <c r="C411" s="12" t="s">
        <v>648</v>
      </c>
      <c r="D411" s="12" t="s">
        <v>260</v>
      </c>
      <c r="E411" s="25" t="s">
        <v>1291</v>
      </c>
      <c r="F411" s="25" t="s">
        <v>626</v>
      </c>
      <c r="G411" s="25" t="s">
        <v>1002</v>
      </c>
      <c r="H411" s="14" t="n">
        <v>0.23</v>
      </c>
      <c r="I411" s="32" t="n">
        <v>0.03</v>
      </c>
      <c r="J411" s="25" t="s">
        <v>86</v>
      </c>
      <c r="K411" s="22" t="s">
        <v>713</v>
      </c>
      <c r="L411" s="12" t="s">
        <v>1292</v>
      </c>
    </row>
    <row r="412" customFormat="false" ht="19.5" hidden="false" customHeight="true" outlineLevel="0" collapsed="false">
      <c r="A412" s="27" t="s">
        <v>1300</v>
      </c>
      <c r="B412" s="27" t="s">
        <v>533</v>
      </c>
      <c r="C412" s="9" t="s">
        <v>651</v>
      </c>
      <c r="D412" s="9" t="s">
        <v>260</v>
      </c>
      <c r="E412" s="27" t="s">
        <v>1291</v>
      </c>
      <c r="F412" s="27" t="s">
        <v>626</v>
      </c>
      <c r="G412" s="27" t="s">
        <v>1002</v>
      </c>
      <c r="H412" s="11" t="n">
        <v>2.9</v>
      </c>
      <c r="I412" s="31" t="n">
        <v>0</v>
      </c>
      <c r="J412" s="27" t="s">
        <v>86</v>
      </c>
      <c r="K412" s="23" t="s">
        <v>713</v>
      </c>
      <c r="L412" s="9" t="s">
        <v>1292</v>
      </c>
    </row>
    <row r="413" customFormat="false" ht="19.5" hidden="false" customHeight="true" outlineLevel="0" collapsed="false">
      <c r="A413" s="25" t="s">
        <v>1301</v>
      </c>
      <c r="B413" s="25" t="s">
        <v>540</v>
      </c>
      <c r="C413" s="12" t="s">
        <v>654</v>
      </c>
      <c r="D413" s="12" t="s">
        <v>260</v>
      </c>
      <c r="E413" s="25" t="s">
        <v>1291</v>
      </c>
      <c r="F413" s="25" t="s">
        <v>626</v>
      </c>
      <c r="G413" s="25" t="s">
        <v>1002</v>
      </c>
      <c r="H413" s="14" t="n">
        <v>0.25</v>
      </c>
      <c r="I413" s="32" t="n">
        <v>0</v>
      </c>
      <c r="J413" s="25" t="s">
        <v>86</v>
      </c>
      <c r="K413" s="22" t="s">
        <v>713</v>
      </c>
      <c r="L413" s="12" t="s">
        <v>1292</v>
      </c>
    </row>
    <row r="414" customFormat="false" ht="19.5" hidden="false" customHeight="true" outlineLevel="0" collapsed="false">
      <c r="A414" s="27" t="s">
        <v>1302</v>
      </c>
      <c r="B414" s="27" t="s">
        <v>276</v>
      </c>
      <c r="C414" s="9" t="s">
        <v>676</v>
      </c>
      <c r="D414" s="9" t="s">
        <v>260</v>
      </c>
      <c r="E414" s="27" t="s">
        <v>1291</v>
      </c>
      <c r="F414" s="27" t="s">
        <v>626</v>
      </c>
      <c r="G414" s="27" t="s">
        <v>1002</v>
      </c>
      <c r="H414" s="11" t="n">
        <v>0</v>
      </c>
      <c r="I414" s="31" t="n">
        <v>0</v>
      </c>
      <c r="J414" s="27" t="s">
        <v>86</v>
      </c>
      <c r="K414" s="23" t="s">
        <v>713</v>
      </c>
      <c r="L414" s="9" t="s">
        <v>1292</v>
      </c>
    </row>
    <row r="415" customFormat="false" ht="19.5" hidden="false" customHeight="true" outlineLevel="0" collapsed="false">
      <c r="A415" s="25" t="s">
        <v>1303</v>
      </c>
      <c r="B415" s="25" t="s">
        <v>257</v>
      </c>
      <c r="C415" s="12" t="s">
        <v>657</v>
      </c>
      <c r="D415" s="12" t="s">
        <v>260</v>
      </c>
      <c r="E415" s="25" t="s">
        <v>1291</v>
      </c>
      <c r="F415" s="25" t="s">
        <v>626</v>
      </c>
      <c r="G415" s="25" t="s">
        <v>1002</v>
      </c>
      <c r="H415" s="14" t="n">
        <v>0.88</v>
      </c>
      <c r="I415" s="32" t="n">
        <v>0.48</v>
      </c>
      <c r="J415" s="25" t="s">
        <v>86</v>
      </c>
      <c r="K415" s="22" t="s">
        <v>713</v>
      </c>
      <c r="L415" s="12" t="s">
        <v>1292</v>
      </c>
    </row>
    <row r="416" customFormat="false" ht="19.5" hidden="false" customHeight="true" outlineLevel="0" collapsed="false">
      <c r="A416" s="27" t="s">
        <v>1304</v>
      </c>
      <c r="B416" s="27" t="s">
        <v>586</v>
      </c>
      <c r="C416" s="9" t="s">
        <v>660</v>
      </c>
      <c r="D416" s="9" t="s">
        <v>588</v>
      </c>
      <c r="E416" s="27" t="s">
        <v>1291</v>
      </c>
      <c r="F416" s="27" t="s">
        <v>626</v>
      </c>
      <c r="G416" s="27" t="s">
        <v>1002</v>
      </c>
      <c r="H416" s="11" t="n">
        <v>0.2</v>
      </c>
      <c r="I416" s="31" t="n">
        <v>-0.2</v>
      </c>
      <c r="J416" s="27" t="s">
        <v>86</v>
      </c>
      <c r="K416" s="23" t="s">
        <v>713</v>
      </c>
      <c r="L416" s="9" t="s">
        <v>1292</v>
      </c>
    </row>
    <row r="417" customFormat="false" ht="19.5" hidden="false" customHeight="true" outlineLevel="0" collapsed="false">
      <c r="A417" s="25" t="s">
        <v>1305</v>
      </c>
      <c r="B417" s="25" t="s">
        <v>557</v>
      </c>
      <c r="C417" s="12" t="s">
        <v>624</v>
      </c>
      <c r="D417" s="12" t="s">
        <v>559</v>
      </c>
      <c r="E417" s="25" t="s">
        <v>1306</v>
      </c>
      <c r="F417" s="25" t="s">
        <v>626</v>
      </c>
      <c r="G417" s="25" t="s">
        <v>1002</v>
      </c>
      <c r="H417" s="14" t="n">
        <v>1.1</v>
      </c>
      <c r="I417" s="32" t="n">
        <v>-0.1</v>
      </c>
      <c r="J417" s="25" t="s">
        <v>86</v>
      </c>
      <c r="K417" s="22" t="s">
        <v>729</v>
      </c>
      <c r="L417" s="12" t="s">
        <v>1307</v>
      </c>
    </row>
    <row r="418" customFormat="false" ht="19.5" hidden="false" customHeight="true" outlineLevel="0" collapsed="false">
      <c r="A418" s="27" t="s">
        <v>1308</v>
      </c>
      <c r="B418" s="27" t="s">
        <v>564</v>
      </c>
      <c r="C418" s="9" t="s">
        <v>630</v>
      </c>
      <c r="D418" s="9" t="s">
        <v>559</v>
      </c>
      <c r="E418" s="27" t="s">
        <v>1306</v>
      </c>
      <c r="F418" s="27" t="s">
        <v>626</v>
      </c>
      <c r="G418" s="27" t="s">
        <v>1002</v>
      </c>
      <c r="H418" s="11" t="n">
        <v>0.56</v>
      </c>
      <c r="I418" s="31" t="n">
        <v>-0.06</v>
      </c>
      <c r="J418" s="27" t="s">
        <v>86</v>
      </c>
      <c r="K418" s="23" t="s">
        <v>729</v>
      </c>
      <c r="L418" s="9" t="s">
        <v>1307</v>
      </c>
    </row>
    <row r="419" customFormat="false" ht="19.5" hidden="false" customHeight="true" outlineLevel="0" collapsed="false">
      <c r="A419" s="25" t="s">
        <v>1309</v>
      </c>
      <c r="B419" s="25" t="s">
        <v>552</v>
      </c>
      <c r="C419" s="12" t="s">
        <v>633</v>
      </c>
      <c r="D419" s="12" t="s">
        <v>554</v>
      </c>
      <c r="E419" s="25" t="s">
        <v>1306</v>
      </c>
      <c r="F419" s="25" t="s">
        <v>626</v>
      </c>
      <c r="G419" s="25" t="s">
        <v>1002</v>
      </c>
      <c r="H419" s="14" t="n">
        <v>3.2</v>
      </c>
      <c r="I419" s="32" t="n">
        <v>-0.3</v>
      </c>
      <c r="J419" s="25" t="s">
        <v>86</v>
      </c>
      <c r="K419" s="22" t="s">
        <v>729</v>
      </c>
      <c r="L419" s="12" t="s">
        <v>1307</v>
      </c>
    </row>
    <row r="420" customFormat="false" ht="19.5" hidden="false" customHeight="true" outlineLevel="0" collapsed="false">
      <c r="A420" s="27" t="s">
        <v>1310</v>
      </c>
      <c r="B420" s="27" t="s">
        <v>411</v>
      </c>
      <c r="C420" s="9" t="s">
        <v>636</v>
      </c>
      <c r="D420" s="9" t="s">
        <v>554</v>
      </c>
      <c r="E420" s="27" t="s">
        <v>1306</v>
      </c>
      <c r="F420" s="27" t="s">
        <v>626</v>
      </c>
      <c r="G420" s="27" t="s">
        <v>1002</v>
      </c>
      <c r="H420" s="11" t="n">
        <v>8.6</v>
      </c>
      <c r="I420" s="31" t="n">
        <v>0</v>
      </c>
      <c r="J420" s="27" t="s">
        <v>86</v>
      </c>
      <c r="K420" s="23" t="s">
        <v>729</v>
      </c>
      <c r="L420" s="9" t="s">
        <v>1307</v>
      </c>
    </row>
    <row r="421" customFormat="false" ht="19.5" hidden="false" customHeight="true" outlineLevel="0" collapsed="false">
      <c r="A421" s="25" t="s">
        <v>1311</v>
      </c>
      <c r="B421" s="25" t="s">
        <v>377</v>
      </c>
      <c r="C421" s="12" t="s">
        <v>639</v>
      </c>
      <c r="D421" s="12" t="s">
        <v>260</v>
      </c>
      <c r="E421" s="25" t="s">
        <v>1306</v>
      </c>
      <c r="F421" s="25" t="s">
        <v>626</v>
      </c>
      <c r="G421" s="25" t="s">
        <v>1002</v>
      </c>
      <c r="H421" s="14" t="n">
        <v>4.1</v>
      </c>
      <c r="I421" s="32" t="n">
        <v>0</v>
      </c>
      <c r="J421" s="25" t="s">
        <v>86</v>
      </c>
      <c r="K421" s="22" t="s">
        <v>729</v>
      </c>
      <c r="L421" s="12" t="s">
        <v>1307</v>
      </c>
    </row>
    <row r="422" customFormat="false" ht="19.5" hidden="false" customHeight="true" outlineLevel="0" collapsed="false">
      <c r="A422" s="27" t="s">
        <v>1312</v>
      </c>
      <c r="B422" s="27" t="s">
        <v>576</v>
      </c>
      <c r="C422" s="9" t="s">
        <v>642</v>
      </c>
      <c r="D422" s="9" t="s">
        <v>344</v>
      </c>
      <c r="E422" s="27" t="s">
        <v>1306</v>
      </c>
      <c r="F422" s="27" t="s">
        <v>626</v>
      </c>
      <c r="G422" s="27" t="s">
        <v>1002</v>
      </c>
      <c r="H422" s="11" t="n">
        <v>0.9</v>
      </c>
      <c r="I422" s="31" t="n">
        <v>-0.5</v>
      </c>
      <c r="J422" s="27" t="s">
        <v>86</v>
      </c>
      <c r="K422" s="23" t="s">
        <v>729</v>
      </c>
      <c r="L422" s="9" t="s">
        <v>1307</v>
      </c>
    </row>
    <row r="423" customFormat="false" ht="19.5" hidden="false" customHeight="true" outlineLevel="0" collapsed="false">
      <c r="A423" s="25" t="s">
        <v>1313</v>
      </c>
      <c r="B423" s="25" t="s">
        <v>570</v>
      </c>
      <c r="C423" s="12" t="s">
        <v>645</v>
      </c>
      <c r="D423" s="12" t="s">
        <v>344</v>
      </c>
      <c r="E423" s="25" t="s">
        <v>1306</v>
      </c>
      <c r="F423" s="25" t="s">
        <v>626</v>
      </c>
      <c r="G423" s="25" t="s">
        <v>1002</v>
      </c>
      <c r="H423" s="14" t="n">
        <v>4</v>
      </c>
      <c r="I423" s="32" t="n">
        <v>0.4</v>
      </c>
      <c r="J423" s="25" t="s">
        <v>86</v>
      </c>
      <c r="K423" s="22" t="s">
        <v>729</v>
      </c>
      <c r="L423" s="12" t="s">
        <v>1307</v>
      </c>
    </row>
    <row r="424" customFormat="false" ht="19.5" hidden="false" customHeight="true" outlineLevel="0" collapsed="false">
      <c r="A424" s="27" t="s">
        <v>1314</v>
      </c>
      <c r="B424" s="27" t="s">
        <v>266</v>
      </c>
      <c r="C424" s="9" t="s">
        <v>648</v>
      </c>
      <c r="D424" s="9" t="s">
        <v>260</v>
      </c>
      <c r="E424" s="27" t="s">
        <v>1306</v>
      </c>
      <c r="F424" s="27" t="s">
        <v>626</v>
      </c>
      <c r="G424" s="27" t="s">
        <v>1002</v>
      </c>
      <c r="H424" s="11" t="n">
        <v>0.24</v>
      </c>
      <c r="I424" s="31" t="n">
        <v>0.01</v>
      </c>
      <c r="J424" s="27" t="s">
        <v>86</v>
      </c>
      <c r="K424" s="23" t="s">
        <v>729</v>
      </c>
      <c r="L424" s="9" t="s">
        <v>1307</v>
      </c>
    </row>
    <row r="425" customFormat="false" ht="19.5" hidden="false" customHeight="true" outlineLevel="0" collapsed="false">
      <c r="A425" s="25" t="s">
        <v>1315</v>
      </c>
      <c r="B425" s="25" t="s">
        <v>533</v>
      </c>
      <c r="C425" s="12" t="s">
        <v>651</v>
      </c>
      <c r="D425" s="12" t="s">
        <v>260</v>
      </c>
      <c r="E425" s="25" t="s">
        <v>1306</v>
      </c>
      <c r="F425" s="25" t="s">
        <v>626</v>
      </c>
      <c r="G425" s="25" t="s">
        <v>1002</v>
      </c>
      <c r="H425" s="14" t="n">
        <v>2.2</v>
      </c>
      <c r="I425" s="32" t="n">
        <v>-0.7</v>
      </c>
      <c r="J425" s="25" t="s">
        <v>86</v>
      </c>
      <c r="K425" s="22" t="s">
        <v>729</v>
      </c>
      <c r="L425" s="12" t="s">
        <v>1307</v>
      </c>
    </row>
    <row r="426" customFormat="false" ht="19.5" hidden="false" customHeight="true" outlineLevel="0" collapsed="false">
      <c r="A426" s="27" t="s">
        <v>1316</v>
      </c>
      <c r="B426" s="27" t="s">
        <v>540</v>
      </c>
      <c r="C426" s="9" t="s">
        <v>654</v>
      </c>
      <c r="D426" s="9" t="s">
        <v>260</v>
      </c>
      <c r="E426" s="27" t="s">
        <v>1306</v>
      </c>
      <c r="F426" s="27" t="s">
        <v>626</v>
      </c>
      <c r="G426" s="27" t="s">
        <v>1002</v>
      </c>
      <c r="H426" s="11" t="n">
        <v>0.25</v>
      </c>
      <c r="I426" s="31" t="n">
        <v>0</v>
      </c>
      <c r="J426" s="27" t="s">
        <v>86</v>
      </c>
      <c r="K426" s="23" t="s">
        <v>729</v>
      </c>
      <c r="L426" s="9" t="s">
        <v>1307</v>
      </c>
    </row>
    <row r="427" customFormat="false" ht="19.5" hidden="false" customHeight="true" outlineLevel="0" collapsed="false">
      <c r="A427" s="25" t="s">
        <v>1317</v>
      </c>
      <c r="B427" s="25" t="s">
        <v>276</v>
      </c>
      <c r="C427" s="12" t="s">
        <v>676</v>
      </c>
      <c r="D427" s="12" t="s">
        <v>260</v>
      </c>
      <c r="E427" s="25" t="s">
        <v>1306</v>
      </c>
      <c r="F427" s="25" t="s">
        <v>626</v>
      </c>
      <c r="G427" s="25" t="s">
        <v>1002</v>
      </c>
      <c r="H427" s="14" t="n">
        <v>0</v>
      </c>
      <c r="I427" s="32" t="n">
        <v>0</v>
      </c>
      <c r="J427" s="25" t="s">
        <v>86</v>
      </c>
      <c r="K427" s="22" t="s">
        <v>729</v>
      </c>
      <c r="L427" s="12" t="s">
        <v>1307</v>
      </c>
    </row>
    <row r="428" customFormat="false" ht="19.5" hidden="false" customHeight="true" outlineLevel="0" collapsed="false">
      <c r="A428" s="27" t="s">
        <v>1318</v>
      </c>
      <c r="B428" s="27" t="s">
        <v>257</v>
      </c>
      <c r="C428" s="9" t="s">
        <v>657</v>
      </c>
      <c r="D428" s="9" t="s">
        <v>260</v>
      </c>
      <c r="E428" s="27" t="s">
        <v>1306</v>
      </c>
      <c r="F428" s="27" t="s">
        <v>626</v>
      </c>
      <c r="G428" s="27" t="s">
        <v>1002</v>
      </c>
      <c r="H428" s="11" t="n">
        <v>0.86</v>
      </c>
      <c r="I428" s="31" t="n">
        <v>-0.02</v>
      </c>
      <c r="J428" s="27" t="s">
        <v>86</v>
      </c>
      <c r="K428" s="23" t="s">
        <v>729</v>
      </c>
      <c r="L428" s="9" t="s">
        <v>1307</v>
      </c>
    </row>
    <row r="429" customFormat="false" ht="19.5" hidden="false" customHeight="true" outlineLevel="0" collapsed="false">
      <c r="A429" s="25" t="s">
        <v>1319</v>
      </c>
      <c r="B429" s="25" t="s">
        <v>586</v>
      </c>
      <c r="C429" s="12" t="s">
        <v>660</v>
      </c>
      <c r="D429" s="12" t="s">
        <v>588</v>
      </c>
      <c r="E429" s="25" t="s">
        <v>1306</v>
      </c>
      <c r="F429" s="25" t="s">
        <v>626</v>
      </c>
      <c r="G429" s="25" t="s">
        <v>1002</v>
      </c>
      <c r="H429" s="14" t="n">
        <v>0.2</v>
      </c>
      <c r="I429" s="32" t="n">
        <v>0</v>
      </c>
      <c r="J429" s="25" t="s">
        <v>86</v>
      </c>
      <c r="K429" s="22" t="s">
        <v>729</v>
      </c>
      <c r="L429" s="12" t="s">
        <v>1307</v>
      </c>
    </row>
    <row r="430" customFormat="false" ht="19.5" hidden="false" customHeight="true" outlineLevel="0" collapsed="false">
      <c r="A430" s="27" t="s">
        <v>1320</v>
      </c>
      <c r="B430" s="27" t="s">
        <v>233</v>
      </c>
      <c r="C430" s="9" t="s">
        <v>1321</v>
      </c>
      <c r="D430" s="9" t="s">
        <v>1322</v>
      </c>
      <c r="E430" s="27" t="s">
        <v>1323</v>
      </c>
      <c r="F430" s="27" t="s">
        <v>1324</v>
      </c>
      <c r="G430" s="27" t="s">
        <v>1325</v>
      </c>
      <c r="H430" s="11" t="n">
        <v>1.1</v>
      </c>
      <c r="I430" s="30"/>
      <c r="J430" s="27" t="s">
        <v>86</v>
      </c>
      <c r="K430" s="23" t="s">
        <v>1326</v>
      </c>
      <c r="L430" s="9" t="s">
        <v>1327</v>
      </c>
    </row>
    <row r="431" customFormat="false" ht="19.5" hidden="false" customHeight="true" outlineLevel="0" collapsed="false">
      <c r="A431" s="25" t="s">
        <v>1328</v>
      </c>
      <c r="B431" s="25" t="s">
        <v>233</v>
      </c>
      <c r="C431" s="12" t="s">
        <v>1321</v>
      </c>
      <c r="D431" s="12" t="s">
        <v>1322</v>
      </c>
      <c r="E431" s="25" t="s">
        <v>1323</v>
      </c>
      <c r="F431" s="25" t="s">
        <v>1329</v>
      </c>
      <c r="G431" s="25" t="s">
        <v>1330</v>
      </c>
      <c r="H431" s="14" t="n">
        <v>0.9</v>
      </c>
      <c r="I431" s="29"/>
      <c r="J431" s="25" t="s">
        <v>86</v>
      </c>
      <c r="K431" s="22" t="s">
        <v>1326</v>
      </c>
      <c r="L431" s="12" t="s">
        <v>1331</v>
      </c>
    </row>
    <row r="432" customFormat="false" ht="19.5" hidden="false" customHeight="true" outlineLevel="0" collapsed="false">
      <c r="A432" s="27" t="s">
        <v>1332</v>
      </c>
      <c r="B432" s="27" t="s">
        <v>241</v>
      </c>
      <c r="C432" s="9" t="s">
        <v>1333</v>
      </c>
      <c r="D432" s="9" t="s">
        <v>243</v>
      </c>
      <c r="E432" s="27" t="s">
        <v>1323</v>
      </c>
      <c r="F432" s="27" t="s">
        <v>1334</v>
      </c>
      <c r="G432" s="27" t="s">
        <v>1325</v>
      </c>
      <c r="H432" s="11" t="n">
        <v>0.2</v>
      </c>
      <c r="I432" s="30"/>
      <c r="J432" s="27" t="s">
        <v>86</v>
      </c>
      <c r="K432" s="23" t="s">
        <v>1326</v>
      </c>
      <c r="L432" s="9" t="s">
        <v>1327</v>
      </c>
    </row>
    <row r="433" customFormat="false" ht="19.5" hidden="false" customHeight="true" outlineLevel="0" collapsed="false">
      <c r="A433" s="25" t="s">
        <v>1335</v>
      </c>
      <c r="B433" s="25" t="s">
        <v>241</v>
      </c>
      <c r="C433" s="12" t="s">
        <v>1333</v>
      </c>
      <c r="D433" s="12" t="s">
        <v>243</v>
      </c>
      <c r="E433" s="25" t="s">
        <v>1323</v>
      </c>
      <c r="F433" s="25" t="s">
        <v>1336</v>
      </c>
      <c r="G433" s="25" t="s">
        <v>1330</v>
      </c>
      <c r="H433" s="14" t="n">
        <v>0.4</v>
      </c>
      <c r="I433" s="29"/>
      <c r="J433" s="25" t="s">
        <v>86</v>
      </c>
      <c r="K433" s="22" t="s">
        <v>1326</v>
      </c>
      <c r="L433" s="12" t="s">
        <v>1337</v>
      </c>
    </row>
    <row r="434" customFormat="false" ht="19.5" hidden="false" customHeight="true" outlineLevel="0" collapsed="false">
      <c r="A434" s="27" t="s">
        <v>1338</v>
      </c>
      <c r="B434" s="27" t="s">
        <v>226</v>
      </c>
      <c r="C434" s="9" t="s">
        <v>1339</v>
      </c>
      <c r="D434" s="9" t="s">
        <v>260</v>
      </c>
      <c r="E434" s="27" t="s">
        <v>1323</v>
      </c>
      <c r="F434" s="27" t="s">
        <v>1340</v>
      </c>
      <c r="G434" s="27" t="s">
        <v>1325</v>
      </c>
      <c r="H434" s="11" t="n">
        <v>0</v>
      </c>
      <c r="I434" s="31" t="n">
        <v>0</v>
      </c>
      <c r="J434" s="27" t="s">
        <v>86</v>
      </c>
      <c r="K434" s="23" t="s">
        <v>1326</v>
      </c>
      <c r="L434" s="9" t="s">
        <v>1341</v>
      </c>
    </row>
    <row r="435" customFormat="false" ht="19.5" hidden="false" customHeight="true" outlineLevel="0" collapsed="false">
      <c r="A435" s="25" t="s">
        <v>1342</v>
      </c>
      <c r="B435" s="25" t="s">
        <v>226</v>
      </c>
      <c r="C435" s="12" t="s">
        <v>1339</v>
      </c>
      <c r="D435" s="12" t="s">
        <v>260</v>
      </c>
      <c r="E435" s="25" t="s">
        <v>1323</v>
      </c>
      <c r="F435" s="25" t="s">
        <v>1343</v>
      </c>
      <c r="G435" s="25" t="s">
        <v>1330</v>
      </c>
      <c r="H435" s="14" t="n">
        <v>0</v>
      </c>
      <c r="I435" s="32" t="n">
        <v>0</v>
      </c>
      <c r="J435" s="25" t="s">
        <v>86</v>
      </c>
      <c r="K435" s="22" t="s">
        <v>1326</v>
      </c>
      <c r="L435" s="12" t="s">
        <v>1344</v>
      </c>
    </row>
    <row r="436" customFormat="false" ht="19.5" hidden="false" customHeight="true" outlineLevel="0" collapsed="false">
      <c r="A436" s="27" t="s">
        <v>1345</v>
      </c>
      <c r="B436" s="27" t="s">
        <v>215</v>
      </c>
      <c r="C436" s="9" t="s">
        <v>1346</v>
      </c>
      <c r="D436" s="9" t="s">
        <v>218</v>
      </c>
      <c r="E436" s="27" t="s">
        <v>1323</v>
      </c>
      <c r="F436" s="27" t="s">
        <v>1347</v>
      </c>
      <c r="G436" s="27" t="s">
        <v>1325</v>
      </c>
      <c r="H436" s="11" t="n">
        <v>3</v>
      </c>
      <c r="I436" s="30"/>
      <c r="J436" s="27" t="s">
        <v>86</v>
      </c>
      <c r="K436" s="23" t="s">
        <v>1326</v>
      </c>
      <c r="L436" s="9" t="s">
        <v>1348</v>
      </c>
    </row>
    <row r="437" customFormat="false" ht="19.5" hidden="false" customHeight="true" outlineLevel="0" collapsed="false">
      <c r="A437" s="25" t="s">
        <v>1349</v>
      </c>
      <c r="B437" s="25" t="s">
        <v>215</v>
      </c>
      <c r="C437" s="12" t="s">
        <v>1346</v>
      </c>
      <c r="D437" s="12" t="s">
        <v>218</v>
      </c>
      <c r="E437" s="25" t="s">
        <v>1323</v>
      </c>
      <c r="F437" s="25" t="s">
        <v>1350</v>
      </c>
      <c r="G437" s="25" t="s">
        <v>1330</v>
      </c>
      <c r="H437" s="14" t="n">
        <v>3.1</v>
      </c>
      <c r="I437" s="29"/>
      <c r="J437" s="25" t="s">
        <v>86</v>
      </c>
      <c r="K437" s="22" t="s">
        <v>1326</v>
      </c>
      <c r="L437" s="12" t="s">
        <v>1351</v>
      </c>
    </row>
    <row r="438" customFormat="false" ht="19.5" hidden="false" customHeight="true" outlineLevel="0" collapsed="false">
      <c r="A438" s="27" t="s">
        <v>1352</v>
      </c>
      <c r="B438" s="27" t="s">
        <v>233</v>
      </c>
      <c r="C438" s="9" t="s">
        <v>1321</v>
      </c>
      <c r="D438" s="9" t="s">
        <v>1322</v>
      </c>
      <c r="E438" s="27" t="s">
        <v>1353</v>
      </c>
      <c r="F438" s="27" t="s">
        <v>1354</v>
      </c>
      <c r="G438" s="27" t="s">
        <v>1325</v>
      </c>
      <c r="H438" s="11" t="n">
        <v>1</v>
      </c>
      <c r="I438" s="31" t="n">
        <v>-0.1</v>
      </c>
      <c r="J438" s="27" t="s">
        <v>86</v>
      </c>
      <c r="K438" s="23" t="s">
        <v>1326</v>
      </c>
      <c r="L438" s="9" t="s">
        <v>1355</v>
      </c>
    </row>
    <row r="439" customFormat="false" ht="19.5" hidden="false" customHeight="true" outlineLevel="0" collapsed="false">
      <c r="A439" s="25" t="s">
        <v>1356</v>
      </c>
      <c r="B439" s="25" t="s">
        <v>233</v>
      </c>
      <c r="C439" s="12" t="s">
        <v>1321</v>
      </c>
      <c r="D439" s="12" t="s">
        <v>1322</v>
      </c>
      <c r="E439" s="25" t="s">
        <v>1353</v>
      </c>
      <c r="F439" s="25" t="s">
        <v>1357</v>
      </c>
      <c r="G439" s="25" t="s">
        <v>1330</v>
      </c>
      <c r="H439" s="14" t="n">
        <v>0.8</v>
      </c>
      <c r="I439" s="32" t="n">
        <v>-0.1</v>
      </c>
      <c r="J439" s="25" t="s">
        <v>86</v>
      </c>
      <c r="K439" s="22" t="s">
        <v>1326</v>
      </c>
      <c r="L439" s="12" t="s">
        <v>1358</v>
      </c>
    </row>
    <row r="440" customFormat="false" ht="19.5" hidden="false" customHeight="true" outlineLevel="0" collapsed="false">
      <c r="A440" s="27" t="s">
        <v>1359</v>
      </c>
      <c r="B440" s="27" t="s">
        <v>241</v>
      </c>
      <c r="C440" s="9" t="s">
        <v>1333</v>
      </c>
      <c r="D440" s="9" t="s">
        <v>243</v>
      </c>
      <c r="E440" s="27" t="s">
        <v>1353</v>
      </c>
      <c r="F440" s="27" t="s">
        <v>1360</v>
      </c>
      <c r="G440" s="27" t="s">
        <v>1325</v>
      </c>
      <c r="H440" s="11" t="n">
        <v>0.2</v>
      </c>
      <c r="I440" s="31" t="n">
        <v>0</v>
      </c>
      <c r="J440" s="27" t="s">
        <v>86</v>
      </c>
      <c r="K440" s="23" t="s">
        <v>1326</v>
      </c>
      <c r="L440" s="9" t="s">
        <v>1355</v>
      </c>
    </row>
    <row r="441" customFormat="false" ht="19.5" hidden="false" customHeight="true" outlineLevel="0" collapsed="false">
      <c r="A441" s="25" t="s">
        <v>1361</v>
      </c>
      <c r="B441" s="25" t="s">
        <v>241</v>
      </c>
      <c r="C441" s="12" t="s">
        <v>1333</v>
      </c>
      <c r="D441" s="12" t="s">
        <v>243</v>
      </c>
      <c r="E441" s="25" t="s">
        <v>1353</v>
      </c>
      <c r="F441" s="25" t="s">
        <v>1336</v>
      </c>
      <c r="G441" s="25" t="s">
        <v>1330</v>
      </c>
      <c r="H441" s="14" t="n">
        <v>0.3</v>
      </c>
      <c r="I441" s="32" t="n">
        <v>-0.1</v>
      </c>
      <c r="J441" s="25" t="s">
        <v>86</v>
      </c>
      <c r="K441" s="22" t="s">
        <v>1326</v>
      </c>
      <c r="L441" s="12" t="s">
        <v>1362</v>
      </c>
    </row>
    <row r="442" customFormat="false" ht="19.5" hidden="false" customHeight="true" outlineLevel="0" collapsed="false">
      <c r="A442" s="27" t="s">
        <v>1363</v>
      </c>
      <c r="B442" s="27" t="s">
        <v>226</v>
      </c>
      <c r="C442" s="9" t="s">
        <v>1339</v>
      </c>
      <c r="D442" s="9" t="s">
        <v>260</v>
      </c>
      <c r="E442" s="27" t="s">
        <v>1353</v>
      </c>
      <c r="F442" s="27" t="s">
        <v>1340</v>
      </c>
      <c r="G442" s="27" t="s">
        <v>1325</v>
      </c>
      <c r="H442" s="11" t="n">
        <v>0</v>
      </c>
      <c r="I442" s="31" t="n">
        <v>0</v>
      </c>
      <c r="J442" s="27" t="s">
        <v>86</v>
      </c>
      <c r="K442" s="23" t="s">
        <v>1326</v>
      </c>
      <c r="L442" s="9" t="s">
        <v>1364</v>
      </c>
    </row>
    <row r="443" customFormat="false" ht="19.5" hidden="false" customHeight="true" outlineLevel="0" collapsed="false">
      <c r="A443" s="25" t="s">
        <v>1365</v>
      </c>
      <c r="B443" s="25" t="s">
        <v>226</v>
      </c>
      <c r="C443" s="12" t="s">
        <v>1339</v>
      </c>
      <c r="D443" s="12" t="s">
        <v>260</v>
      </c>
      <c r="E443" s="25" t="s">
        <v>1353</v>
      </c>
      <c r="F443" s="25" t="s">
        <v>1366</v>
      </c>
      <c r="G443" s="25" t="s">
        <v>1330</v>
      </c>
      <c r="H443" s="14" t="n">
        <v>0</v>
      </c>
      <c r="I443" s="32" t="n">
        <v>0</v>
      </c>
      <c r="J443" s="25" t="s">
        <v>86</v>
      </c>
      <c r="K443" s="22" t="s">
        <v>1326</v>
      </c>
      <c r="L443" s="12" t="s">
        <v>1367</v>
      </c>
    </row>
    <row r="444" customFormat="false" ht="19.5" hidden="false" customHeight="true" outlineLevel="0" collapsed="false">
      <c r="A444" s="27" t="s">
        <v>1368</v>
      </c>
      <c r="B444" s="27" t="s">
        <v>215</v>
      </c>
      <c r="C444" s="9" t="s">
        <v>1346</v>
      </c>
      <c r="D444" s="9" t="s">
        <v>218</v>
      </c>
      <c r="E444" s="27" t="s">
        <v>1353</v>
      </c>
      <c r="F444" s="27" t="s">
        <v>1354</v>
      </c>
      <c r="G444" s="27" t="s">
        <v>1325</v>
      </c>
      <c r="H444" s="11" t="n">
        <v>2.8</v>
      </c>
      <c r="I444" s="31" t="n">
        <v>-0.2</v>
      </c>
      <c r="J444" s="27" t="s">
        <v>86</v>
      </c>
      <c r="K444" s="23" t="s">
        <v>1326</v>
      </c>
      <c r="L444" s="9" t="s">
        <v>1369</v>
      </c>
    </row>
    <row r="445" customFormat="false" ht="19.5" hidden="false" customHeight="true" outlineLevel="0" collapsed="false">
      <c r="A445" s="25" t="s">
        <v>1370</v>
      </c>
      <c r="B445" s="25" t="s">
        <v>215</v>
      </c>
      <c r="C445" s="12" t="s">
        <v>1346</v>
      </c>
      <c r="D445" s="12" t="s">
        <v>218</v>
      </c>
      <c r="E445" s="25" t="s">
        <v>1353</v>
      </c>
      <c r="F445" s="25" t="s">
        <v>1371</v>
      </c>
      <c r="G445" s="25" t="s">
        <v>1330</v>
      </c>
      <c r="H445" s="14" t="n">
        <v>3</v>
      </c>
      <c r="I445" s="32" t="n">
        <v>-0.1</v>
      </c>
      <c r="J445" s="25" t="s">
        <v>86</v>
      </c>
      <c r="K445" s="22" t="s">
        <v>1326</v>
      </c>
      <c r="L445" s="12" t="s">
        <v>1372</v>
      </c>
    </row>
    <row r="446" customFormat="false" ht="19.5" hidden="false" customHeight="true" outlineLevel="0" collapsed="false">
      <c r="A446" s="27" t="s">
        <v>1373</v>
      </c>
      <c r="B446" s="27" t="s">
        <v>233</v>
      </c>
      <c r="C446" s="9" t="s">
        <v>1321</v>
      </c>
      <c r="D446" s="9" t="s">
        <v>1322</v>
      </c>
      <c r="E446" s="27" t="s">
        <v>1374</v>
      </c>
      <c r="F446" s="27" t="s">
        <v>1375</v>
      </c>
      <c r="G446" s="27" t="s">
        <v>1325</v>
      </c>
      <c r="H446" s="11" t="n">
        <v>0.9</v>
      </c>
      <c r="I446" s="31" t="n">
        <v>-0.1</v>
      </c>
      <c r="J446" s="27" t="s">
        <v>86</v>
      </c>
      <c r="K446" s="23" t="s">
        <v>1376</v>
      </c>
      <c r="L446" s="9" t="s">
        <v>1377</v>
      </c>
    </row>
    <row r="447" customFormat="false" ht="19.5" hidden="false" customHeight="true" outlineLevel="0" collapsed="false">
      <c r="A447" s="25" t="s">
        <v>1378</v>
      </c>
      <c r="B447" s="25" t="s">
        <v>233</v>
      </c>
      <c r="C447" s="12" t="s">
        <v>1321</v>
      </c>
      <c r="D447" s="12" t="s">
        <v>1322</v>
      </c>
      <c r="E447" s="25" t="s">
        <v>1374</v>
      </c>
      <c r="F447" s="25" t="s">
        <v>1334</v>
      </c>
      <c r="G447" s="25" t="s">
        <v>1379</v>
      </c>
      <c r="H447" s="14" t="n">
        <v>0.9</v>
      </c>
      <c r="I447" s="29"/>
      <c r="J447" s="25" t="s">
        <v>86</v>
      </c>
      <c r="K447" s="22" t="s">
        <v>1326</v>
      </c>
      <c r="L447" s="12" t="s">
        <v>1380</v>
      </c>
    </row>
    <row r="448" customFormat="false" ht="19.5" hidden="false" customHeight="true" outlineLevel="0" collapsed="false">
      <c r="A448" s="27" t="s">
        <v>1381</v>
      </c>
      <c r="B448" s="27" t="s">
        <v>233</v>
      </c>
      <c r="C448" s="9" t="s">
        <v>1321</v>
      </c>
      <c r="D448" s="9" t="s">
        <v>1322</v>
      </c>
      <c r="E448" s="27" t="s">
        <v>1374</v>
      </c>
      <c r="F448" s="27" t="s">
        <v>1382</v>
      </c>
      <c r="G448" s="27" t="s">
        <v>1330</v>
      </c>
      <c r="H448" s="11" t="n">
        <v>0.8</v>
      </c>
      <c r="I448" s="31" t="n">
        <v>0</v>
      </c>
      <c r="J448" s="27" t="s">
        <v>86</v>
      </c>
      <c r="K448" s="23" t="s">
        <v>1383</v>
      </c>
      <c r="L448" s="9" t="s">
        <v>1384</v>
      </c>
    </row>
    <row r="449" customFormat="false" ht="19.5" hidden="false" customHeight="true" outlineLevel="0" collapsed="false">
      <c r="A449" s="25" t="s">
        <v>1385</v>
      </c>
      <c r="B449" s="25" t="s">
        <v>241</v>
      </c>
      <c r="C449" s="12" t="s">
        <v>1333</v>
      </c>
      <c r="D449" s="12" t="s">
        <v>243</v>
      </c>
      <c r="E449" s="25" t="s">
        <v>1374</v>
      </c>
      <c r="F449" s="25" t="s">
        <v>1360</v>
      </c>
      <c r="G449" s="25" t="s">
        <v>1325</v>
      </c>
      <c r="H449" s="14" t="n">
        <v>0.2</v>
      </c>
      <c r="I449" s="32" t="n">
        <v>0</v>
      </c>
      <c r="J449" s="25" t="s">
        <v>86</v>
      </c>
      <c r="K449" s="22" t="s">
        <v>1383</v>
      </c>
      <c r="L449" s="12" t="s">
        <v>1386</v>
      </c>
    </row>
    <row r="450" customFormat="false" ht="19.5" hidden="false" customHeight="true" outlineLevel="0" collapsed="false">
      <c r="A450" s="27" t="s">
        <v>1387</v>
      </c>
      <c r="B450" s="27" t="s">
        <v>241</v>
      </c>
      <c r="C450" s="9" t="s">
        <v>1333</v>
      </c>
      <c r="D450" s="9" t="s">
        <v>243</v>
      </c>
      <c r="E450" s="27" t="s">
        <v>1374</v>
      </c>
      <c r="F450" s="27" t="s">
        <v>1334</v>
      </c>
      <c r="G450" s="27" t="s">
        <v>1379</v>
      </c>
      <c r="H450" s="11" t="n">
        <v>0.2</v>
      </c>
      <c r="I450" s="30"/>
      <c r="J450" s="27" t="s">
        <v>86</v>
      </c>
      <c r="K450" s="23" t="s">
        <v>1326</v>
      </c>
      <c r="L450" s="9" t="s">
        <v>1380</v>
      </c>
    </row>
    <row r="451" customFormat="false" ht="19.5" hidden="false" customHeight="true" outlineLevel="0" collapsed="false">
      <c r="A451" s="25" t="s">
        <v>1388</v>
      </c>
      <c r="B451" s="25" t="s">
        <v>241</v>
      </c>
      <c r="C451" s="12" t="s">
        <v>1333</v>
      </c>
      <c r="D451" s="12" t="s">
        <v>243</v>
      </c>
      <c r="E451" s="25" t="s">
        <v>1374</v>
      </c>
      <c r="F451" s="25" t="s">
        <v>1336</v>
      </c>
      <c r="G451" s="25" t="s">
        <v>1330</v>
      </c>
      <c r="H451" s="14" t="n">
        <v>0.4</v>
      </c>
      <c r="I451" s="32" t="n">
        <v>0.1</v>
      </c>
      <c r="J451" s="25" t="s">
        <v>86</v>
      </c>
      <c r="K451" s="22" t="s">
        <v>1383</v>
      </c>
      <c r="L451" s="12" t="s">
        <v>1384</v>
      </c>
    </row>
    <row r="452" customFormat="false" ht="19.5" hidden="false" customHeight="true" outlineLevel="0" collapsed="false">
      <c r="A452" s="27" t="s">
        <v>1389</v>
      </c>
      <c r="B452" s="27" t="s">
        <v>226</v>
      </c>
      <c r="C452" s="9" t="s">
        <v>1339</v>
      </c>
      <c r="D452" s="9" t="s">
        <v>260</v>
      </c>
      <c r="E452" s="27" t="s">
        <v>1374</v>
      </c>
      <c r="F452" s="27" t="s">
        <v>1375</v>
      </c>
      <c r="G452" s="27" t="s">
        <v>1325</v>
      </c>
      <c r="H452" s="11" t="n">
        <v>0</v>
      </c>
      <c r="I452" s="31" t="n">
        <v>0</v>
      </c>
      <c r="J452" s="27" t="s">
        <v>86</v>
      </c>
      <c r="K452" s="23" t="s">
        <v>1376</v>
      </c>
      <c r="L452" s="9" t="s">
        <v>1390</v>
      </c>
    </row>
    <row r="453" customFormat="false" ht="19.5" hidden="false" customHeight="true" outlineLevel="0" collapsed="false">
      <c r="A453" s="25" t="s">
        <v>1391</v>
      </c>
      <c r="B453" s="25" t="s">
        <v>215</v>
      </c>
      <c r="C453" s="12" t="s">
        <v>1346</v>
      </c>
      <c r="D453" s="12" t="s">
        <v>218</v>
      </c>
      <c r="E453" s="25" t="s">
        <v>1374</v>
      </c>
      <c r="F453" s="25" t="s">
        <v>1392</v>
      </c>
      <c r="G453" s="25" t="s">
        <v>1325</v>
      </c>
      <c r="H453" s="14" t="n">
        <v>2.9</v>
      </c>
      <c r="I453" s="32" t="n">
        <v>0.1</v>
      </c>
      <c r="J453" s="25" t="s">
        <v>86</v>
      </c>
      <c r="K453" s="22" t="s">
        <v>1376</v>
      </c>
      <c r="L453" s="12" t="s">
        <v>1393</v>
      </c>
    </row>
    <row r="454" customFormat="false" ht="19.5" hidden="false" customHeight="true" outlineLevel="0" collapsed="false">
      <c r="A454" s="27" t="s">
        <v>1394</v>
      </c>
      <c r="B454" s="27" t="s">
        <v>215</v>
      </c>
      <c r="C454" s="9" t="s">
        <v>1346</v>
      </c>
      <c r="D454" s="9" t="s">
        <v>218</v>
      </c>
      <c r="E454" s="27" t="s">
        <v>1374</v>
      </c>
      <c r="F454" s="27" t="s">
        <v>1334</v>
      </c>
      <c r="G454" s="27" t="s">
        <v>1379</v>
      </c>
      <c r="H454" s="11" t="n">
        <v>2.8</v>
      </c>
      <c r="I454" s="30"/>
      <c r="J454" s="27" t="s">
        <v>86</v>
      </c>
      <c r="K454" s="23" t="s">
        <v>1326</v>
      </c>
      <c r="L454" s="9" t="s">
        <v>1395</v>
      </c>
    </row>
    <row r="455" customFormat="false" ht="19.5" hidden="false" customHeight="true" outlineLevel="0" collapsed="false">
      <c r="A455" s="25" t="s">
        <v>1396</v>
      </c>
      <c r="B455" s="25" t="s">
        <v>215</v>
      </c>
      <c r="C455" s="12" t="s">
        <v>1346</v>
      </c>
      <c r="D455" s="12" t="s">
        <v>218</v>
      </c>
      <c r="E455" s="25" t="s">
        <v>1374</v>
      </c>
      <c r="F455" s="25" t="s">
        <v>1397</v>
      </c>
      <c r="G455" s="25" t="s">
        <v>1330</v>
      </c>
      <c r="H455" s="14" t="n">
        <v>2.9</v>
      </c>
      <c r="I455" s="32" t="n">
        <v>-0.1</v>
      </c>
      <c r="J455" s="25" t="s">
        <v>86</v>
      </c>
      <c r="K455" s="22" t="s">
        <v>1383</v>
      </c>
      <c r="L455" s="12" t="s">
        <v>1398</v>
      </c>
    </row>
    <row r="456" customFormat="false" ht="19.5" hidden="false" customHeight="true" outlineLevel="0" collapsed="false">
      <c r="A456" s="27" t="s">
        <v>1399</v>
      </c>
      <c r="B456" s="27" t="s">
        <v>233</v>
      </c>
      <c r="C456" s="9" t="s">
        <v>1321</v>
      </c>
      <c r="D456" s="9" t="s">
        <v>1322</v>
      </c>
      <c r="E456" s="27" t="s">
        <v>1400</v>
      </c>
      <c r="F456" s="27" t="s">
        <v>1401</v>
      </c>
      <c r="G456" s="27" t="s">
        <v>1325</v>
      </c>
      <c r="H456" s="11" t="n">
        <v>0.7</v>
      </c>
      <c r="I456" s="31" t="n">
        <v>-0.2</v>
      </c>
      <c r="J456" s="27" t="s">
        <v>86</v>
      </c>
      <c r="K456" s="23" t="s">
        <v>1376</v>
      </c>
      <c r="L456" s="9" t="s">
        <v>1402</v>
      </c>
    </row>
    <row r="457" customFormat="false" ht="19.5" hidden="false" customHeight="true" outlineLevel="0" collapsed="false">
      <c r="A457" s="25" t="s">
        <v>1403</v>
      </c>
      <c r="B457" s="25" t="s">
        <v>233</v>
      </c>
      <c r="C457" s="12" t="s">
        <v>1321</v>
      </c>
      <c r="D457" s="12" t="s">
        <v>1322</v>
      </c>
      <c r="E457" s="25" t="s">
        <v>1400</v>
      </c>
      <c r="F457" s="25" t="s">
        <v>1334</v>
      </c>
      <c r="G457" s="25" t="s">
        <v>1379</v>
      </c>
      <c r="H457" s="14" t="n">
        <v>0.6</v>
      </c>
      <c r="I457" s="32" t="n">
        <v>-0.3</v>
      </c>
      <c r="J457" s="25" t="s">
        <v>86</v>
      </c>
      <c r="K457" s="22" t="s">
        <v>1383</v>
      </c>
      <c r="L457" s="12" t="s">
        <v>1404</v>
      </c>
    </row>
    <row r="458" customFormat="false" ht="19.5" hidden="false" customHeight="true" outlineLevel="0" collapsed="false">
      <c r="A458" s="27" t="s">
        <v>1405</v>
      </c>
      <c r="B458" s="27" t="s">
        <v>233</v>
      </c>
      <c r="C458" s="9" t="s">
        <v>1321</v>
      </c>
      <c r="D458" s="9" t="s">
        <v>1322</v>
      </c>
      <c r="E458" s="27" t="s">
        <v>1400</v>
      </c>
      <c r="F458" s="27" t="s">
        <v>1336</v>
      </c>
      <c r="G458" s="27" t="s">
        <v>1330</v>
      </c>
      <c r="H458" s="11" t="n">
        <v>0.7</v>
      </c>
      <c r="I458" s="31" t="n">
        <v>-0.1</v>
      </c>
      <c r="J458" s="27" t="s">
        <v>86</v>
      </c>
      <c r="K458" s="23" t="s">
        <v>1383</v>
      </c>
      <c r="L458" s="9" t="s">
        <v>1406</v>
      </c>
    </row>
    <row r="459" customFormat="false" ht="19.5" hidden="false" customHeight="true" outlineLevel="0" collapsed="false">
      <c r="A459" s="25" t="s">
        <v>1407</v>
      </c>
      <c r="B459" s="25" t="s">
        <v>241</v>
      </c>
      <c r="C459" s="12" t="s">
        <v>1333</v>
      </c>
      <c r="D459" s="12" t="s">
        <v>243</v>
      </c>
      <c r="E459" s="25" t="s">
        <v>1400</v>
      </c>
      <c r="F459" s="25" t="s">
        <v>1360</v>
      </c>
      <c r="G459" s="25" t="s">
        <v>1325</v>
      </c>
      <c r="H459" s="14" t="n">
        <v>0.6</v>
      </c>
      <c r="I459" s="32" t="n">
        <v>0.4</v>
      </c>
      <c r="J459" s="25" t="s">
        <v>86</v>
      </c>
      <c r="K459" s="22" t="s">
        <v>1376</v>
      </c>
      <c r="L459" s="12" t="s">
        <v>1402</v>
      </c>
    </row>
    <row r="460" customFormat="false" ht="19.5" hidden="false" customHeight="true" outlineLevel="0" collapsed="false">
      <c r="A460" s="27" t="s">
        <v>1408</v>
      </c>
      <c r="B460" s="27" t="s">
        <v>241</v>
      </c>
      <c r="C460" s="9" t="s">
        <v>1333</v>
      </c>
      <c r="D460" s="9" t="s">
        <v>243</v>
      </c>
      <c r="E460" s="27" t="s">
        <v>1400</v>
      </c>
      <c r="F460" s="27" t="s">
        <v>1334</v>
      </c>
      <c r="G460" s="27" t="s">
        <v>1379</v>
      </c>
      <c r="H460" s="11" t="n">
        <v>0.5</v>
      </c>
      <c r="I460" s="31" t="n">
        <v>0.3</v>
      </c>
      <c r="J460" s="27" t="s">
        <v>86</v>
      </c>
      <c r="K460" s="23" t="s">
        <v>1383</v>
      </c>
      <c r="L460" s="9" t="s">
        <v>1404</v>
      </c>
    </row>
    <row r="461" customFormat="false" ht="19.5" hidden="false" customHeight="true" outlineLevel="0" collapsed="false">
      <c r="A461" s="25" t="s">
        <v>1409</v>
      </c>
      <c r="B461" s="25" t="s">
        <v>241</v>
      </c>
      <c r="C461" s="12" t="s">
        <v>1333</v>
      </c>
      <c r="D461" s="12" t="s">
        <v>243</v>
      </c>
      <c r="E461" s="25" t="s">
        <v>1400</v>
      </c>
      <c r="F461" s="25" t="s">
        <v>1410</v>
      </c>
      <c r="G461" s="25" t="s">
        <v>1330</v>
      </c>
      <c r="H461" s="14" t="n">
        <v>0.8</v>
      </c>
      <c r="I461" s="32" t="n">
        <v>0.4</v>
      </c>
      <c r="J461" s="25" t="s">
        <v>86</v>
      </c>
      <c r="K461" s="22" t="s">
        <v>1383</v>
      </c>
      <c r="L461" s="12" t="s">
        <v>1406</v>
      </c>
    </row>
    <row r="462" customFormat="false" ht="19.5" hidden="false" customHeight="true" outlineLevel="0" collapsed="false">
      <c r="A462" s="27" t="s">
        <v>1411</v>
      </c>
      <c r="B462" s="27" t="s">
        <v>226</v>
      </c>
      <c r="C462" s="9" t="s">
        <v>1339</v>
      </c>
      <c r="D462" s="9" t="s">
        <v>260</v>
      </c>
      <c r="E462" s="27" t="s">
        <v>1400</v>
      </c>
      <c r="F462" s="27" t="s">
        <v>1360</v>
      </c>
      <c r="G462" s="27" t="s">
        <v>1325</v>
      </c>
      <c r="H462" s="11" t="n">
        <v>0</v>
      </c>
      <c r="I462" s="31" t="n">
        <v>0</v>
      </c>
      <c r="J462" s="27" t="s">
        <v>86</v>
      </c>
      <c r="K462" s="23" t="s">
        <v>1376</v>
      </c>
      <c r="L462" s="9" t="s">
        <v>1412</v>
      </c>
    </row>
    <row r="463" customFormat="false" ht="19.5" hidden="false" customHeight="true" outlineLevel="0" collapsed="false">
      <c r="A463" s="25" t="s">
        <v>1413</v>
      </c>
      <c r="B463" s="25" t="s">
        <v>215</v>
      </c>
      <c r="C463" s="12" t="s">
        <v>1346</v>
      </c>
      <c r="D463" s="12" t="s">
        <v>218</v>
      </c>
      <c r="E463" s="25" t="s">
        <v>1400</v>
      </c>
      <c r="F463" s="25" t="s">
        <v>1401</v>
      </c>
      <c r="G463" s="25" t="s">
        <v>1325</v>
      </c>
      <c r="H463" s="14" t="n">
        <v>2.8</v>
      </c>
      <c r="I463" s="32" t="n">
        <v>-0.1</v>
      </c>
      <c r="J463" s="25" t="s">
        <v>86</v>
      </c>
      <c r="K463" s="22" t="s">
        <v>1376</v>
      </c>
      <c r="L463" s="12" t="s">
        <v>1414</v>
      </c>
    </row>
    <row r="464" customFormat="false" ht="19.5" hidden="false" customHeight="true" outlineLevel="0" collapsed="false">
      <c r="A464" s="27" t="s">
        <v>1415</v>
      </c>
      <c r="B464" s="27" t="s">
        <v>215</v>
      </c>
      <c r="C464" s="9" t="s">
        <v>1346</v>
      </c>
      <c r="D464" s="9" t="s">
        <v>218</v>
      </c>
      <c r="E464" s="27" t="s">
        <v>1400</v>
      </c>
      <c r="F464" s="27" t="s">
        <v>1334</v>
      </c>
      <c r="G464" s="27" t="s">
        <v>1379</v>
      </c>
      <c r="H464" s="11" t="n">
        <v>2.7</v>
      </c>
      <c r="I464" s="31" t="n">
        <v>-0.1</v>
      </c>
      <c r="J464" s="27" t="s">
        <v>86</v>
      </c>
      <c r="K464" s="23" t="s">
        <v>1383</v>
      </c>
      <c r="L464" s="9" t="s">
        <v>1404</v>
      </c>
    </row>
    <row r="465" customFormat="false" ht="19.5" hidden="false" customHeight="true" outlineLevel="0" collapsed="false">
      <c r="A465" s="25" t="s">
        <v>1416</v>
      </c>
      <c r="B465" s="25" t="s">
        <v>215</v>
      </c>
      <c r="C465" s="12" t="s">
        <v>1346</v>
      </c>
      <c r="D465" s="12" t="s">
        <v>218</v>
      </c>
      <c r="E465" s="25" t="s">
        <v>1400</v>
      </c>
      <c r="F465" s="25" t="s">
        <v>1417</v>
      </c>
      <c r="G465" s="25" t="s">
        <v>1330</v>
      </c>
      <c r="H465" s="14" t="n">
        <v>3.1</v>
      </c>
      <c r="I465" s="32" t="n">
        <v>0.2</v>
      </c>
      <c r="J465" s="25" t="s">
        <v>86</v>
      </c>
      <c r="K465" s="22" t="s">
        <v>1383</v>
      </c>
      <c r="L465" s="12" t="s">
        <v>1406</v>
      </c>
    </row>
    <row r="466" customFormat="false" ht="19.5" hidden="false" customHeight="true" outlineLevel="0" collapsed="false">
      <c r="A466" s="27" t="s">
        <v>1418</v>
      </c>
      <c r="B466" s="27" t="s">
        <v>233</v>
      </c>
      <c r="C466" s="9" t="s">
        <v>1321</v>
      </c>
      <c r="D466" s="9" t="s">
        <v>1322</v>
      </c>
      <c r="E466" s="27" t="s">
        <v>1419</v>
      </c>
      <c r="F466" s="27" t="s">
        <v>1420</v>
      </c>
      <c r="G466" s="27" t="s">
        <v>1325</v>
      </c>
      <c r="H466" s="11" t="n">
        <v>0.7</v>
      </c>
      <c r="I466" s="31" t="n">
        <v>0</v>
      </c>
      <c r="J466" s="27" t="s">
        <v>86</v>
      </c>
      <c r="K466" s="23" t="s">
        <v>1376</v>
      </c>
      <c r="L466" s="9" t="s">
        <v>1421</v>
      </c>
    </row>
    <row r="467" customFormat="false" ht="19.5" hidden="false" customHeight="true" outlineLevel="0" collapsed="false">
      <c r="A467" s="25" t="s">
        <v>1422</v>
      </c>
      <c r="B467" s="25" t="s">
        <v>233</v>
      </c>
      <c r="C467" s="12" t="s">
        <v>1321</v>
      </c>
      <c r="D467" s="12" t="s">
        <v>1322</v>
      </c>
      <c r="E467" s="25" t="s">
        <v>1419</v>
      </c>
      <c r="F467" s="25" t="s">
        <v>1334</v>
      </c>
      <c r="G467" s="25" t="s">
        <v>1379</v>
      </c>
      <c r="H467" s="14" t="n">
        <v>0.3</v>
      </c>
      <c r="I467" s="29"/>
      <c r="J467" s="25" t="s">
        <v>86</v>
      </c>
      <c r="K467" s="22" t="s">
        <v>1376</v>
      </c>
      <c r="L467" s="12" t="s">
        <v>1423</v>
      </c>
    </row>
    <row r="468" customFormat="false" ht="19.5" hidden="false" customHeight="true" outlineLevel="0" collapsed="false">
      <c r="A468" s="27" t="s">
        <v>1424</v>
      </c>
      <c r="B468" s="27" t="s">
        <v>241</v>
      </c>
      <c r="C468" s="9" t="s">
        <v>1333</v>
      </c>
      <c r="D468" s="9" t="s">
        <v>243</v>
      </c>
      <c r="E468" s="27" t="s">
        <v>1419</v>
      </c>
      <c r="F468" s="27" t="s">
        <v>1360</v>
      </c>
      <c r="G468" s="27" t="s">
        <v>1325</v>
      </c>
      <c r="H468" s="11" t="n">
        <v>1</v>
      </c>
      <c r="I468" s="31" t="n">
        <v>0.4</v>
      </c>
      <c r="J468" s="27" t="s">
        <v>86</v>
      </c>
      <c r="K468" s="23" t="s">
        <v>1376</v>
      </c>
      <c r="L468" s="9" t="s">
        <v>1421</v>
      </c>
    </row>
    <row r="469" customFormat="false" ht="19.5" hidden="false" customHeight="true" outlineLevel="0" collapsed="false">
      <c r="A469" s="25" t="s">
        <v>1425</v>
      </c>
      <c r="B469" s="25" t="s">
        <v>241</v>
      </c>
      <c r="C469" s="12" t="s">
        <v>1333</v>
      </c>
      <c r="D469" s="12" t="s">
        <v>243</v>
      </c>
      <c r="E469" s="25" t="s">
        <v>1419</v>
      </c>
      <c r="F469" s="25" t="s">
        <v>1334</v>
      </c>
      <c r="G469" s="25" t="s">
        <v>1379</v>
      </c>
      <c r="H469" s="14" t="n">
        <v>0.9</v>
      </c>
      <c r="I469" s="29"/>
      <c r="J469" s="25" t="s">
        <v>86</v>
      </c>
      <c r="K469" s="22" t="s">
        <v>1376</v>
      </c>
      <c r="L469" s="12" t="s">
        <v>1423</v>
      </c>
    </row>
    <row r="470" customFormat="false" ht="19.5" hidden="false" customHeight="true" outlineLevel="0" collapsed="false">
      <c r="A470" s="27" t="s">
        <v>1426</v>
      </c>
      <c r="B470" s="27" t="s">
        <v>226</v>
      </c>
      <c r="C470" s="9" t="s">
        <v>1339</v>
      </c>
      <c r="D470" s="9" t="s">
        <v>260</v>
      </c>
      <c r="E470" s="27" t="s">
        <v>1419</v>
      </c>
      <c r="F470" s="27" t="s">
        <v>1427</v>
      </c>
      <c r="G470" s="27" t="s">
        <v>1325</v>
      </c>
      <c r="H470" s="11" t="n">
        <v>0</v>
      </c>
      <c r="I470" s="31" t="n">
        <v>0</v>
      </c>
      <c r="J470" s="27" t="s">
        <v>86</v>
      </c>
      <c r="K470" s="23" t="s">
        <v>1376</v>
      </c>
      <c r="L470" s="9" t="s">
        <v>1428</v>
      </c>
    </row>
    <row r="471" customFormat="false" ht="19.5" hidden="false" customHeight="true" outlineLevel="0" collapsed="false">
      <c r="A471" s="25" t="s">
        <v>1429</v>
      </c>
      <c r="B471" s="25" t="s">
        <v>215</v>
      </c>
      <c r="C471" s="12" t="s">
        <v>1346</v>
      </c>
      <c r="D471" s="12" t="s">
        <v>218</v>
      </c>
      <c r="E471" s="25" t="s">
        <v>1419</v>
      </c>
      <c r="F471" s="25" t="s">
        <v>1430</v>
      </c>
      <c r="G471" s="25" t="s">
        <v>1325</v>
      </c>
      <c r="H471" s="14" t="n">
        <v>3.6</v>
      </c>
      <c r="I471" s="32" t="n">
        <v>0.8</v>
      </c>
      <c r="J471" s="25" t="s">
        <v>86</v>
      </c>
      <c r="K471" s="22" t="s">
        <v>1376</v>
      </c>
      <c r="L471" s="12" t="s">
        <v>1431</v>
      </c>
    </row>
    <row r="472" customFormat="false" ht="19.5" hidden="false" customHeight="true" outlineLevel="0" collapsed="false">
      <c r="A472" s="27" t="s">
        <v>1432</v>
      </c>
      <c r="B472" s="27" t="s">
        <v>215</v>
      </c>
      <c r="C472" s="9" t="s">
        <v>1346</v>
      </c>
      <c r="D472" s="9" t="s">
        <v>218</v>
      </c>
      <c r="E472" s="27" t="s">
        <v>1419</v>
      </c>
      <c r="F472" s="27" t="s">
        <v>1334</v>
      </c>
      <c r="G472" s="27" t="s">
        <v>1379</v>
      </c>
      <c r="H472" s="11" t="n">
        <v>3.5</v>
      </c>
      <c r="I472" s="30"/>
      <c r="J472" s="27" t="s">
        <v>86</v>
      </c>
      <c r="K472" s="23" t="s">
        <v>1376</v>
      </c>
      <c r="L472" s="9" t="s">
        <v>1433</v>
      </c>
    </row>
    <row r="473" customFormat="false" ht="19.5" hidden="false" customHeight="true" outlineLevel="0" collapsed="false">
      <c r="A473" s="25" t="s">
        <v>1434</v>
      </c>
      <c r="B473" s="25" t="s">
        <v>233</v>
      </c>
      <c r="C473" s="12" t="s">
        <v>1321</v>
      </c>
      <c r="D473" s="12" t="s">
        <v>1322</v>
      </c>
      <c r="E473" s="25" t="s">
        <v>1435</v>
      </c>
      <c r="F473" s="25" t="s">
        <v>1436</v>
      </c>
      <c r="G473" s="25" t="s">
        <v>1330</v>
      </c>
      <c r="H473" s="14" t="n">
        <v>0.8</v>
      </c>
      <c r="I473" s="29"/>
      <c r="J473" s="25" t="s">
        <v>86</v>
      </c>
      <c r="K473" s="22" t="s">
        <v>1437</v>
      </c>
      <c r="L473" s="12" t="s">
        <v>1438</v>
      </c>
    </row>
    <row r="474" customFormat="false" ht="19.5" hidden="false" customHeight="true" outlineLevel="0" collapsed="false">
      <c r="A474" s="27" t="s">
        <v>1439</v>
      </c>
      <c r="B474" s="27" t="s">
        <v>241</v>
      </c>
      <c r="C474" s="9" t="s">
        <v>1333</v>
      </c>
      <c r="D474" s="9" t="s">
        <v>243</v>
      </c>
      <c r="E474" s="27" t="s">
        <v>1435</v>
      </c>
      <c r="F474" s="27" t="s">
        <v>1440</v>
      </c>
      <c r="G474" s="27" t="s">
        <v>1330</v>
      </c>
      <c r="H474" s="11" t="n">
        <v>0.3</v>
      </c>
      <c r="I474" s="30"/>
      <c r="J474" s="27" t="s">
        <v>86</v>
      </c>
      <c r="K474" s="23" t="s">
        <v>1437</v>
      </c>
      <c r="L474" s="9" t="s">
        <v>1441</v>
      </c>
    </row>
    <row r="475" customFormat="false" ht="19.5" hidden="false" customHeight="true" outlineLevel="0" collapsed="false">
      <c r="A475" s="25" t="s">
        <v>1442</v>
      </c>
      <c r="B475" s="25" t="s">
        <v>250</v>
      </c>
      <c r="C475" s="12" t="s">
        <v>1443</v>
      </c>
      <c r="D475" s="12" t="s">
        <v>252</v>
      </c>
      <c r="E475" s="25" t="s">
        <v>1435</v>
      </c>
      <c r="F475" s="25" t="s">
        <v>1334</v>
      </c>
      <c r="G475" s="25" t="s">
        <v>626</v>
      </c>
      <c r="H475" s="14" t="n">
        <v>0</v>
      </c>
      <c r="I475" s="32" t="n">
        <v>0</v>
      </c>
      <c r="J475" s="25" t="s">
        <v>86</v>
      </c>
      <c r="K475" s="22" t="s">
        <v>1437</v>
      </c>
      <c r="L475" s="12" t="s">
        <v>1444</v>
      </c>
    </row>
    <row r="476" customFormat="false" ht="19.5" hidden="false" customHeight="true" outlineLevel="0" collapsed="false">
      <c r="A476" s="27" t="s">
        <v>1445</v>
      </c>
      <c r="B476" s="27" t="s">
        <v>226</v>
      </c>
      <c r="C476" s="9" t="s">
        <v>1339</v>
      </c>
      <c r="D476" s="9" t="s">
        <v>260</v>
      </c>
      <c r="E476" s="27" t="s">
        <v>1435</v>
      </c>
      <c r="F476" s="27" t="s">
        <v>1334</v>
      </c>
      <c r="G476" s="27" t="s">
        <v>626</v>
      </c>
      <c r="H476" s="11" t="n">
        <v>0</v>
      </c>
      <c r="I476" s="31" t="n">
        <v>0</v>
      </c>
      <c r="J476" s="27" t="s">
        <v>86</v>
      </c>
      <c r="K476" s="23" t="s">
        <v>1437</v>
      </c>
      <c r="L476" s="9" t="s">
        <v>1446</v>
      </c>
    </row>
    <row r="477" customFormat="false" ht="19.5" hidden="false" customHeight="true" outlineLevel="0" collapsed="false">
      <c r="A477" s="25" t="s">
        <v>1447</v>
      </c>
      <c r="B477" s="25" t="s">
        <v>215</v>
      </c>
      <c r="C477" s="12" t="s">
        <v>1346</v>
      </c>
      <c r="D477" s="12" t="s">
        <v>218</v>
      </c>
      <c r="E477" s="25" t="s">
        <v>1435</v>
      </c>
      <c r="F477" s="25" t="s">
        <v>1448</v>
      </c>
      <c r="G477" s="25" t="s">
        <v>1330</v>
      </c>
      <c r="H477" s="14" t="n">
        <v>3.8</v>
      </c>
      <c r="I477" s="29"/>
      <c r="J477" s="25" t="s">
        <v>86</v>
      </c>
      <c r="K477" s="22" t="s">
        <v>1437</v>
      </c>
      <c r="L477" s="12" t="s">
        <v>1438</v>
      </c>
    </row>
    <row r="478" customFormat="false" ht="19.5" hidden="false" customHeight="true" outlineLevel="0" collapsed="false">
      <c r="A478" s="27" t="s">
        <v>1449</v>
      </c>
      <c r="B478" s="27" t="s">
        <v>233</v>
      </c>
      <c r="C478" s="9" t="s">
        <v>1321</v>
      </c>
      <c r="D478" s="9" t="s">
        <v>1322</v>
      </c>
      <c r="E478" s="27" t="s">
        <v>1450</v>
      </c>
      <c r="F478" s="27" t="s">
        <v>1451</v>
      </c>
      <c r="G478" s="27" t="s">
        <v>1325</v>
      </c>
      <c r="H478" s="11" t="n">
        <v>1.1</v>
      </c>
      <c r="I478" s="30"/>
      <c r="J478" s="27" t="s">
        <v>86</v>
      </c>
      <c r="K478" s="23" t="s">
        <v>1437</v>
      </c>
      <c r="L478" s="9" t="s">
        <v>1452</v>
      </c>
    </row>
    <row r="479" customFormat="false" ht="19.5" hidden="false" customHeight="true" outlineLevel="0" collapsed="false">
      <c r="A479" s="25" t="s">
        <v>1453</v>
      </c>
      <c r="B479" s="25" t="s">
        <v>233</v>
      </c>
      <c r="C479" s="12" t="s">
        <v>1321</v>
      </c>
      <c r="D479" s="12" t="s">
        <v>1322</v>
      </c>
      <c r="E479" s="25" t="s">
        <v>1450</v>
      </c>
      <c r="F479" s="25" t="s">
        <v>1454</v>
      </c>
      <c r="G479" s="25" t="s">
        <v>1330</v>
      </c>
      <c r="H479" s="14" t="n">
        <v>1</v>
      </c>
      <c r="I479" s="32" t="n">
        <v>0.2</v>
      </c>
      <c r="J479" s="25" t="s">
        <v>86</v>
      </c>
      <c r="K479" s="22" t="s">
        <v>1437</v>
      </c>
      <c r="L479" s="12" t="s">
        <v>1455</v>
      </c>
    </row>
    <row r="480" customFormat="false" ht="19.5" hidden="false" customHeight="true" outlineLevel="0" collapsed="false">
      <c r="A480" s="27" t="s">
        <v>1456</v>
      </c>
      <c r="B480" s="27" t="s">
        <v>241</v>
      </c>
      <c r="C480" s="9" t="s">
        <v>1333</v>
      </c>
      <c r="D480" s="9" t="s">
        <v>243</v>
      </c>
      <c r="E480" s="27" t="s">
        <v>1450</v>
      </c>
      <c r="F480" s="27" t="s">
        <v>1360</v>
      </c>
      <c r="G480" s="27" t="s">
        <v>1325</v>
      </c>
      <c r="H480" s="11" t="n">
        <v>2.6</v>
      </c>
      <c r="I480" s="30"/>
      <c r="J480" s="27" t="s">
        <v>86</v>
      </c>
      <c r="K480" s="23" t="s">
        <v>1437</v>
      </c>
      <c r="L480" s="9" t="s">
        <v>1452</v>
      </c>
    </row>
    <row r="481" customFormat="false" ht="19.5" hidden="false" customHeight="true" outlineLevel="0" collapsed="false">
      <c r="A481" s="25" t="s">
        <v>1457</v>
      </c>
      <c r="B481" s="25" t="s">
        <v>241</v>
      </c>
      <c r="C481" s="12" t="s">
        <v>1333</v>
      </c>
      <c r="D481" s="12" t="s">
        <v>243</v>
      </c>
      <c r="E481" s="25" t="s">
        <v>1450</v>
      </c>
      <c r="F481" s="25" t="s">
        <v>1458</v>
      </c>
      <c r="G481" s="25" t="s">
        <v>1330</v>
      </c>
      <c r="H481" s="14" t="n">
        <v>0.2</v>
      </c>
      <c r="I481" s="32" t="n">
        <v>-0.1</v>
      </c>
      <c r="J481" s="25" t="s">
        <v>86</v>
      </c>
      <c r="K481" s="22" t="s">
        <v>1437</v>
      </c>
      <c r="L481" s="12" t="s">
        <v>1455</v>
      </c>
    </row>
    <row r="482" customFormat="false" ht="19.5" hidden="false" customHeight="true" outlineLevel="0" collapsed="false">
      <c r="A482" s="27" t="s">
        <v>1459</v>
      </c>
      <c r="B482" s="27" t="s">
        <v>250</v>
      </c>
      <c r="C482" s="9" t="s">
        <v>1443</v>
      </c>
      <c r="D482" s="9" t="s">
        <v>252</v>
      </c>
      <c r="E482" s="27" t="s">
        <v>1450</v>
      </c>
      <c r="F482" s="27" t="s">
        <v>1454</v>
      </c>
      <c r="G482" s="27" t="s">
        <v>1330</v>
      </c>
      <c r="H482" s="11" t="n">
        <v>0</v>
      </c>
      <c r="I482" s="31" t="n">
        <v>0</v>
      </c>
      <c r="J482" s="27" t="s">
        <v>86</v>
      </c>
      <c r="K482" s="23" t="s">
        <v>1437</v>
      </c>
      <c r="L482" s="9" t="s">
        <v>1460</v>
      </c>
    </row>
    <row r="483" customFormat="false" ht="19.5" hidden="false" customHeight="true" outlineLevel="0" collapsed="false">
      <c r="A483" s="25" t="s">
        <v>1461</v>
      </c>
      <c r="B483" s="25" t="s">
        <v>226</v>
      </c>
      <c r="C483" s="12" t="s">
        <v>1339</v>
      </c>
      <c r="D483" s="12" t="s">
        <v>260</v>
      </c>
      <c r="E483" s="25" t="s">
        <v>1450</v>
      </c>
      <c r="F483" s="25" t="s">
        <v>1462</v>
      </c>
      <c r="G483" s="25" t="s">
        <v>1330</v>
      </c>
      <c r="H483" s="14" t="n">
        <v>0</v>
      </c>
      <c r="I483" s="32" t="n">
        <v>0</v>
      </c>
      <c r="J483" s="25" t="s">
        <v>86</v>
      </c>
      <c r="K483" s="22" t="s">
        <v>1437</v>
      </c>
      <c r="L483" s="12" t="s">
        <v>1463</v>
      </c>
    </row>
    <row r="484" customFormat="false" ht="19.5" hidden="false" customHeight="true" outlineLevel="0" collapsed="false">
      <c r="A484" s="27" t="s">
        <v>1464</v>
      </c>
      <c r="B484" s="27" t="s">
        <v>215</v>
      </c>
      <c r="C484" s="9" t="s">
        <v>1346</v>
      </c>
      <c r="D484" s="9" t="s">
        <v>218</v>
      </c>
      <c r="E484" s="27" t="s">
        <v>1450</v>
      </c>
      <c r="F484" s="27" t="s">
        <v>1465</v>
      </c>
      <c r="G484" s="27" t="s">
        <v>1325</v>
      </c>
      <c r="H484" s="11" t="n">
        <v>3.9</v>
      </c>
      <c r="I484" s="30"/>
      <c r="J484" s="27" t="s">
        <v>86</v>
      </c>
      <c r="K484" s="23" t="s">
        <v>1437</v>
      </c>
      <c r="L484" s="9" t="s">
        <v>1452</v>
      </c>
    </row>
    <row r="485" customFormat="false" ht="19.5" hidden="false" customHeight="true" outlineLevel="0" collapsed="false">
      <c r="A485" s="25" t="s">
        <v>1466</v>
      </c>
      <c r="B485" s="25" t="s">
        <v>215</v>
      </c>
      <c r="C485" s="12" t="s">
        <v>1346</v>
      </c>
      <c r="D485" s="12" t="s">
        <v>218</v>
      </c>
      <c r="E485" s="25" t="s">
        <v>1450</v>
      </c>
      <c r="F485" s="25" t="s">
        <v>1467</v>
      </c>
      <c r="G485" s="25" t="s">
        <v>1330</v>
      </c>
      <c r="H485" s="14" t="n">
        <v>4</v>
      </c>
      <c r="I485" s="32" t="n">
        <v>0.2</v>
      </c>
      <c r="J485" s="25" t="s">
        <v>86</v>
      </c>
      <c r="K485" s="22" t="s">
        <v>1437</v>
      </c>
      <c r="L485" s="12" t="s">
        <v>1455</v>
      </c>
    </row>
    <row r="486" customFormat="false" ht="19.5" hidden="false" customHeight="true" outlineLevel="0" collapsed="false">
      <c r="A486" s="27" t="s">
        <v>1468</v>
      </c>
      <c r="B486" s="27" t="s">
        <v>233</v>
      </c>
      <c r="C486" s="9" t="s">
        <v>1321</v>
      </c>
      <c r="D486" s="9" t="s">
        <v>1322</v>
      </c>
      <c r="E486" s="27" t="s">
        <v>1469</v>
      </c>
      <c r="F486" s="27" t="s">
        <v>1470</v>
      </c>
      <c r="G486" s="27" t="s">
        <v>1325</v>
      </c>
      <c r="H486" s="11" t="n">
        <v>1.2</v>
      </c>
      <c r="I486" s="31" t="n">
        <v>0.1</v>
      </c>
      <c r="J486" s="27" t="s">
        <v>86</v>
      </c>
      <c r="K486" s="23" t="s">
        <v>1437</v>
      </c>
      <c r="L486" s="9" t="s">
        <v>1471</v>
      </c>
    </row>
    <row r="487" customFormat="false" ht="19.5" hidden="false" customHeight="true" outlineLevel="0" collapsed="false">
      <c r="A487" s="25" t="s">
        <v>1472</v>
      </c>
      <c r="B487" s="25" t="s">
        <v>233</v>
      </c>
      <c r="C487" s="12" t="s">
        <v>1321</v>
      </c>
      <c r="D487" s="12" t="s">
        <v>1322</v>
      </c>
      <c r="E487" s="25" t="s">
        <v>1469</v>
      </c>
      <c r="F487" s="25" t="s">
        <v>1334</v>
      </c>
      <c r="G487" s="25" t="s">
        <v>1379</v>
      </c>
      <c r="H487" s="14" t="n">
        <v>0.3</v>
      </c>
      <c r="I487" s="29"/>
      <c r="J487" s="25" t="s">
        <v>86</v>
      </c>
      <c r="K487" s="22" t="s">
        <v>1437</v>
      </c>
      <c r="L487" s="12" t="s">
        <v>1473</v>
      </c>
    </row>
    <row r="488" customFormat="false" ht="19.5" hidden="false" customHeight="true" outlineLevel="0" collapsed="false">
      <c r="A488" s="27" t="s">
        <v>1474</v>
      </c>
      <c r="B488" s="27" t="s">
        <v>233</v>
      </c>
      <c r="C488" s="9" t="s">
        <v>1321</v>
      </c>
      <c r="D488" s="9" t="s">
        <v>1322</v>
      </c>
      <c r="E488" s="27" t="s">
        <v>1469</v>
      </c>
      <c r="F488" s="27" t="s">
        <v>1475</v>
      </c>
      <c r="G488" s="27" t="s">
        <v>1330</v>
      </c>
      <c r="H488" s="11" t="n">
        <v>1.1</v>
      </c>
      <c r="I488" s="31" t="n">
        <v>0.1</v>
      </c>
      <c r="J488" s="27" t="s">
        <v>86</v>
      </c>
      <c r="K488" s="23" t="s">
        <v>1476</v>
      </c>
      <c r="L488" s="9" t="s">
        <v>1477</v>
      </c>
    </row>
    <row r="489" customFormat="false" ht="19.5" hidden="false" customHeight="true" outlineLevel="0" collapsed="false">
      <c r="A489" s="25" t="s">
        <v>1478</v>
      </c>
      <c r="B489" s="25" t="s">
        <v>241</v>
      </c>
      <c r="C489" s="12" t="s">
        <v>1333</v>
      </c>
      <c r="D489" s="12" t="s">
        <v>243</v>
      </c>
      <c r="E489" s="25" t="s">
        <v>1469</v>
      </c>
      <c r="F489" s="25" t="s">
        <v>1360</v>
      </c>
      <c r="G489" s="25" t="s">
        <v>1325</v>
      </c>
      <c r="H489" s="14" t="n">
        <v>1.8</v>
      </c>
      <c r="I489" s="32" t="n">
        <v>-0.8</v>
      </c>
      <c r="J489" s="25" t="s">
        <v>86</v>
      </c>
      <c r="K489" s="22" t="s">
        <v>1437</v>
      </c>
      <c r="L489" s="12" t="s">
        <v>1471</v>
      </c>
    </row>
    <row r="490" customFormat="false" ht="19.5" hidden="false" customHeight="true" outlineLevel="0" collapsed="false">
      <c r="A490" s="27" t="s">
        <v>1479</v>
      </c>
      <c r="B490" s="27" t="s">
        <v>241</v>
      </c>
      <c r="C490" s="9" t="s">
        <v>1333</v>
      </c>
      <c r="D490" s="9" t="s">
        <v>243</v>
      </c>
      <c r="E490" s="27" t="s">
        <v>1469</v>
      </c>
      <c r="F490" s="27" t="s">
        <v>1334</v>
      </c>
      <c r="G490" s="27" t="s">
        <v>1379</v>
      </c>
      <c r="H490" s="11" t="n">
        <v>1.7</v>
      </c>
      <c r="I490" s="30"/>
      <c r="J490" s="27" t="s">
        <v>86</v>
      </c>
      <c r="K490" s="23" t="s">
        <v>1437</v>
      </c>
      <c r="L490" s="9" t="s">
        <v>1473</v>
      </c>
    </row>
    <row r="491" customFormat="false" ht="19.5" hidden="false" customHeight="true" outlineLevel="0" collapsed="false">
      <c r="A491" s="25" t="s">
        <v>1480</v>
      </c>
      <c r="B491" s="25" t="s">
        <v>241</v>
      </c>
      <c r="C491" s="12" t="s">
        <v>1333</v>
      </c>
      <c r="D491" s="12" t="s">
        <v>243</v>
      </c>
      <c r="E491" s="25" t="s">
        <v>1469</v>
      </c>
      <c r="F491" s="25" t="s">
        <v>1481</v>
      </c>
      <c r="G491" s="25" t="s">
        <v>1330</v>
      </c>
      <c r="H491" s="14" t="n">
        <v>0.5</v>
      </c>
      <c r="I491" s="32" t="n">
        <v>0.3</v>
      </c>
      <c r="J491" s="25" t="s">
        <v>86</v>
      </c>
      <c r="K491" s="22" t="s">
        <v>1476</v>
      </c>
      <c r="L491" s="12" t="s">
        <v>1477</v>
      </c>
    </row>
    <row r="492" customFormat="false" ht="19.5" hidden="false" customHeight="true" outlineLevel="0" collapsed="false">
      <c r="A492" s="27" t="s">
        <v>1482</v>
      </c>
      <c r="B492" s="27" t="s">
        <v>250</v>
      </c>
      <c r="C492" s="9" t="s">
        <v>1443</v>
      </c>
      <c r="D492" s="9" t="s">
        <v>252</v>
      </c>
      <c r="E492" s="27" t="s">
        <v>1469</v>
      </c>
      <c r="F492" s="27" t="s">
        <v>1334</v>
      </c>
      <c r="G492" s="27" t="s">
        <v>626</v>
      </c>
      <c r="H492" s="11" t="n">
        <v>0</v>
      </c>
      <c r="I492" s="31" t="n">
        <v>0</v>
      </c>
      <c r="J492" s="27" t="s">
        <v>86</v>
      </c>
      <c r="K492" s="23" t="s">
        <v>1437</v>
      </c>
      <c r="L492" s="9" t="s">
        <v>1444</v>
      </c>
    </row>
    <row r="493" customFormat="false" ht="19.5" hidden="false" customHeight="true" outlineLevel="0" collapsed="false">
      <c r="A493" s="25" t="s">
        <v>1483</v>
      </c>
      <c r="B493" s="25" t="s">
        <v>226</v>
      </c>
      <c r="C493" s="12" t="s">
        <v>1339</v>
      </c>
      <c r="D493" s="12" t="s">
        <v>260</v>
      </c>
      <c r="E493" s="25" t="s">
        <v>1469</v>
      </c>
      <c r="F493" s="25" t="s">
        <v>1334</v>
      </c>
      <c r="G493" s="25" t="s">
        <v>626</v>
      </c>
      <c r="H493" s="14" t="n">
        <v>0</v>
      </c>
      <c r="I493" s="32" t="n">
        <v>0</v>
      </c>
      <c r="J493" s="25" t="s">
        <v>86</v>
      </c>
      <c r="K493" s="22" t="s">
        <v>1437</v>
      </c>
      <c r="L493" s="12" t="s">
        <v>1446</v>
      </c>
    </row>
    <row r="494" customFormat="false" ht="19.5" hidden="false" customHeight="true" outlineLevel="0" collapsed="false">
      <c r="A494" s="27" t="s">
        <v>1484</v>
      </c>
      <c r="B494" s="27" t="s">
        <v>215</v>
      </c>
      <c r="C494" s="9" t="s">
        <v>1346</v>
      </c>
      <c r="D494" s="9" t="s">
        <v>218</v>
      </c>
      <c r="E494" s="27" t="s">
        <v>1469</v>
      </c>
      <c r="F494" s="27" t="s">
        <v>1485</v>
      </c>
      <c r="G494" s="27" t="s">
        <v>1325</v>
      </c>
      <c r="H494" s="11" t="n">
        <v>3.6</v>
      </c>
      <c r="I494" s="31" t="n">
        <v>-0.3</v>
      </c>
      <c r="J494" s="27" t="s">
        <v>86</v>
      </c>
      <c r="K494" s="23" t="s">
        <v>1437</v>
      </c>
      <c r="L494" s="9" t="s">
        <v>1471</v>
      </c>
    </row>
    <row r="495" customFormat="false" ht="19.5" hidden="false" customHeight="true" outlineLevel="0" collapsed="false">
      <c r="A495" s="25" t="s">
        <v>1486</v>
      </c>
      <c r="B495" s="25" t="s">
        <v>215</v>
      </c>
      <c r="C495" s="12" t="s">
        <v>1346</v>
      </c>
      <c r="D495" s="12" t="s">
        <v>218</v>
      </c>
      <c r="E495" s="25" t="s">
        <v>1469</v>
      </c>
      <c r="F495" s="25" t="s">
        <v>1334</v>
      </c>
      <c r="G495" s="25" t="s">
        <v>1379</v>
      </c>
      <c r="H495" s="14" t="n">
        <v>2.9</v>
      </c>
      <c r="I495" s="29"/>
      <c r="J495" s="25" t="s">
        <v>86</v>
      </c>
      <c r="K495" s="22" t="s">
        <v>1437</v>
      </c>
      <c r="L495" s="12" t="s">
        <v>1473</v>
      </c>
    </row>
    <row r="496" customFormat="false" ht="19.5" hidden="false" customHeight="true" outlineLevel="0" collapsed="false">
      <c r="A496" s="27" t="s">
        <v>1487</v>
      </c>
      <c r="B496" s="27" t="s">
        <v>215</v>
      </c>
      <c r="C496" s="9" t="s">
        <v>1346</v>
      </c>
      <c r="D496" s="9" t="s">
        <v>218</v>
      </c>
      <c r="E496" s="27" t="s">
        <v>1469</v>
      </c>
      <c r="F496" s="27" t="s">
        <v>1488</v>
      </c>
      <c r="G496" s="27" t="s">
        <v>1330</v>
      </c>
      <c r="H496" s="11" t="n">
        <v>3.6</v>
      </c>
      <c r="I496" s="31" t="n">
        <v>-0.4</v>
      </c>
      <c r="J496" s="27" t="s">
        <v>86</v>
      </c>
      <c r="K496" s="23" t="s">
        <v>1476</v>
      </c>
      <c r="L496" s="9" t="s">
        <v>1477</v>
      </c>
    </row>
    <row r="497" customFormat="false" ht="19.5" hidden="false" customHeight="true" outlineLevel="0" collapsed="false">
      <c r="A497" s="25" t="s">
        <v>1489</v>
      </c>
      <c r="B497" s="25" t="s">
        <v>233</v>
      </c>
      <c r="C497" s="12" t="s">
        <v>1321</v>
      </c>
      <c r="D497" s="12" t="s">
        <v>1322</v>
      </c>
      <c r="E497" s="25" t="s">
        <v>1490</v>
      </c>
      <c r="F497" s="25" t="s">
        <v>1491</v>
      </c>
      <c r="G497" s="25" t="s">
        <v>1325</v>
      </c>
      <c r="H497" s="14" t="n">
        <v>1.3</v>
      </c>
      <c r="I497" s="32" t="n">
        <v>0.1</v>
      </c>
      <c r="J497" s="25" t="s">
        <v>86</v>
      </c>
      <c r="K497" s="22" t="s">
        <v>1476</v>
      </c>
      <c r="L497" s="12" t="s">
        <v>1492</v>
      </c>
    </row>
    <row r="498" customFormat="false" ht="19.5" hidden="false" customHeight="true" outlineLevel="0" collapsed="false">
      <c r="A498" s="27" t="s">
        <v>1493</v>
      </c>
      <c r="B498" s="27" t="s">
        <v>233</v>
      </c>
      <c r="C498" s="9" t="s">
        <v>1321</v>
      </c>
      <c r="D498" s="9" t="s">
        <v>1322</v>
      </c>
      <c r="E498" s="27" t="s">
        <v>1490</v>
      </c>
      <c r="F498" s="27" t="s">
        <v>1334</v>
      </c>
      <c r="G498" s="27" t="s">
        <v>1379</v>
      </c>
      <c r="H498" s="11" t="n">
        <v>0.4</v>
      </c>
      <c r="I498" s="30"/>
      <c r="J498" s="27" t="s">
        <v>86</v>
      </c>
      <c r="K498" s="23" t="s">
        <v>1476</v>
      </c>
      <c r="L498" s="9" t="s">
        <v>1494</v>
      </c>
    </row>
    <row r="499" customFormat="false" ht="19.5" hidden="false" customHeight="true" outlineLevel="0" collapsed="false">
      <c r="A499" s="25" t="s">
        <v>1495</v>
      </c>
      <c r="B499" s="25" t="s">
        <v>233</v>
      </c>
      <c r="C499" s="12" t="s">
        <v>1321</v>
      </c>
      <c r="D499" s="12" t="s">
        <v>1322</v>
      </c>
      <c r="E499" s="25" t="s">
        <v>1490</v>
      </c>
      <c r="F499" s="25" t="s">
        <v>1496</v>
      </c>
      <c r="G499" s="25" t="s">
        <v>1330</v>
      </c>
      <c r="H499" s="14" t="n">
        <v>0.5</v>
      </c>
      <c r="I499" s="32" t="n">
        <v>-0.6</v>
      </c>
      <c r="J499" s="25" t="s">
        <v>86</v>
      </c>
      <c r="K499" s="22" t="s">
        <v>1497</v>
      </c>
      <c r="L499" s="12" t="s">
        <v>1498</v>
      </c>
    </row>
    <row r="500" customFormat="false" ht="19.5" hidden="false" customHeight="true" outlineLevel="0" collapsed="false">
      <c r="A500" s="27" t="s">
        <v>1499</v>
      </c>
      <c r="B500" s="27" t="s">
        <v>241</v>
      </c>
      <c r="C500" s="9" t="s">
        <v>1333</v>
      </c>
      <c r="D500" s="9" t="s">
        <v>243</v>
      </c>
      <c r="E500" s="27" t="s">
        <v>1490</v>
      </c>
      <c r="F500" s="27" t="s">
        <v>1360</v>
      </c>
      <c r="G500" s="27" t="s">
        <v>1325</v>
      </c>
      <c r="H500" s="11" t="n">
        <v>1</v>
      </c>
      <c r="I500" s="31" t="n">
        <v>-0.8</v>
      </c>
      <c r="J500" s="27" t="s">
        <v>86</v>
      </c>
      <c r="K500" s="23" t="s">
        <v>1476</v>
      </c>
      <c r="L500" s="9" t="s">
        <v>1492</v>
      </c>
    </row>
    <row r="501" customFormat="false" ht="19.5" hidden="false" customHeight="true" outlineLevel="0" collapsed="false">
      <c r="A501" s="25" t="s">
        <v>1500</v>
      </c>
      <c r="B501" s="25" t="s">
        <v>241</v>
      </c>
      <c r="C501" s="12" t="s">
        <v>1333</v>
      </c>
      <c r="D501" s="12" t="s">
        <v>243</v>
      </c>
      <c r="E501" s="25" t="s">
        <v>1490</v>
      </c>
      <c r="F501" s="25" t="s">
        <v>1334</v>
      </c>
      <c r="G501" s="25" t="s">
        <v>1379</v>
      </c>
      <c r="H501" s="14" t="n">
        <v>0.9</v>
      </c>
      <c r="I501" s="29"/>
      <c r="J501" s="25" t="s">
        <v>86</v>
      </c>
      <c r="K501" s="22" t="s">
        <v>1476</v>
      </c>
      <c r="L501" s="12" t="s">
        <v>1494</v>
      </c>
    </row>
    <row r="502" customFormat="false" ht="19.5" hidden="false" customHeight="true" outlineLevel="0" collapsed="false">
      <c r="A502" s="27" t="s">
        <v>1501</v>
      </c>
      <c r="B502" s="27" t="s">
        <v>241</v>
      </c>
      <c r="C502" s="9" t="s">
        <v>1333</v>
      </c>
      <c r="D502" s="9" t="s">
        <v>243</v>
      </c>
      <c r="E502" s="27" t="s">
        <v>1490</v>
      </c>
      <c r="F502" s="27" t="s">
        <v>1481</v>
      </c>
      <c r="G502" s="27" t="s">
        <v>1330</v>
      </c>
      <c r="H502" s="11" t="n">
        <v>2.7</v>
      </c>
      <c r="I502" s="31" t="n">
        <v>2.2</v>
      </c>
      <c r="J502" s="27" t="s">
        <v>86</v>
      </c>
      <c r="K502" s="23" t="s">
        <v>1497</v>
      </c>
      <c r="L502" s="9" t="s">
        <v>1498</v>
      </c>
    </row>
    <row r="503" customFormat="false" ht="19.5" hidden="false" customHeight="true" outlineLevel="0" collapsed="false">
      <c r="A503" s="25" t="s">
        <v>1502</v>
      </c>
      <c r="B503" s="25" t="s">
        <v>250</v>
      </c>
      <c r="C503" s="12" t="s">
        <v>1443</v>
      </c>
      <c r="D503" s="12" t="s">
        <v>252</v>
      </c>
      <c r="E503" s="25" t="s">
        <v>1490</v>
      </c>
      <c r="F503" s="25" t="s">
        <v>1334</v>
      </c>
      <c r="G503" s="25" t="s">
        <v>626</v>
      </c>
      <c r="H503" s="14" t="n">
        <v>0</v>
      </c>
      <c r="I503" s="32" t="n">
        <v>0</v>
      </c>
      <c r="J503" s="25" t="s">
        <v>86</v>
      </c>
      <c r="K503" s="22" t="s">
        <v>1476</v>
      </c>
      <c r="L503" s="12" t="s">
        <v>1444</v>
      </c>
    </row>
    <row r="504" customFormat="false" ht="19.5" hidden="false" customHeight="true" outlineLevel="0" collapsed="false">
      <c r="A504" s="27" t="s">
        <v>1503</v>
      </c>
      <c r="B504" s="27" t="s">
        <v>226</v>
      </c>
      <c r="C504" s="9" t="s">
        <v>1339</v>
      </c>
      <c r="D504" s="9" t="s">
        <v>260</v>
      </c>
      <c r="E504" s="27" t="s">
        <v>1490</v>
      </c>
      <c r="F504" s="27" t="s">
        <v>1334</v>
      </c>
      <c r="G504" s="27" t="s">
        <v>626</v>
      </c>
      <c r="H504" s="11" t="n">
        <v>0</v>
      </c>
      <c r="I504" s="31" t="n">
        <v>0</v>
      </c>
      <c r="J504" s="27" t="s">
        <v>86</v>
      </c>
      <c r="K504" s="23" t="s">
        <v>1476</v>
      </c>
      <c r="L504" s="9" t="s">
        <v>1446</v>
      </c>
    </row>
    <row r="505" customFormat="false" ht="19.5" hidden="false" customHeight="true" outlineLevel="0" collapsed="false">
      <c r="A505" s="25" t="s">
        <v>1504</v>
      </c>
      <c r="B505" s="25" t="s">
        <v>215</v>
      </c>
      <c r="C505" s="12" t="s">
        <v>1346</v>
      </c>
      <c r="D505" s="12" t="s">
        <v>218</v>
      </c>
      <c r="E505" s="25" t="s">
        <v>1490</v>
      </c>
      <c r="F505" s="25" t="s">
        <v>1505</v>
      </c>
      <c r="G505" s="25" t="s">
        <v>1325</v>
      </c>
      <c r="H505" s="14" t="n">
        <v>3.4</v>
      </c>
      <c r="I505" s="32" t="n">
        <v>-0.2</v>
      </c>
      <c r="J505" s="25" t="s">
        <v>86</v>
      </c>
      <c r="K505" s="22" t="s">
        <v>1476</v>
      </c>
      <c r="L505" s="12" t="s">
        <v>1492</v>
      </c>
    </row>
    <row r="506" customFormat="false" ht="19.5" hidden="false" customHeight="true" outlineLevel="0" collapsed="false">
      <c r="A506" s="27" t="s">
        <v>1506</v>
      </c>
      <c r="B506" s="27" t="s">
        <v>215</v>
      </c>
      <c r="C506" s="9" t="s">
        <v>1346</v>
      </c>
      <c r="D506" s="9" t="s">
        <v>218</v>
      </c>
      <c r="E506" s="27" t="s">
        <v>1490</v>
      </c>
      <c r="F506" s="27" t="s">
        <v>1334</v>
      </c>
      <c r="G506" s="27" t="s">
        <v>1379</v>
      </c>
      <c r="H506" s="11" t="n">
        <v>2.6</v>
      </c>
      <c r="I506" s="30"/>
      <c r="J506" s="27" t="s">
        <v>86</v>
      </c>
      <c r="K506" s="23" t="s">
        <v>1476</v>
      </c>
      <c r="L506" s="9" t="s">
        <v>1494</v>
      </c>
    </row>
    <row r="507" customFormat="false" ht="19.5" hidden="false" customHeight="true" outlineLevel="0" collapsed="false">
      <c r="A507" s="25" t="s">
        <v>1507</v>
      </c>
      <c r="B507" s="25" t="s">
        <v>215</v>
      </c>
      <c r="C507" s="12" t="s">
        <v>1346</v>
      </c>
      <c r="D507" s="12" t="s">
        <v>218</v>
      </c>
      <c r="E507" s="25" t="s">
        <v>1490</v>
      </c>
      <c r="F507" s="25" t="s">
        <v>1508</v>
      </c>
      <c r="G507" s="25" t="s">
        <v>1330</v>
      </c>
      <c r="H507" s="14" t="n">
        <v>4.1</v>
      </c>
      <c r="I507" s="32" t="n">
        <v>0.5</v>
      </c>
      <c r="J507" s="25" t="s">
        <v>86</v>
      </c>
      <c r="K507" s="22" t="s">
        <v>1497</v>
      </c>
      <c r="L507" s="12" t="s">
        <v>1498</v>
      </c>
    </row>
    <row r="508" customFormat="false" ht="19.5" hidden="false" customHeight="true" outlineLevel="0" collapsed="false">
      <c r="A508" s="27" t="s">
        <v>1509</v>
      </c>
      <c r="B508" s="27" t="s">
        <v>233</v>
      </c>
      <c r="C508" s="9" t="s">
        <v>1321</v>
      </c>
      <c r="D508" s="9" t="s">
        <v>1322</v>
      </c>
      <c r="E508" s="27" t="s">
        <v>1510</v>
      </c>
      <c r="F508" s="27" t="s">
        <v>1511</v>
      </c>
      <c r="G508" s="27" t="s">
        <v>1325</v>
      </c>
      <c r="H508" s="11" t="n">
        <v>0.6</v>
      </c>
      <c r="I508" s="31" t="n">
        <v>-0.7</v>
      </c>
      <c r="J508" s="27" t="s">
        <v>86</v>
      </c>
      <c r="K508" s="23" t="s">
        <v>1497</v>
      </c>
      <c r="L508" s="9" t="s">
        <v>1512</v>
      </c>
    </row>
    <row r="509" customFormat="false" ht="19.5" hidden="false" customHeight="true" outlineLevel="0" collapsed="false">
      <c r="A509" s="25" t="s">
        <v>1513</v>
      </c>
      <c r="B509" s="25" t="s">
        <v>233</v>
      </c>
      <c r="C509" s="12" t="s">
        <v>1321</v>
      </c>
      <c r="D509" s="12" t="s">
        <v>1322</v>
      </c>
      <c r="E509" s="25" t="s">
        <v>1510</v>
      </c>
      <c r="F509" s="25" t="s">
        <v>1334</v>
      </c>
      <c r="G509" s="25" t="s">
        <v>1379</v>
      </c>
      <c r="H509" s="14" t="n">
        <v>0</v>
      </c>
      <c r="I509" s="29"/>
      <c r="J509" s="25" t="s">
        <v>86</v>
      </c>
      <c r="K509" s="22" t="s">
        <v>1497</v>
      </c>
      <c r="L509" s="12" t="s">
        <v>1514</v>
      </c>
    </row>
    <row r="510" customFormat="false" ht="19.5" hidden="false" customHeight="true" outlineLevel="0" collapsed="false">
      <c r="A510" s="27" t="s">
        <v>1515</v>
      </c>
      <c r="B510" s="27" t="s">
        <v>233</v>
      </c>
      <c r="C510" s="9" t="s">
        <v>1321</v>
      </c>
      <c r="D510" s="9" t="s">
        <v>1322</v>
      </c>
      <c r="E510" s="27" t="s">
        <v>1510</v>
      </c>
      <c r="F510" s="27" t="s">
        <v>1516</v>
      </c>
      <c r="G510" s="27" t="s">
        <v>1330</v>
      </c>
      <c r="H510" s="11" t="n">
        <v>1.4</v>
      </c>
      <c r="I510" s="31" t="n">
        <v>0.9</v>
      </c>
      <c r="J510" s="27" t="s">
        <v>86</v>
      </c>
      <c r="K510" s="23" t="s">
        <v>1517</v>
      </c>
      <c r="L510" s="9" t="s">
        <v>1518</v>
      </c>
    </row>
    <row r="511" customFormat="false" ht="19.5" hidden="false" customHeight="true" outlineLevel="0" collapsed="false">
      <c r="A511" s="25" t="s">
        <v>1519</v>
      </c>
      <c r="B511" s="25" t="s">
        <v>241</v>
      </c>
      <c r="C511" s="12" t="s">
        <v>1333</v>
      </c>
      <c r="D511" s="12" t="s">
        <v>243</v>
      </c>
      <c r="E511" s="25" t="s">
        <v>1510</v>
      </c>
      <c r="F511" s="25" t="s">
        <v>1360</v>
      </c>
      <c r="G511" s="25" t="s">
        <v>1325</v>
      </c>
      <c r="H511" s="14" t="n">
        <v>1.2</v>
      </c>
      <c r="I511" s="32" t="n">
        <v>0.2</v>
      </c>
      <c r="J511" s="25" t="s">
        <v>86</v>
      </c>
      <c r="K511" s="22" t="s">
        <v>1497</v>
      </c>
      <c r="L511" s="12" t="s">
        <v>1512</v>
      </c>
    </row>
    <row r="512" customFormat="false" ht="19.5" hidden="false" customHeight="true" outlineLevel="0" collapsed="false">
      <c r="A512" s="27" t="s">
        <v>1520</v>
      </c>
      <c r="B512" s="27" t="s">
        <v>241</v>
      </c>
      <c r="C512" s="9" t="s">
        <v>1333</v>
      </c>
      <c r="D512" s="9" t="s">
        <v>243</v>
      </c>
      <c r="E512" s="27" t="s">
        <v>1510</v>
      </c>
      <c r="F512" s="27" t="s">
        <v>1334</v>
      </c>
      <c r="G512" s="27" t="s">
        <v>1379</v>
      </c>
      <c r="H512" s="11" t="n">
        <v>1.1</v>
      </c>
      <c r="I512" s="30"/>
      <c r="J512" s="27" t="s">
        <v>86</v>
      </c>
      <c r="K512" s="23" t="s">
        <v>1497</v>
      </c>
      <c r="L512" s="9" t="s">
        <v>1514</v>
      </c>
    </row>
    <row r="513" customFormat="false" ht="19.5" hidden="false" customHeight="true" outlineLevel="0" collapsed="false">
      <c r="A513" s="25" t="s">
        <v>1521</v>
      </c>
      <c r="B513" s="25" t="s">
        <v>241</v>
      </c>
      <c r="C513" s="12" t="s">
        <v>1333</v>
      </c>
      <c r="D513" s="12" t="s">
        <v>243</v>
      </c>
      <c r="E513" s="25" t="s">
        <v>1510</v>
      </c>
      <c r="F513" s="25" t="s">
        <v>1522</v>
      </c>
      <c r="G513" s="25" t="s">
        <v>1330</v>
      </c>
      <c r="H513" s="14" t="n">
        <v>2.26</v>
      </c>
      <c r="I513" s="32" t="n">
        <v>-0.44</v>
      </c>
      <c r="J513" s="25" t="s">
        <v>86</v>
      </c>
      <c r="K513" s="22" t="s">
        <v>1517</v>
      </c>
      <c r="L513" s="12" t="s">
        <v>1523</v>
      </c>
    </row>
    <row r="514" customFormat="false" ht="19.5" hidden="false" customHeight="true" outlineLevel="0" collapsed="false">
      <c r="A514" s="27" t="s">
        <v>1524</v>
      </c>
      <c r="B514" s="27" t="s">
        <v>250</v>
      </c>
      <c r="C514" s="9" t="s">
        <v>1443</v>
      </c>
      <c r="D514" s="9" t="s">
        <v>252</v>
      </c>
      <c r="E514" s="27" t="s">
        <v>1510</v>
      </c>
      <c r="F514" s="27" t="s">
        <v>1334</v>
      </c>
      <c r="G514" s="27" t="s">
        <v>626</v>
      </c>
      <c r="H514" s="11" t="n">
        <v>0</v>
      </c>
      <c r="I514" s="31" t="n">
        <v>0</v>
      </c>
      <c r="J514" s="27" t="s">
        <v>86</v>
      </c>
      <c r="K514" s="23" t="s">
        <v>1497</v>
      </c>
      <c r="L514" s="9" t="s">
        <v>1444</v>
      </c>
    </row>
    <row r="515" customFormat="false" ht="19.5" hidden="false" customHeight="true" outlineLevel="0" collapsed="false">
      <c r="A515" s="25" t="s">
        <v>1525</v>
      </c>
      <c r="B515" s="25" t="s">
        <v>226</v>
      </c>
      <c r="C515" s="12" t="s">
        <v>1339</v>
      </c>
      <c r="D515" s="12" t="s">
        <v>260</v>
      </c>
      <c r="E515" s="25" t="s">
        <v>1510</v>
      </c>
      <c r="F515" s="25" t="s">
        <v>1334</v>
      </c>
      <c r="G515" s="25" t="s">
        <v>626</v>
      </c>
      <c r="H515" s="14" t="n">
        <v>0</v>
      </c>
      <c r="I515" s="32" t="n">
        <v>0</v>
      </c>
      <c r="J515" s="25" t="s">
        <v>86</v>
      </c>
      <c r="K515" s="22" t="s">
        <v>1497</v>
      </c>
      <c r="L515" s="12" t="s">
        <v>1446</v>
      </c>
    </row>
    <row r="516" customFormat="false" ht="19.5" hidden="false" customHeight="true" outlineLevel="0" collapsed="false">
      <c r="A516" s="27" t="s">
        <v>1526</v>
      </c>
      <c r="B516" s="27" t="s">
        <v>215</v>
      </c>
      <c r="C516" s="9" t="s">
        <v>1346</v>
      </c>
      <c r="D516" s="9" t="s">
        <v>218</v>
      </c>
      <c r="E516" s="27" t="s">
        <v>1510</v>
      </c>
      <c r="F516" s="27" t="s">
        <v>1527</v>
      </c>
      <c r="G516" s="27" t="s">
        <v>1325</v>
      </c>
      <c r="H516" s="11" t="n">
        <v>4.4</v>
      </c>
      <c r="I516" s="31" t="n">
        <v>1</v>
      </c>
      <c r="J516" s="27" t="s">
        <v>86</v>
      </c>
      <c r="K516" s="23" t="s">
        <v>1497</v>
      </c>
      <c r="L516" s="9" t="s">
        <v>1512</v>
      </c>
    </row>
    <row r="517" customFormat="false" ht="19.5" hidden="false" customHeight="true" outlineLevel="0" collapsed="false">
      <c r="A517" s="25" t="s">
        <v>1528</v>
      </c>
      <c r="B517" s="25" t="s">
        <v>215</v>
      </c>
      <c r="C517" s="12" t="s">
        <v>1346</v>
      </c>
      <c r="D517" s="12" t="s">
        <v>218</v>
      </c>
      <c r="E517" s="25" t="s">
        <v>1510</v>
      </c>
      <c r="F517" s="25" t="s">
        <v>1334</v>
      </c>
      <c r="G517" s="25" t="s">
        <v>1379</v>
      </c>
      <c r="H517" s="14" t="n">
        <v>3.5</v>
      </c>
      <c r="I517" s="29"/>
      <c r="J517" s="25" t="s">
        <v>86</v>
      </c>
      <c r="K517" s="22" t="s">
        <v>1497</v>
      </c>
      <c r="L517" s="12" t="s">
        <v>1514</v>
      </c>
    </row>
    <row r="518" customFormat="false" ht="19.5" hidden="false" customHeight="true" outlineLevel="0" collapsed="false">
      <c r="A518" s="27" t="s">
        <v>1529</v>
      </c>
      <c r="B518" s="27" t="s">
        <v>215</v>
      </c>
      <c r="C518" s="9" t="s">
        <v>1346</v>
      </c>
      <c r="D518" s="9" t="s">
        <v>218</v>
      </c>
      <c r="E518" s="27" t="s">
        <v>1510</v>
      </c>
      <c r="F518" s="27" t="s">
        <v>1530</v>
      </c>
      <c r="G518" s="27" t="s">
        <v>1330</v>
      </c>
      <c r="H518" s="11" t="n">
        <v>4.3</v>
      </c>
      <c r="I518" s="31" t="n">
        <v>0.2</v>
      </c>
      <c r="J518" s="27" t="s">
        <v>86</v>
      </c>
      <c r="K518" s="23" t="s">
        <v>1517</v>
      </c>
      <c r="L518" s="9" t="s">
        <v>1518</v>
      </c>
    </row>
    <row r="519" customFormat="false" ht="19.5" hidden="false" customHeight="true" outlineLevel="0" collapsed="false">
      <c r="A519" s="25" t="s">
        <v>1531</v>
      </c>
      <c r="B519" s="25" t="s">
        <v>233</v>
      </c>
      <c r="C519" s="12" t="s">
        <v>1321</v>
      </c>
      <c r="D519" s="12" t="s">
        <v>1322</v>
      </c>
      <c r="E519" s="25" t="s">
        <v>1532</v>
      </c>
      <c r="F519" s="25" t="s">
        <v>1533</v>
      </c>
      <c r="G519" s="25" t="s">
        <v>1325</v>
      </c>
      <c r="H519" s="14" t="n">
        <v>1.1</v>
      </c>
      <c r="I519" s="32" t="n">
        <v>0.5</v>
      </c>
      <c r="J519" s="25" t="s">
        <v>86</v>
      </c>
      <c r="K519" s="22" t="s">
        <v>1517</v>
      </c>
      <c r="L519" s="12" t="s">
        <v>1534</v>
      </c>
    </row>
    <row r="520" customFormat="false" ht="19.5" hidden="false" customHeight="true" outlineLevel="0" collapsed="false">
      <c r="A520" s="27" t="s">
        <v>1535</v>
      </c>
      <c r="B520" s="27" t="s">
        <v>233</v>
      </c>
      <c r="C520" s="9" t="s">
        <v>1321</v>
      </c>
      <c r="D520" s="9" t="s">
        <v>1322</v>
      </c>
      <c r="E520" s="27" t="s">
        <v>1532</v>
      </c>
      <c r="F520" s="27" t="s">
        <v>1334</v>
      </c>
      <c r="G520" s="27" t="s">
        <v>1379</v>
      </c>
      <c r="H520" s="11" t="n">
        <v>0.5</v>
      </c>
      <c r="I520" s="30"/>
      <c r="J520" s="27" t="s">
        <v>86</v>
      </c>
      <c r="K520" s="23" t="s">
        <v>1517</v>
      </c>
      <c r="L520" s="9" t="s">
        <v>1536</v>
      </c>
    </row>
    <row r="521" customFormat="false" ht="19.5" hidden="false" customHeight="true" outlineLevel="0" collapsed="false">
      <c r="A521" s="25" t="s">
        <v>1537</v>
      </c>
      <c r="B521" s="25" t="s">
        <v>233</v>
      </c>
      <c r="C521" s="12" t="s">
        <v>1321</v>
      </c>
      <c r="D521" s="12" t="s">
        <v>1322</v>
      </c>
      <c r="E521" s="25" t="s">
        <v>1532</v>
      </c>
      <c r="F521" s="25" t="s">
        <v>1538</v>
      </c>
      <c r="G521" s="25" t="s">
        <v>1330</v>
      </c>
      <c r="H521" s="14" t="n">
        <v>1.2</v>
      </c>
      <c r="I521" s="32" t="n">
        <v>-0.2</v>
      </c>
      <c r="J521" s="25" t="s">
        <v>86</v>
      </c>
      <c r="K521" s="22" t="s">
        <v>93</v>
      </c>
      <c r="L521" s="12" t="s">
        <v>1539</v>
      </c>
    </row>
    <row r="522" customFormat="false" ht="19.5" hidden="false" customHeight="true" outlineLevel="0" collapsed="false">
      <c r="A522" s="27" t="s">
        <v>1540</v>
      </c>
      <c r="B522" s="27" t="s">
        <v>241</v>
      </c>
      <c r="C522" s="9" t="s">
        <v>1333</v>
      </c>
      <c r="D522" s="9" t="s">
        <v>243</v>
      </c>
      <c r="E522" s="27" t="s">
        <v>1532</v>
      </c>
      <c r="F522" s="27" t="s">
        <v>1360</v>
      </c>
      <c r="G522" s="27" t="s">
        <v>1325</v>
      </c>
      <c r="H522" s="11" t="n">
        <v>1.3</v>
      </c>
      <c r="I522" s="31" t="n">
        <v>0.1</v>
      </c>
      <c r="J522" s="27" t="s">
        <v>86</v>
      </c>
      <c r="K522" s="23" t="s">
        <v>1517</v>
      </c>
      <c r="L522" s="9" t="s">
        <v>1534</v>
      </c>
    </row>
    <row r="523" customFormat="false" ht="19.5" hidden="false" customHeight="true" outlineLevel="0" collapsed="false">
      <c r="A523" s="25" t="s">
        <v>1541</v>
      </c>
      <c r="B523" s="25" t="s">
        <v>241</v>
      </c>
      <c r="C523" s="12" t="s">
        <v>1333</v>
      </c>
      <c r="D523" s="12" t="s">
        <v>243</v>
      </c>
      <c r="E523" s="25" t="s">
        <v>1532</v>
      </c>
      <c r="F523" s="25" t="s">
        <v>1334</v>
      </c>
      <c r="G523" s="25" t="s">
        <v>1379</v>
      </c>
      <c r="H523" s="14" t="n">
        <v>1.2</v>
      </c>
      <c r="I523" s="29"/>
      <c r="J523" s="25" t="s">
        <v>86</v>
      </c>
      <c r="K523" s="22" t="s">
        <v>1517</v>
      </c>
      <c r="L523" s="12" t="s">
        <v>1536</v>
      </c>
    </row>
    <row r="524" customFormat="false" ht="19.5" hidden="false" customHeight="true" outlineLevel="0" collapsed="false">
      <c r="A524" s="27" t="s">
        <v>1542</v>
      </c>
      <c r="B524" s="27" t="s">
        <v>241</v>
      </c>
      <c r="C524" s="9" t="s">
        <v>1333</v>
      </c>
      <c r="D524" s="9" t="s">
        <v>243</v>
      </c>
      <c r="E524" s="27" t="s">
        <v>1532</v>
      </c>
      <c r="F524" s="27" t="s">
        <v>1481</v>
      </c>
      <c r="G524" s="27" t="s">
        <v>1330</v>
      </c>
      <c r="H524" s="11" t="n">
        <v>1.4</v>
      </c>
      <c r="I524" s="31" t="n">
        <v>-0.86</v>
      </c>
      <c r="J524" s="27" t="s">
        <v>86</v>
      </c>
      <c r="K524" s="23" t="s">
        <v>93</v>
      </c>
      <c r="L524" s="9" t="s">
        <v>1539</v>
      </c>
    </row>
    <row r="525" customFormat="false" ht="19.5" hidden="false" customHeight="true" outlineLevel="0" collapsed="false">
      <c r="A525" s="25" t="s">
        <v>1543</v>
      </c>
      <c r="B525" s="25" t="s">
        <v>250</v>
      </c>
      <c r="C525" s="12" t="s">
        <v>1443</v>
      </c>
      <c r="D525" s="12" t="s">
        <v>252</v>
      </c>
      <c r="E525" s="25" t="s">
        <v>1532</v>
      </c>
      <c r="F525" s="25" t="s">
        <v>1360</v>
      </c>
      <c r="G525" s="25" t="s">
        <v>1325</v>
      </c>
      <c r="H525" s="14" t="n">
        <v>0</v>
      </c>
      <c r="I525" s="32" t="n">
        <v>0</v>
      </c>
      <c r="J525" s="25" t="s">
        <v>86</v>
      </c>
      <c r="K525" s="22" t="s">
        <v>1517</v>
      </c>
      <c r="L525" s="12" t="s">
        <v>1544</v>
      </c>
    </row>
    <row r="526" customFormat="false" ht="19.5" hidden="false" customHeight="true" outlineLevel="0" collapsed="false">
      <c r="A526" s="27" t="s">
        <v>1545</v>
      </c>
      <c r="B526" s="27" t="s">
        <v>226</v>
      </c>
      <c r="C526" s="9" t="s">
        <v>1339</v>
      </c>
      <c r="D526" s="9" t="s">
        <v>260</v>
      </c>
      <c r="E526" s="27" t="s">
        <v>1532</v>
      </c>
      <c r="F526" s="27" t="s">
        <v>1546</v>
      </c>
      <c r="G526" s="27" t="s">
        <v>1325</v>
      </c>
      <c r="H526" s="11" t="n">
        <v>0</v>
      </c>
      <c r="I526" s="31" t="n">
        <v>0</v>
      </c>
      <c r="J526" s="27" t="s">
        <v>86</v>
      </c>
      <c r="K526" s="23" t="s">
        <v>1517</v>
      </c>
      <c r="L526" s="9" t="s">
        <v>1547</v>
      </c>
    </row>
    <row r="527" customFormat="false" ht="19.5" hidden="false" customHeight="true" outlineLevel="0" collapsed="false">
      <c r="A527" s="25" t="s">
        <v>1548</v>
      </c>
      <c r="B527" s="25" t="s">
        <v>215</v>
      </c>
      <c r="C527" s="12" t="s">
        <v>1346</v>
      </c>
      <c r="D527" s="12" t="s">
        <v>218</v>
      </c>
      <c r="E527" s="25" t="s">
        <v>1532</v>
      </c>
      <c r="F527" s="25" t="s">
        <v>1549</v>
      </c>
      <c r="G527" s="25" t="s">
        <v>1325</v>
      </c>
      <c r="H527" s="14" t="n">
        <v>4.8</v>
      </c>
      <c r="I527" s="32" t="n">
        <v>0.4</v>
      </c>
      <c r="J527" s="25" t="s">
        <v>86</v>
      </c>
      <c r="K527" s="22" t="s">
        <v>1517</v>
      </c>
      <c r="L527" s="12" t="s">
        <v>1550</v>
      </c>
    </row>
    <row r="528" customFormat="false" ht="19.5" hidden="false" customHeight="true" outlineLevel="0" collapsed="false">
      <c r="A528" s="27" t="s">
        <v>1551</v>
      </c>
      <c r="B528" s="27" t="s">
        <v>215</v>
      </c>
      <c r="C528" s="9" t="s">
        <v>1346</v>
      </c>
      <c r="D528" s="9" t="s">
        <v>218</v>
      </c>
      <c r="E528" s="27" t="s">
        <v>1532</v>
      </c>
      <c r="F528" s="27" t="s">
        <v>1334</v>
      </c>
      <c r="G528" s="27" t="s">
        <v>1379</v>
      </c>
      <c r="H528" s="11" t="n">
        <v>3.6</v>
      </c>
      <c r="I528" s="30"/>
      <c r="J528" s="27" t="s">
        <v>86</v>
      </c>
      <c r="K528" s="23" t="s">
        <v>1517</v>
      </c>
      <c r="L528" s="9" t="s">
        <v>1536</v>
      </c>
    </row>
    <row r="529" customFormat="false" ht="19.5" hidden="false" customHeight="true" outlineLevel="0" collapsed="false">
      <c r="A529" s="25" t="s">
        <v>1552</v>
      </c>
      <c r="B529" s="25" t="s">
        <v>215</v>
      </c>
      <c r="C529" s="12" t="s">
        <v>1346</v>
      </c>
      <c r="D529" s="12" t="s">
        <v>218</v>
      </c>
      <c r="E529" s="25" t="s">
        <v>1532</v>
      </c>
      <c r="F529" s="25" t="s">
        <v>1553</v>
      </c>
      <c r="G529" s="25" t="s">
        <v>1330</v>
      </c>
      <c r="H529" s="14" t="n">
        <v>4</v>
      </c>
      <c r="I529" s="32" t="n">
        <v>-0.3</v>
      </c>
      <c r="J529" s="25" t="s">
        <v>86</v>
      </c>
      <c r="K529" s="22" t="s">
        <v>93</v>
      </c>
      <c r="L529" s="12" t="s">
        <v>1539</v>
      </c>
    </row>
    <row r="530" customFormat="false" ht="19.5" hidden="false" customHeight="true" outlineLevel="0" collapsed="false">
      <c r="A530" s="27" t="s">
        <v>1554</v>
      </c>
      <c r="B530" s="27" t="s">
        <v>233</v>
      </c>
      <c r="C530" s="9" t="s">
        <v>1321</v>
      </c>
      <c r="D530" s="9" t="s">
        <v>1322</v>
      </c>
      <c r="E530" s="27" t="s">
        <v>1555</v>
      </c>
      <c r="F530" s="27" t="s">
        <v>1556</v>
      </c>
      <c r="G530" s="27" t="s">
        <v>1325</v>
      </c>
      <c r="H530" s="11" t="n">
        <v>1.1</v>
      </c>
      <c r="I530" s="31" t="n">
        <v>0</v>
      </c>
      <c r="J530" s="27" t="s">
        <v>86</v>
      </c>
      <c r="K530" s="23" t="s">
        <v>93</v>
      </c>
      <c r="L530" s="9" t="s">
        <v>1557</v>
      </c>
    </row>
    <row r="531" customFormat="false" ht="19.5" hidden="false" customHeight="true" outlineLevel="0" collapsed="false">
      <c r="A531" s="25" t="s">
        <v>1558</v>
      </c>
      <c r="B531" s="25" t="s">
        <v>233</v>
      </c>
      <c r="C531" s="12" t="s">
        <v>1321</v>
      </c>
      <c r="D531" s="12" t="s">
        <v>1322</v>
      </c>
      <c r="E531" s="25" t="s">
        <v>1555</v>
      </c>
      <c r="F531" s="25" t="s">
        <v>1334</v>
      </c>
      <c r="G531" s="25" t="s">
        <v>1379</v>
      </c>
      <c r="H531" s="14" t="n">
        <v>0.4</v>
      </c>
      <c r="I531" s="29"/>
      <c r="J531" s="25" t="s">
        <v>86</v>
      </c>
      <c r="K531" s="22" t="s">
        <v>93</v>
      </c>
      <c r="L531" s="12" t="s">
        <v>1559</v>
      </c>
    </row>
    <row r="532" customFormat="false" ht="19.5" hidden="false" customHeight="true" outlineLevel="0" collapsed="false">
      <c r="A532" s="27" t="s">
        <v>1560</v>
      </c>
      <c r="B532" s="27" t="s">
        <v>241</v>
      </c>
      <c r="C532" s="9" t="s">
        <v>1333</v>
      </c>
      <c r="D532" s="9" t="s">
        <v>243</v>
      </c>
      <c r="E532" s="27" t="s">
        <v>1555</v>
      </c>
      <c r="F532" s="27" t="s">
        <v>1360</v>
      </c>
      <c r="G532" s="27" t="s">
        <v>1325</v>
      </c>
      <c r="H532" s="11" t="n">
        <v>1.2</v>
      </c>
      <c r="I532" s="31" t="n">
        <v>-0.1</v>
      </c>
      <c r="J532" s="27" t="s">
        <v>86</v>
      </c>
      <c r="K532" s="23" t="s">
        <v>93</v>
      </c>
      <c r="L532" s="9" t="s">
        <v>1557</v>
      </c>
    </row>
    <row r="533" customFormat="false" ht="19.5" hidden="false" customHeight="true" outlineLevel="0" collapsed="false">
      <c r="A533" s="25" t="s">
        <v>1561</v>
      </c>
      <c r="B533" s="25" t="s">
        <v>241</v>
      </c>
      <c r="C533" s="12" t="s">
        <v>1333</v>
      </c>
      <c r="D533" s="12" t="s">
        <v>243</v>
      </c>
      <c r="E533" s="25" t="s">
        <v>1555</v>
      </c>
      <c r="F533" s="25" t="s">
        <v>1334</v>
      </c>
      <c r="G533" s="25" t="s">
        <v>1379</v>
      </c>
      <c r="H533" s="14" t="n">
        <v>1.1</v>
      </c>
      <c r="I533" s="29"/>
      <c r="J533" s="25" t="s">
        <v>86</v>
      </c>
      <c r="K533" s="22" t="s">
        <v>93</v>
      </c>
      <c r="L533" s="12" t="s">
        <v>1559</v>
      </c>
    </row>
    <row r="534" customFormat="false" ht="19.5" hidden="false" customHeight="true" outlineLevel="0" collapsed="false">
      <c r="A534" s="27" t="s">
        <v>1562</v>
      </c>
      <c r="B534" s="27" t="s">
        <v>250</v>
      </c>
      <c r="C534" s="9" t="s">
        <v>1443</v>
      </c>
      <c r="D534" s="9" t="s">
        <v>252</v>
      </c>
      <c r="E534" s="27" t="s">
        <v>1555</v>
      </c>
      <c r="F534" s="27" t="s">
        <v>1334</v>
      </c>
      <c r="G534" s="27" t="s">
        <v>626</v>
      </c>
      <c r="H534" s="11" t="n">
        <v>0</v>
      </c>
      <c r="I534" s="31" t="n">
        <v>0</v>
      </c>
      <c r="J534" s="27" t="s">
        <v>86</v>
      </c>
      <c r="K534" s="23" t="s">
        <v>93</v>
      </c>
      <c r="L534" s="9" t="s">
        <v>1444</v>
      </c>
    </row>
    <row r="535" customFormat="false" ht="19.5" hidden="false" customHeight="true" outlineLevel="0" collapsed="false">
      <c r="A535" s="25" t="s">
        <v>1563</v>
      </c>
      <c r="B535" s="25" t="s">
        <v>226</v>
      </c>
      <c r="C535" s="12" t="s">
        <v>1339</v>
      </c>
      <c r="D535" s="12" t="s">
        <v>260</v>
      </c>
      <c r="E535" s="25" t="s">
        <v>1555</v>
      </c>
      <c r="F535" s="25" t="s">
        <v>1334</v>
      </c>
      <c r="G535" s="25" t="s">
        <v>626</v>
      </c>
      <c r="H535" s="14" t="n">
        <v>0</v>
      </c>
      <c r="I535" s="32" t="n">
        <v>0</v>
      </c>
      <c r="J535" s="25" t="s">
        <v>86</v>
      </c>
      <c r="K535" s="22" t="s">
        <v>93</v>
      </c>
      <c r="L535" s="12" t="s">
        <v>1446</v>
      </c>
    </row>
    <row r="536" customFormat="false" ht="19.5" hidden="false" customHeight="true" outlineLevel="0" collapsed="false">
      <c r="A536" s="27" t="s">
        <v>1564</v>
      </c>
      <c r="B536" s="27" t="s">
        <v>215</v>
      </c>
      <c r="C536" s="9" t="s">
        <v>1346</v>
      </c>
      <c r="D536" s="9" t="s">
        <v>218</v>
      </c>
      <c r="E536" s="27" t="s">
        <v>1555</v>
      </c>
      <c r="F536" s="27" t="s">
        <v>1556</v>
      </c>
      <c r="G536" s="27" t="s">
        <v>1325</v>
      </c>
      <c r="H536" s="11" t="n">
        <v>4.3</v>
      </c>
      <c r="I536" s="31" t="n">
        <v>-0.5</v>
      </c>
      <c r="J536" s="27" t="s">
        <v>86</v>
      </c>
      <c r="K536" s="23" t="s">
        <v>93</v>
      </c>
      <c r="L536" s="9" t="s">
        <v>1557</v>
      </c>
    </row>
    <row r="537" customFormat="false" ht="19.5" hidden="false" customHeight="true" outlineLevel="0" collapsed="false">
      <c r="A537" s="25" t="s">
        <v>1565</v>
      </c>
      <c r="B537" s="25" t="s">
        <v>215</v>
      </c>
      <c r="C537" s="12" t="s">
        <v>1346</v>
      </c>
      <c r="D537" s="12" t="s">
        <v>218</v>
      </c>
      <c r="E537" s="25" t="s">
        <v>1555</v>
      </c>
      <c r="F537" s="25" t="s">
        <v>1334</v>
      </c>
      <c r="G537" s="25" t="s">
        <v>1379</v>
      </c>
      <c r="H537" s="14" t="n">
        <v>4.2</v>
      </c>
      <c r="I537" s="29"/>
      <c r="J537" s="25" t="s">
        <v>86</v>
      </c>
      <c r="K537" s="22" t="s">
        <v>93</v>
      </c>
      <c r="L537" s="12" t="s">
        <v>1559</v>
      </c>
    </row>
  </sheetData>
  <mergeCells count="2">
    <mergeCell ref="A1:L1"/>
    <mergeCell ref="A2:L2"/>
  </mergeCells>
  <hyperlinks>
    <hyperlink ref="K5" r:id="rId1" display="https://phongchongthientaitiengiang.vn/?p=7360"/>
    <hyperlink ref="K6" r:id="rId2" display="https://phongchongthientaitiengiang.vn/?p=7360"/>
    <hyperlink ref="K7" r:id="rId3" display="https://phongchongthientaitiengiang.vn/?p=7360"/>
    <hyperlink ref="K8" r:id="rId4" display="https://phongchongthientaitiengiang.vn/?p=7360"/>
    <hyperlink ref="K9" r:id="rId5" display="https://phongchongthientaitiengiang.vn/?p=7360"/>
    <hyperlink ref="K10" r:id="rId6" display="https://phongchongthientaitiengiang.vn/?p=7360"/>
    <hyperlink ref="K11" r:id="rId7" display="https://phongchongthientaitiengiang.vn/?p=7360"/>
    <hyperlink ref="K12" r:id="rId8" display="https://phongchongthientaitiengiang.vn/?p=7360"/>
    <hyperlink ref="K13" r:id="rId9" display="https://phongchongthientaitiengiang.vn/?p=7360"/>
    <hyperlink ref="K14" r:id="rId10" display="https://phongchongthientaitiengiang.vn/?p=7360"/>
    <hyperlink ref="K15" r:id="rId11" display="https://phongchongthientaitiengiang.vn/?p=7360"/>
    <hyperlink ref="K16" r:id="rId12" display="https://phongchongthientaitiengiang.vn/?p=7360"/>
    <hyperlink ref="K17" r:id="rId13" display="http://thuyloitiengiang.vn/web/thuyloitiengiang/chi-tiet-tin-tuc?id=455328"/>
    <hyperlink ref="K18" r:id="rId14" display="http://thuyloitiengiang.vn/web/thuyloitiengiang/chi-tiet-tin-tuc?id=455328"/>
    <hyperlink ref="K19" r:id="rId15" display="http://thuyloitiengiang.vn/web/thuyloitiengiang/chi-tiet-tin-tuc?id=455328"/>
    <hyperlink ref="K20" r:id="rId16" display="http://thuyloitiengiang.vn/web/thuyloitiengiang/chi-tiet-tin-tuc?id=455328"/>
    <hyperlink ref="K21" r:id="rId17" display="http://thuyloitiengiang.vn/web/thuyloitiengiang/chi-tiet-tin-tuc?id=455328"/>
    <hyperlink ref="K22" r:id="rId18" display="http://thuyloitiengiang.vn/web/thuyloitiengiang/chi-tiet-tin-tuc?id=455328"/>
    <hyperlink ref="K23" r:id="rId19" display="http://thuyloitiengiang.vn/web/thuyloitiengiang/chi-tiet-tin-tuc?id=455328"/>
    <hyperlink ref="K24" r:id="rId20" display="http://thuyloitiengiang.vn/web/thuyloitiengiang/chi-tiet-tin-tuc?id=455328"/>
    <hyperlink ref="K25" r:id="rId21" display="http://thuyloitiengiang.vn/web/thuyloitiengiang/chi-tiet-tin-tuc?id=455328"/>
    <hyperlink ref="K26" r:id="rId22" display="http://thuyloitiengiang.vn/web/thuyloitiengiang/chi-tiet-tin-tuc?id=455328"/>
    <hyperlink ref="K27" r:id="rId23" display="http://thuyloitiengiang.vn/web/thuyloitiengiang/chi-tiet-tin-tuc?id=455328"/>
    <hyperlink ref="K28" r:id="rId24" display="http://thuyloitiengiang.vn/web/thuyloitiengiang/chi-tiet-tin-tuc?id=455328"/>
    <hyperlink ref="K29" r:id="rId25" display="http://thuyloitiengiang.vn/web/thuyloitiengiang/chi-tiet-tin-tuc?id=455328"/>
    <hyperlink ref="K30" r:id="rId26" display="http://thuyloitiengiang.vn/web/thuyloitiengiang/chi-tiet-tin-tuc?id=455332"/>
    <hyperlink ref="K31" r:id="rId27" display="http://thuyloitiengiang.vn/web/thuyloitiengiang/chi-tiet-tin-tuc?id=455332"/>
    <hyperlink ref="K32" r:id="rId28" display="http://thuyloitiengiang.vn/web/thuyloitiengiang/chi-tiet-tin-tuc?id=455332"/>
    <hyperlink ref="K33" r:id="rId29" display="http://thuyloitiengiang.vn/web/thuyloitiengiang/chi-tiet-tin-tuc?id=455332"/>
    <hyperlink ref="K34" r:id="rId30" display="http://thuyloitiengiang.vn/web/thuyloitiengiang/chi-tiet-tin-tuc?id=455332"/>
    <hyperlink ref="K35" r:id="rId31" display="http://thuyloitiengiang.vn/web/thuyloitiengiang/chi-tiet-tin-tuc?id=455332"/>
    <hyperlink ref="K36" r:id="rId32" display="http://thuyloitiengiang.vn/web/thuyloitiengiang/chi-tiet-tin-tuc?id=455332"/>
    <hyperlink ref="K37" r:id="rId33" display="http://thuyloitiengiang.vn/web/thuyloitiengiang/chi-tiet-tin-tuc?id=455332"/>
    <hyperlink ref="K38" r:id="rId34" display="http://thuyloitiengiang.vn/web/thuyloitiengiang/chi-tiet-tin-tuc?id=455332"/>
    <hyperlink ref="K39" r:id="rId35" display="http://thuyloitiengiang.vn/web/thuyloitiengiang/chi-tiet-tin-tuc?id=455332"/>
    <hyperlink ref="K40" r:id="rId36" display="http://thuyloitiengiang.vn/web/thuyloitiengiang/chi-tiet-tin-tuc?id=455332"/>
    <hyperlink ref="K41" r:id="rId37" display="http://thuyloitiengiang.vn/web/thuyloitiengiang/chi-tiet-tin-tuc?id=455332"/>
    <hyperlink ref="K42" r:id="rId38" display="http://thuyloitiengiang.vn/web/thuyloitiengiang/chi-tiet-tin-tuc?id=455332"/>
    <hyperlink ref="K43" r:id="rId39" display="http://thuyloitiengiang.vn/web/thuyloitiengiang/chi-tiet-tin-tuc?id=455336"/>
    <hyperlink ref="K44" r:id="rId40" display="http://thuyloitiengiang.vn/web/thuyloitiengiang/chi-tiet-tin-tuc?id=455336"/>
    <hyperlink ref="K45" r:id="rId41" display="http://thuyloitiengiang.vn/web/thuyloitiengiang/chi-tiet-tin-tuc?id=455336"/>
    <hyperlink ref="K46" r:id="rId42" display="http://thuyloitiengiang.vn/web/thuyloitiengiang/chi-tiet-tin-tuc?id=455336"/>
    <hyperlink ref="K47" r:id="rId43" display="http://thuyloitiengiang.vn/web/thuyloitiengiang/chi-tiet-tin-tuc?id=455336"/>
    <hyperlink ref="K48" r:id="rId44" display="http://thuyloitiengiang.vn/web/thuyloitiengiang/chi-tiet-tin-tuc?id=455336"/>
    <hyperlink ref="K49" r:id="rId45" display="http://thuyloitiengiang.vn/web/thuyloitiengiang/chi-tiet-tin-tuc?id=455336"/>
    <hyperlink ref="K50" r:id="rId46" display="http://thuyloitiengiang.vn/web/thuyloitiengiang/chi-tiet-tin-tuc?id=455336"/>
    <hyperlink ref="K51" r:id="rId47" display="http://thuyloitiengiang.vn/web/thuyloitiengiang/chi-tiet-tin-tuc?id=455336"/>
    <hyperlink ref="K52" r:id="rId48" display="http://thuyloitiengiang.vn/web/thuyloitiengiang/chi-tiet-tin-tuc?id=455336"/>
    <hyperlink ref="K53" r:id="rId49" display="http://thuyloitiengiang.vn/web/thuyloitiengiang/chi-tiet-tin-tuc?id=455336"/>
    <hyperlink ref="K54" r:id="rId50" display="http://thuyloitiengiang.vn/web/thuyloitiengiang/chi-tiet-tin-tuc?id=455336"/>
    <hyperlink ref="K55" r:id="rId51" display="http://thuyloitiengiang.vn/web/thuyloitiengiang/chi-tiet-tin-tuc?id=455336"/>
    <hyperlink ref="K56" r:id="rId52" display="http://thuyloitiengiang.vn/web/thuyloitiengiang/chi-tiet-tin-tuc?id=455412"/>
    <hyperlink ref="K57" r:id="rId53" display="http://thuyloitiengiang.vn/web/thuyloitiengiang/chi-tiet-tin-tuc?id=455412"/>
    <hyperlink ref="K58" r:id="rId54" display="http://thuyloitiengiang.vn/web/thuyloitiengiang/chi-tiet-tin-tuc?id=455412"/>
    <hyperlink ref="K59" r:id="rId55" display="http://thuyloitiengiang.vn/web/thuyloitiengiang/chi-tiet-tin-tuc?id=455412"/>
    <hyperlink ref="K60" r:id="rId56" display="http://thuyloitiengiang.vn/web/thuyloitiengiang/chi-tiet-tin-tuc?id=455412"/>
    <hyperlink ref="K61" r:id="rId57" display="http://thuyloitiengiang.vn/web/thuyloitiengiang/chi-tiet-tin-tuc?id=455412"/>
    <hyperlink ref="K62" r:id="rId58" display="http://thuyloitiengiang.vn/web/thuyloitiengiang/chi-tiet-tin-tuc?id=455412"/>
    <hyperlink ref="K63" r:id="rId59" display="http://thuyloitiengiang.vn/web/thuyloitiengiang/chi-tiet-tin-tuc?id=455412"/>
    <hyperlink ref="K64" r:id="rId60" display="http://thuyloitiengiang.vn/web/thuyloitiengiang/chi-tiet-tin-tuc?id=455412"/>
    <hyperlink ref="K65" r:id="rId61" display="http://thuyloitiengiang.vn/web/thuyloitiengiang/chi-tiet-tin-tuc?id=455412"/>
    <hyperlink ref="K66" r:id="rId62" display="http://thuyloitiengiang.vn/web/thuyloitiengiang/chi-tiet-tin-tuc?id=455412"/>
    <hyperlink ref="K67" r:id="rId63" display="http://thuyloitiengiang.vn/web/thuyloitiengiang/chi-tiet-tin-tuc?id=455412"/>
    <hyperlink ref="K68" r:id="rId64" display="http://thuyloitiengiang.vn/web/thuyloitiengiang/chi-tiet-tin-tuc?id=455412"/>
    <hyperlink ref="K69" r:id="rId65" display="http://thuyloitiengiang.vn/web/thuyloitiengiang/chi-tiet-tin-tuc?id=455416"/>
    <hyperlink ref="K70" r:id="rId66" display="http://thuyloitiengiang.vn/web/thuyloitiengiang/chi-tiet-tin-tuc?id=455416"/>
    <hyperlink ref="K71" r:id="rId67" display="http://thuyloitiengiang.vn/web/thuyloitiengiang/chi-tiet-tin-tuc?id=455416"/>
    <hyperlink ref="K72" r:id="rId68" display="http://thuyloitiengiang.vn/web/thuyloitiengiang/chi-tiet-tin-tuc?id=455416"/>
    <hyperlink ref="K73" r:id="rId69" display="http://thuyloitiengiang.vn/web/thuyloitiengiang/chi-tiet-tin-tuc?id=455416"/>
    <hyperlink ref="K74" r:id="rId70" display="http://thuyloitiengiang.vn/web/thuyloitiengiang/chi-tiet-tin-tuc?id=455416"/>
    <hyperlink ref="K75" r:id="rId71" display="http://thuyloitiengiang.vn/web/thuyloitiengiang/chi-tiet-tin-tuc?id=455416"/>
    <hyperlink ref="K76" r:id="rId72" display="http://thuyloitiengiang.vn/web/thuyloitiengiang/chi-tiet-tin-tuc?id=455416"/>
    <hyperlink ref="K77" r:id="rId73" display="http://thuyloitiengiang.vn/web/thuyloitiengiang/chi-tiet-tin-tuc?id=455416"/>
    <hyperlink ref="K78" r:id="rId74" display="http://thuyloitiengiang.vn/web/thuyloitiengiang/chi-tiet-tin-tuc?id=455416"/>
    <hyperlink ref="K79" r:id="rId75" display="http://thuyloitiengiang.vn/web/thuyloitiengiang/chi-tiet-tin-tuc?id=455416"/>
    <hyperlink ref="K80" r:id="rId76" display="http://thuyloitiengiang.vn/web/thuyloitiengiang/chi-tiet-tin-tuc?id=455416"/>
    <hyperlink ref="K81" r:id="rId77" display="http://thuyloitiengiang.vn/web/thuyloitiengiang/chi-tiet-tin-tuc?id=455416"/>
    <hyperlink ref="K82" r:id="rId78" display="https://phongchongthientaitiengiang.vn/?p=7360"/>
    <hyperlink ref="K83" r:id="rId79" display="https://phongchongthientaitiengiang.vn/?p=7360"/>
    <hyperlink ref="K84" r:id="rId80" display="https://phongchongthientaitiengiang.vn/?p=7360"/>
    <hyperlink ref="K85" r:id="rId81" display="https://phongchongthientaitiengiang.vn/?p=7360"/>
    <hyperlink ref="K86" r:id="rId82" display="https://phongchongthientaitiengiang.vn/?p=7360"/>
    <hyperlink ref="K87" r:id="rId83" display="https://phongchongthientaitiengiang.vn/?p=7360"/>
    <hyperlink ref="K88" r:id="rId84" display="https://phongchongthientaitiengiang.vn/?p=7360"/>
    <hyperlink ref="K89" r:id="rId85" display="https://phongchongthientaitiengiang.vn/?p=7360"/>
    <hyperlink ref="K90" r:id="rId86" display="https://phongchongthientaitiengiang.vn/?p=7360"/>
    <hyperlink ref="K91" r:id="rId87" display="http://thuyloitiengiang.vn/web/thuyloitiengiang/chi-tiet-tin-tuc?id=455328"/>
    <hyperlink ref="K92" r:id="rId88" display="http://thuyloitiengiang.vn/web/thuyloitiengiang/chi-tiet-tin-tuc?id=455328"/>
    <hyperlink ref="K93" r:id="rId89" display="http://thuyloitiengiang.vn/web/thuyloitiengiang/chi-tiet-tin-tuc?id=455328"/>
    <hyperlink ref="K94" r:id="rId90" display="http://thuyloitiengiang.vn/web/thuyloitiengiang/chi-tiet-tin-tuc?id=455328"/>
    <hyperlink ref="K95" r:id="rId91" display="http://thuyloitiengiang.vn/web/thuyloitiengiang/chi-tiet-tin-tuc?id=455328"/>
    <hyperlink ref="K96" r:id="rId92" display="http://thuyloitiengiang.vn/web/thuyloitiengiang/chi-tiet-tin-tuc?id=455328"/>
    <hyperlink ref="K97" r:id="rId93" display="http://thuyloitiengiang.vn/web/thuyloitiengiang/chi-tiet-tin-tuc?id=455328"/>
    <hyperlink ref="K98" r:id="rId94" display="http://thuyloitiengiang.vn/web/thuyloitiengiang/chi-tiet-tin-tuc?id=455328"/>
    <hyperlink ref="K99" r:id="rId95" display="http://thuyloitiengiang.vn/web/thuyloitiengiang/chi-tiet-tin-tuc?id=455328"/>
    <hyperlink ref="K100" r:id="rId96" display="http://thuyloitiengiang.vn/web/thuyloitiengiang/chi-tiet-tin-tuc?id=455328"/>
    <hyperlink ref="K101" r:id="rId97" display="http://thuyloitiengiang.vn/web/thuyloitiengiang/chi-tiet-tin-tuc?id=455328"/>
    <hyperlink ref="K102" r:id="rId98" display="http://thuyloitiengiang.vn/web/thuyloitiengiang/chi-tiet-tin-tuc?id=455332"/>
    <hyperlink ref="K103" r:id="rId99" display="http://thuyloitiengiang.vn/web/thuyloitiengiang/chi-tiet-tin-tuc?id=455332"/>
    <hyperlink ref="K104" r:id="rId100" display="http://thuyloitiengiang.vn/web/thuyloitiengiang/chi-tiet-tin-tuc?id=455332"/>
    <hyperlink ref="K105" r:id="rId101" display="http://thuyloitiengiang.vn/web/thuyloitiengiang/chi-tiet-tin-tuc?id=455332"/>
    <hyperlink ref="K106" r:id="rId102" display="http://thuyloitiengiang.vn/web/thuyloitiengiang/chi-tiet-tin-tuc?id=455332"/>
    <hyperlink ref="K107" r:id="rId103" display="http://thuyloitiengiang.vn/web/thuyloitiengiang/chi-tiet-tin-tuc?id=455332"/>
    <hyperlink ref="K108" r:id="rId104" display="http://thuyloitiengiang.vn/web/thuyloitiengiang/chi-tiet-tin-tuc?id=455332"/>
    <hyperlink ref="K109" r:id="rId105" display="http://thuyloitiengiang.vn/web/thuyloitiengiang/chi-tiet-tin-tuc?id=455332"/>
    <hyperlink ref="K110" r:id="rId106" display="http://thuyloitiengiang.vn/web/thuyloitiengiang/chi-tiet-tin-tuc?id=455332"/>
    <hyperlink ref="K111" r:id="rId107" display="http://thuyloitiengiang.vn/web/thuyloitiengiang/chi-tiet-tin-tuc?id=455332"/>
    <hyperlink ref="K112" r:id="rId108" display="http://thuyloitiengiang.vn/web/thuyloitiengiang/chi-tiet-tin-tuc?id=455332"/>
    <hyperlink ref="K113" r:id="rId109" display="http://thuyloitiengiang.vn/web/thuyloitiengiang/chi-tiet-tin-tuc?id=455336"/>
    <hyperlink ref="K114" r:id="rId110" display="http://thuyloitiengiang.vn/web/thuyloitiengiang/chi-tiet-tin-tuc?id=455336"/>
    <hyperlink ref="K115" r:id="rId111" display="http://thuyloitiengiang.vn/web/thuyloitiengiang/chi-tiet-tin-tuc?id=455336"/>
    <hyperlink ref="K116" r:id="rId112" display="http://thuyloitiengiang.vn/web/thuyloitiengiang/chi-tiet-tin-tuc?id=455336"/>
    <hyperlink ref="K117" r:id="rId113" display="http://thuyloitiengiang.vn/web/thuyloitiengiang/chi-tiet-tin-tuc?id=455336"/>
    <hyperlink ref="K118" r:id="rId114" display="http://thuyloitiengiang.vn/web/thuyloitiengiang/chi-tiet-tin-tuc?id=455336"/>
    <hyperlink ref="K119" r:id="rId115" display="http://thuyloitiengiang.vn/web/thuyloitiengiang/chi-tiet-tin-tuc?id=455336"/>
    <hyperlink ref="K120" r:id="rId116" display="http://thuyloitiengiang.vn/web/thuyloitiengiang/chi-tiet-tin-tuc?id=455336"/>
    <hyperlink ref="K121" r:id="rId117" display="http://thuyloitiengiang.vn/web/thuyloitiengiang/chi-tiet-tin-tuc?id=455336"/>
    <hyperlink ref="K122" r:id="rId118" display="http://thuyloitiengiang.vn/web/thuyloitiengiang/chi-tiet-tin-tuc?id=455336"/>
    <hyperlink ref="K123" r:id="rId119" display="http://thuyloitiengiang.vn/web/thuyloitiengiang/chi-tiet-tin-tuc?id=455336"/>
    <hyperlink ref="K124" r:id="rId120" display="http://thuyloitiengiang.vn/web/thuyloitiengiang/chi-tiet-tin-tuc?id=455412"/>
    <hyperlink ref="K125" r:id="rId121" display="http://thuyloitiengiang.vn/web/thuyloitiengiang/chi-tiet-tin-tuc?id=455412"/>
    <hyperlink ref="K126" r:id="rId122" display="http://thuyloitiengiang.vn/web/thuyloitiengiang/chi-tiet-tin-tuc?id=455412"/>
    <hyperlink ref="K127" r:id="rId123" display="http://thuyloitiengiang.vn/web/thuyloitiengiang/chi-tiet-tin-tuc?id=455412"/>
    <hyperlink ref="K128" r:id="rId124" display="http://thuyloitiengiang.vn/web/thuyloitiengiang/chi-tiet-tin-tuc?id=455412"/>
    <hyperlink ref="K129" r:id="rId125" display="http://thuyloitiengiang.vn/web/thuyloitiengiang/chi-tiet-tin-tuc?id=455412"/>
    <hyperlink ref="K130" r:id="rId126" display="http://thuyloitiengiang.vn/web/thuyloitiengiang/chi-tiet-tin-tuc?id=455412"/>
    <hyperlink ref="K131" r:id="rId127" display="http://thuyloitiengiang.vn/web/thuyloitiengiang/chi-tiet-tin-tuc?id=455412"/>
    <hyperlink ref="K132" r:id="rId128" display="http://thuyloitiengiang.vn/web/thuyloitiengiang/chi-tiet-tin-tuc?id=455412"/>
    <hyperlink ref="K133" r:id="rId129" display="http://thuyloitiengiang.vn/web/thuyloitiengiang/chi-tiet-tin-tuc?id=455412"/>
    <hyperlink ref="K134" r:id="rId130" display="http://thuyloitiengiang.vn/web/thuyloitiengiang/chi-tiet-tin-tuc?id=455412"/>
    <hyperlink ref="K135" r:id="rId131" display="http://thuyloitiengiang.vn/web/thuyloitiengiang/chi-tiet-tin-tuc?id=455416"/>
    <hyperlink ref="K136" r:id="rId132" display="http://thuyloitiengiang.vn/web/thuyloitiengiang/chi-tiet-tin-tuc?id=455416"/>
    <hyperlink ref="K137" r:id="rId133" display="http://thuyloitiengiang.vn/web/thuyloitiengiang/chi-tiet-tin-tuc?id=455416"/>
    <hyperlink ref="K138" r:id="rId134" display="http://thuyloitiengiang.vn/web/thuyloitiengiang/chi-tiet-tin-tuc?id=455416"/>
    <hyperlink ref="K139" r:id="rId135" display="http://thuyloitiengiang.vn/web/thuyloitiengiang/chi-tiet-tin-tuc?id=455416"/>
    <hyperlink ref="K140" r:id="rId136" display="http://thuyloitiengiang.vn/web/thuyloitiengiang/chi-tiet-tin-tuc?id=455416"/>
    <hyperlink ref="K141" r:id="rId137" display="http://thuyloitiengiang.vn/web/thuyloitiengiang/chi-tiet-tin-tuc?id=455416"/>
    <hyperlink ref="K142" r:id="rId138" display="http://thuyloitiengiang.vn/web/thuyloitiengiang/chi-tiet-tin-tuc?id=455416"/>
    <hyperlink ref="K143" r:id="rId139" display="http://thuyloitiengiang.vn/web/thuyloitiengiang/chi-tiet-tin-tuc?id=455416"/>
    <hyperlink ref="K144" r:id="rId140" display="http://thuyloitiengiang.vn/web/thuyloitiengiang/chi-tiet-tin-tuc?id=455416"/>
    <hyperlink ref="K145" r:id="rId141" display="http://thuyloitiengiang.vn/web/thuyloitiengiang/chi-tiet-tin-tuc?id=455416"/>
    <hyperlink ref="K146" r:id="rId142" display="https://tuoitre.vn/tien-giang-man-da-xam-nhap-sau-vao-dat-lien-hon-50km-20240212110133913.htm"/>
    <hyperlink ref="K147" r:id="rId143" display="https://tuoitre.vn/tien-giang-man-da-xam-nhap-sau-vao-dat-lien-hon-50km-20240212110133913.htm"/>
    <hyperlink ref="K148" r:id="rId144" display="https://tuoitre.vn/tien-giang-man-da-xam-nhap-sau-vao-dat-lien-hon-50km-20240212110133913.htm"/>
    <hyperlink ref="K149" r:id="rId145" display="https://tuoitre.vn/tien-giang-man-da-xam-nhap-sau-vao-dat-lien-hon-50km-20240212110133913.htm"/>
    <hyperlink ref="K150" r:id="rId146" display="https://tuoitre.vn/tien-giang-man-da-xam-nhap-sau-vao-dat-lien-hon-50km-20240212110133913.htm"/>
    <hyperlink ref="K151" r:id="rId147" display="https://baodongthap.vn/tien-giang-man-xam-nhap-den-khu-vuc-cau-phu-phong-huyen-chau-thanh-a57394.html"/>
    <hyperlink ref="K152" r:id="rId148" display="https://baodongthap.vn/tien-giang-man-xam-nhap-den-khu-vuc-cau-phu-phong-huyen-chau-thanh-a57394.html"/>
    <hyperlink ref="K153" r:id="rId149" display="https://baodongthap.vn/tien-giang-man-xam-nhap-den-khu-vuc-cau-phu-phong-huyen-chau-thanh-a57394.html"/>
    <hyperlink ref="K154" r:id="rId150" display="https://baodongthap.vn/tien-giang-man-xam-nhap-den-khu-vuc-cau-phu-phong-huyen-chau-thanh-a57394.html"/>
    <hyperlink ref="K155" r:id="rId151" display="https://baodongthap.vn/tien-giang-man-xam-nhap-den-khu-vuc-cau-phu-phong-huyen-chau-thanh-a57394.html"/>
    <hyperlink ref="K156" r:id="rId152" display="https://baodongthap.vn/tien-giang-man-xam-nhap-den-khu-vuc-cau-phu-phong-huyen-chau-thanh-a57394.html"/>
    <hyperlink ref="K157" r:id="rId153" display="https://baodongthap.vn/tien-giang-man-xam-nhap-den-khu-vuc-cau-phu-phong-huyen-chau-thanh-a57394.html"/>
    <hyperlink ref="K158" r:id="rId154" display="https://pctt.tayninh.gov.vn/tinh-hinh-chat-luong-nuoc-76230/tinh-hinh-chat-luong-nuoc-xam-nhap-man-tren-cac-tuyen-song-trong-dia-ban-tinh-long-an-ngay-02-de-983594"/>
    <hyperlink ref="K159" r:id="rId155" display="https://pctt.tayninh.gov.vn/tinh-hinh-chat-luong-nuoc-76230/tinh-hinh-chat-luong-nuoc-xam-nhap-man-tren-cac-tuyen-song-trong-dia-ban-tinh-long-an-ngay-02-de-983594"/>
    <hyperlink ref="K160" r:id="rId156" display="https://pctt.tayninh.gov.vn/tinh-hinh-chat-luong-nuoc-76230/tinh-hinh-chat-luong-nuoc-xam-nhap-man-tren-cac-tuyen-song-trong-dia-ban-tinh-long-an-ngay-02-de-983594"/>
    <hyperlink ref="K161" r:id="rId157" display="https://baodongthap.vn/tien-giang-chu-dong-quyet-liet-voi-xam-nhap-man-a58212.html"/>
    <hyperlink ref="K162" r:id="rId158" display="https://baodongthap.vn/tien-giang-chu-dong-quyet-liet-voi-xam-nhap-man-a58212.html"/>
    <hyperlink ref="K163" r:id="rId159" display="https://pctt.tayninh.gov.vn/tinh-hinh-chat-luong-nuoc-76230/tinh-hinh-chat-luong-nuoc-xam-nhap-man-tren-cac-tuyen-song-tren-dia-ban-tinh-long-an-tu-ngay-05--984252"/>
    <hyperlink ref="K164" r:id="rId160" display="https://pctt.tayninh.gov.vn/tinh-hinh-chat-luong-nuoc-76230/tinh-hinh-chat-luong-nuoc-xam-nhap-man-tren-cac-tuyen-song-tren-dia-ban-tinh-long-an-tu-ngay-05--984252"/>
    <hyperlink ref="K165" r:id="rId161" display="https://pctt.tayninh.gov.vn/tinh-hinh-chat-luong-nuoc-76230/tinh-hinh-chat-luong-nuoc-xam-nhap-man-tren-cac-tuyen-song-tren-dia-ban-tinh-long-an-tu-ngay-05--984252"/>
    <hyperlink ref="K166" r:id="rId162" display="https://nhandan.vn/tien-giang-quyet-liet-trien-khai-cac-giai-phap-phong-chong-han-man-post799553.html"/>
    <hyperlink ref="K167" r:id="rId163" display="https://nhandan.vn/tien-giang-quyet-liet-trien-khai-cac-giai-phap-phong-chong-han-man-post799553.html"/>
    <hyperlink ref="K168" r:id="rId164" display="https://nhandan.vn/tien-giang-quyet-liet-trien-khai-cac-giai-phap-phong-chong-han-man-post799553.html"/>
    <hyperlink ref="K169" r:id="rId165" display="https://nhandan.vn/tien-giang-quyet-liet-trien-khai-cac-giai-phap-phong-chong-han-man-post799553.html"/>
    <hyperlink ref="K170" r:id="rId166" display="https://nhandan.vn/tien-giang-quyet-liet-trien-khai-cac-giai-phap-phong-chong-han-man-post799553.html"/>
    <hyperlink ref="K171" r:id="rId167" display="https://nhandan.vn/tien-giang-quyet-liet-trien-khai-cac-giai-phap-phong-chong-han-man-post799553.html"/>
    <hyperlink ref="K172" r:id="rId168" display="https://nhandan.vn/tien-giang-quyet-liet-trien-khai-cac-giai-phap-phong-chong-han-man-post799553.html"/>
    <hyperlink ref="K173" r:id="rId169" display="https://baodongthap.vn/tien-giang-xam-nhap-man-tiep-tuc-tang-theo-ky-trieu-cuong-a70919.html"/>
    <hyperlink ref="K174" r:id="rId170" display="https://baodongthap.vn/tien-giang-xam-nhap-man-tiep-tuc-tang-theo-ky-trieu-cuong-a70919.html"/>
    <hyperlink ref="K175" r:id="rId171" display="https://baodongthap.vn/tien-giang-xam-nhap-man-tiep-tuc-tang-theo-ky-trieu-cuong-a70919.html"/>
    <hyperlink ref="K176" r:id="rId172" display="https://baodongthap.vn/tien-giang-xam-nhap-man-tiep-tuc-tang-theo-ky-trieu-cuong-a70919.html"/>
    <hyperlink ref="K177" r:id="rId173" display="https://baodongthap.vn/tien-giang-xam-nhap-man-tiep-tuc-tang-theo-ky-trieu-cuong-a70919.html"/>
    <hyperlink ref="K178" r:id="rId174" display="https://baodongthap.vn/tien-giang-xam-nhap-man-tiep-tuc-tang-theo-ky-trieu-cuong-a70919.html"/>
    <hyperlink ref="K179" r:id="rId175" display="https://baodongthap.vn/tien-giang-xam-nhap-man-tiep-tuc-tang-theo-ky-trieu-cuong-a70919.html"/>
    <hyperlink ref="K180" r:id="rId176" display="https://baodongthap.vn/tien-giang-xam-nhap-man-tiep-tuc-tang-theo-ky-trieu-cuong-a70919.html"/>
    <hyperlink ref="K181" r:id="rId177" display="https://baodongthap.vn/tien-giang-xam-nhap-man-giam-nhe-a71088.html"/>
    <hyperlink ref="K182" r:id="rId178" display="https://baodongthap.vn/tien-giang-xam-nhap-man-giam-nhe-a71088.html"/>
    <hyperlink ref="K183" r:id="rId179" display="https://baodongthap.vn/tien-giang-xam-nhap-man-giam-nhe-a71088.html"/>
    <hyperlink ref="K184" r:id="rId180" display="https://baodongthap.vn/tien-giang-xam-nhap-man-giam-nhe-a71088.html"/>
    <hyperlink ref="K185" r:id="rId181" display="https://baodongthap.vn/tien-giang-xam-nhap-man-giam-nhe-a71088.html"/>
    <hyperlink ref="K186" r:id="rId182" display="https://baodongthap.vn/tien-giang-xam-nhap-man-giam-nhe-a71088.html"/>
    <hyperlink ref="K187" r:id="rId183" display="https://baodongthap.vn/tien-giang-xam-nhap-man-giam-nhe-a71088.html"/>
    <hyperlink ref="K188" r:id="rId184" display="https://baodongthap.vn/tien-giang-xam-nhap-man-giam-nhe-a71088.html"/>
    <hyperlink ref="K189" r:id="rId185" display="https://baodongthap.vn/tien-giang-xam-nhap-man-giam-cac-cong-thuoc-du-an-bao-dinh-van-hanh-lay-nuoc-a72711.html"/>
    <hyperlink ref="K190" r:id="rId186" display="https://baodongthap.vn/tien-giang-xam-nhap-man-giam-cac-cong-thuoc-du-an-bao-dinh-van-hanh-lay-nuoc-a72711.html"/>
    <hyperlink ref="K191" r:id="rId187" display="https://baodongthap.vn/tien-giang-xam-nhap-man-giam-cac-cong-thuoc-du-an-bao-dinh-van-hanh-lay-nuoc-a72711.html"/>
    <hyperlink ref="K192" r:id="rId188" display="https://baodongthap.vn/tien-giang-xam-nhap-man-giam-cac-cong-thuoc-du-an-bao-dinh-van-hanh-lay-nuoc-a72711.html"/>
    <hyperlink ref="K193" r:id="rId189" display="https://baodongthap.vn/tien-giang-man-da-xam-nhap-toi-tp-my-tho-a13709.html"/>
    <hyperlink ref="K194" r:id="rId190" display="https://nhandan.vn/xam-nhap-man-co-xu-the-tang-nhanh-tai-tien-giang-post852937.html"/>
    <hyperlink ref="K195" r:id="rId191" display="https://baodongthap.vn/tien-giang-xam-nhap-man-tang-tro-lai-a34313.html"/>
    <hyperlink ref="K196" r:id="rId192" display="https://baodongthap.vn/tien-giang-xam-nhap-man-tang-tro-lai-a34313.html"/>
    <hyperlink ref="K197" r:id="rId193" display="https://baodongthap.vn/tien-giang-xam-nhap-man-tang-tro-lai-a34313.html"/>
    <hyperlink ref="K198" r:id="rId194" display="https://phongchongthientaitiengiang.vn/?p=7360"/>
    <hyperlink ref="K199" r:id="rId195" display="https://phongchongthientaitiengiang.vn/?p=7360"/>
    <hyperlink ref="K200" r:id="rId196" display="https://phongchongthientaitiengiang.vn/?p=7360"/>
    <hyperlink ref="K201" r:id="rId197" display="https://phongchongthientaitiengiang.vn/?p=7360"/>
    <hyperlink ref="K202" r:id="rId198" display="https://phongchongthientaitiengiang.vn/?p=7360"/>
    <hyperlink ref="K203" r:id="rId199" display="https://phongchongthientaitiengiang.vn/?p=7360"/>
    <hyperlink ref="K204" r:id="rId200" display="https://phongchongthientaitiengiang.vn/?p=7360"/>
    <hyperlink ref="K205" r:id="rId201" display="https://phongchongthientaitiengiang.vn/?p=7360"/>
    <hyperlink ref="K206" r:id="rId202" display="https://phongchongthientaitiengiang.vn/?p=7360"/>
    <hyperlink ref="K207" r:id="rId203" display="https://phongchongthientaitiengiang.vn/?p=7360"/>
    <hyperlink ref="K208" r:id="rId204" display="https://phongchongthientaitiengiang.vn/?p=7360"/>
    <hyperlink ref="K209" r:id="rId205" display="https://phongchongthientaitiengiang.vn/?p=7360"/>
    <hyperlink ref="K210" r:id="rId206" display="https://pctt.tayninh.gov.vn/tinh-hinh-chat-luong-nuoc-76230/tinh-hinh-chat-luong-nuoc-xam-nhap-man-tren-cac-tuyen-song-trong-dia-ban-tinh-long-an-ngay-02-de-983594"/>
    <hyperlink ref="K211" r:id="rId207" display="https://pctt.tayninh.gov.vn/tinh-hinh-chat-luong-nuoc-76230/tinh-hinh-chat-luong-nuoc-xam-nhap-man-tren-cac-tuyen-song-trong-dia-ban-tinh-long-an-ngay-02-de-983594"/>
    <hyperlink ref="K212" r:id="rId208" display="https://pctt.tayninh.gov.vn/tinh-hinh-chat-luong-nuoc-76230/tinh-hinh-chat-luong-nuoc-xam-nhap-man-tren-cac-tuyen-song-trong-dia-ban-tinh-long-an-ngay-02-de-983594"/>
    <hyperlink ref="K213" r:id="rId209" display="https://baodongthap.vn/tien-giang-xam-nhap-man-toi-huyen-chau-thanh-o-muc-0-42-g-l-a828.html"/>
    <hyperlink ref="K214" r:id="rId210" display="https://baodongthap.vn/tien-giang-xam-nhap-man-toi-huyen-chau-thanh-o-muc-0-42-g-l-a828.html"/>
    <hyperlink ref="K215" r:id="rId211" display="https://baodongthap.vn/tien-giang-xam-nhap-man-toi-huyen-chau-thanh-o-muc-0-42-g-l-a828.html"/>
    <hyperlink ref="K216" r:id="rId212" display="https://baodongthap.vn/tien-giang-xam-nhap-man-toi-huyen-chau-thanh-o-muc-0-42-g-l-a828.html"/>
    <hyperlink ref="K217" r:id="rId213" display="https://baodongthap.vn/tien-giang-xam-nhap-man-toi-huyen-chau-thanh-o-muc-0-42-g-l-a828.html"/>
    <hyperlink ref="K218" r:id="rId214" display="https://baodongthap.vn/tien-giang-xam-nhap-man-toi-huyen-chau-thanh-o-muc-0-42-g-l-a828.html"/>
    <hyperlink ref="K219" r:id="rId215" display="https://pctt.tayninh.gov.vn/tinh-hinh-chat-luong-nuoc-76230/tinh-hinh-chat-luong-nuoc-xam-nhap-man-tren-cac-tuyen-song-trong-dia-ban-tinh-long-an-ngay-02-de-983594"/>
    <hyperlink ref="K220" r:id="rId216" display="https://pctt.tayninh.gov.vn/tinh-hinh-chat-luong-nuoc-76230/tinh-hinh-chat-luong-nuoc-xam-nhap-man-tren-cac-tuyen-song-trong-dia-ban-tinh-long-an-ngay-02-de-983594"/>
    <hyperlink ref="K221" r:id="rId217" display="https://pctt.tayninh.gov.vn/tinh-hinh-chat-luong-nuoc-76230/tinh-hinh-chat-luong-nuoc-xam-nhap-man-tren-cac-tuyen-song-trong-dia-ban-tinh-long-an-ngay-02-de-983594"/>
    <hyperlink ref="K222" r:id="rId218" display="https://baodongthap.vn/tien-giang-xam-nhap-man-giam-theo-trieu-cuong-nhung-van-o-muc-cao-a1148.html"/>
    <hyperlink ref="K223" r:id="rId219" display="https://pctt.tayninh.gov.vn/tinh-hinh-chat-luong-nuoc-76230/tinh-hinh-chat-luong-nuoc-xam-nhap-man-tren-cac-tuyen-song-tren-dia-ban-tinh-long-an-tu-ngay-05--984252"/>
    <hyperlink ref="K224" r:id="rId220" display="https://pctt.tayninh.gov.vn/tinh-hinh-chat-luong-nuoc-76230/tinh-hinh-chat-luong-nuoc-xam-nhap-man-tren-cac-tuyen-song-tren-dia-ban-tinh-long-an-tu-ngay-05--984252"/>
    <hyperlink ref="K225" r:id="rId221" display="https://baodongthap.vn/tien-giang-xam-nhap-man-giam-theo-trieu-cuong-nhung-van-o-muc-cao-a1148.html"/>
    <hyperlink ref="K226" r:id="rId222" display="https://baodongthap.vn/tien-giang-xam-nhap-man-giam-theo-trieu-cuong-nhung-van-o-muc-cao-a1148.html"/>
    <hyperlink ref="K227" r:id="rId223" display="https://baodongthap.vn/tien-giang-xam-nhap-man-giam-theo-trieu-cuong-nhung-van-o-muc-cao-a1148.html"/>
    <hyperlink ref="K228" r:id="rId224" display="https://baodongthap.vn/tien-giang-xam-nhap-man-giam-theo-trieu-cuong-nhung-van-o-muc-cao-a1148.html"/>
    <hyperlink ref="K229" r:id="rId225" display="https://baodongthap.vn/tien-giang-xam-nhap-man-giam-theo-trieu-cuong-nhung-van-o-muc-cao-a1148.html"/>
    <hyperlink ref="K230" r:id="rId226" display="https://pctt.tayninh.gov.vn/tinh-hinh-chat-luong-nuoc-76230/tinh-hinh-chat-luong-nuoc-xam-nhap-man-tren-cac-tuyen-song-tren-dia-ban-tinh-long-an-tu-ngay-05--984252"/>
    <hyperlink ref="K231" r:id="rId227" display="https://baodongthap.vn/tien-giang-muc-nuoc-tai-cac-kinh-rach-vung-ngot-hoa-go-cong-dang-dan-xuong-thap-a4427.html"/>
    <hyperlink ref="K232" r:id="rId228" display="https://baodongthap.vn/tien-giang-muc-nuoc-tai-cac-kinh-rach-vung-ngot-hoa-go-cong-dang-dan-xuong-thap-a4427.html"/>
    <hyperlink ref="K233" r:id="rId229" display="https://baodongthap.vn/tien-giang-muc-nuoc-tai-cac-kinh-rach-vung-ngot-hoa-go-cong-dang-dan-xuong-thap-a4427.html"/>
    <hyperlink ref="K234" r:id="rId230" display="https://baodongthap.vn/tien-giang-muc-nuoc-tai-cac-kinh-rach-vung-ngot-hoa-go-cong-dang-dan-xuong-thap-a4427.html"/>
    <hyperlink ref="K235" r:id="rId231" display="https://baodongthap.vn/tien-giang-muc-nuoc-tai-cac-kinh-rach-vung-ngot-hoa-go-cong-dang-dan-xuong-thap-a4427.html"/>
    <hyperlink ref="K236" r:id="rId232" display="https://baodongthap.vn/tien-giang-muc-nuoc-tai-cac-kinh-rach-vung-ngot-hoa-go-cong-dang-dan-xuong-thap-a4427.html"/>
    <hyperlink ref="K237" r:id="rId233" display="https://baodongthap.vn/tien-giang-muc-nuoc-tai-cac-kinh-rach-vung-ngot-hoa-go-cong-dang-dan-xuong-thap-a4427.html"/>
    <hyperlink ref="K238" r:id="rId234" display="https://baodongthap.vn/tien-giang-muc-nuoc-tai-cac-kinh-rach-vung-ngot-hoa-go-cong-dang-dan-xuong-thap-a4427.html"/>
    <hyperlink ref="K239" r:id="rId235" display="https://baodongthap.vn/xam-nhap-man-giam-cong-xuan-hoa-lay-gan-nuoc-ngot-a5603.html"/>
    <hyperlink ref="K240" r:id="rId236" display="https://baodongthap.vn/xam-nhap-man-giam-cong-xuan-hoa-lay-gan-nuoc-ngot-a5603.html"/>
    <hyperlink ref="K241" r:id="rId237" display="https://baodongthap.vn/xam-nhap-man-giam-cong-xuan-hoa-lay-gan-nuoc-ngot-a5603.html"/>
    <hyperlink ref="K242" r:id="rId238" display="https://baodongthap.vn/xam-nhap-man-dat-dinh-va-se-giam-dan-trong-nhung-ngay-toi-a6163.html"/>
    <hyperlink ref="K243" r:id="rId239" display="https://baodongthap.vn/xam-nhap-man-dat-dinh-va-se-giam-dan-trong-nhung-ngay-toi-a6163.html"/>
    <hyperlink ref="K244" r:id="rId240" display="https://baodongthap.vn/xam-nhap-man-dat-dinh-va-se-giam-dan-trong-nhung-ngay-toi-a6163.html"/>
    <hyperlink ref="K245" r:id="rId241" display="https://baodongthap.vn/xam-nhap-man-dat-dinh-va-se-giam-dan-trong-nhung-ngay-toi-a6163.html"/>
    <hyperlink ref="K246" r:id="rId242" display="https://baodongthap.vn/xam-nhap-man-dat-dinh-va-se-giam-dan-trong-nhung-ngay-toi-a6163.html"/>
    <hyperlink ref="K247" r:id="rId243" display="https://baodongthap.vn/xam-nhap-man-dat-dinh-va-se-giam-dan-trong-nhung-ngay-toi-a6163.html"/>
    <hyperlink ref="K248" r:id="rId244" display="https://baodongthap.vn/xam-nhap-man-dat-dinh-va-se-giam-dan-trong-nhung-ngay-toi-a6163.html"/>
    <hyperlink ref="K249" r:id="rId245" display="https://tamvu.tayninh.gov.vn/bao-cao-thong-ke/thong-bao-tinh-hinh-chat-luong-nuoc-xam-nhap-man-tren-cac-tuyen-song-tren-dia-ban-tinh-tay-ninh--1057028"/>
    <hyperlink ref="K250" r:id="rId246" display="https://tamvu.tayninh.gov.vn/bao-cao-thong-ke/thong-bao-tinh-hinh-chat-luong-nuoc-xam-nhap-man-tren-cac-tuyen-song-tren-dia-ban-tinh-tay-ninh--1057028"/>
    <hyperlink ref="K251" r:id="rId247" display="https://tamvu.tayninh.gov.vn/bao-cao-thong-ke/thong-bao-tinh-hinh-chat-luong-nuoc-xam-nhap-man-tren-cac-tuyen-song-tren-dia-ban-tinh-tay-ninh--1057028"/>
    <hyperlink ref="K252" r:id="rId248" display="http://thuyloitiengiang.vn/web/thuyloitiengiang/chi-tiet-tin-tuc?id=455328"/>
    <hyperlink ref="K253" r:id="rId249" display="http://thuyloitiengiang.vn/web/thuyloitiengiang/chi-tiet-tin-tuc?id=455328"/>
    <hyperlink ref="K254" r:id="rId250" display="http://thuyloitiengiang.vn/web/thuyloitiengiang/chi-tiet-tin-tuc?id=455328"/>
    <hyperlink ref="K255" r:id="rId251" display="http://thuyloitiengiang.vn/web/thuyloitiengiang/chi-tiet-tin-tuc?id=455328"/>
    <hyperlink ref="K256" r:id="rId252" display="http://thuyloitiengiang.vn/web/thuyloitiengiang/chi-tiet-tin-tuc?id=455328"/>
    <hyperlink ref="K257" r:id="rId253" display="http://thuyloitiengiang.vn/web/thuyloitiengiang/chi-tiet-tin-tuc?id=455328"/>
    <hyperlink ref="K258" r:id="rId254" display="http://thuyloitiengiang.vn/web/thuyloitiengiang/chi-tiet-tin-tuc?id=455328"/>
    <hyperlink ref="K259" r:id="rId255" display="http://thuyloitiengiang.vn/web/thuyloitiengiang/chi-tiet-tin-tuc?id=455328"/>
    <hyperlink ref="K260" r:id="rId256" display="http://thuyloitiengiang.vn/web/thuyloitiengiang/chi-tiet-tin-tuc?id=455328"/>
    <hyperlink ref="K261" r:id="rId257" display="http://thuyloitiengiang.vn/web/thuyloitiengiang/chi-tiet-tin-tuc?id=455328"/>
    <hyperlink ref="K262" r:id="rId258" display="http://thuyloitiengiang.vn/web/thuyloitiengiang/chi-tiet-tin-tuc?id=455328"/>
    <hyperlink ref="K263" r:id="rId259" display="http://thuyloitiengiang.vn/web/thuyloitiengiang/chi-tiet-tin-tuc?id=455328"/>
    <hyperlink ref="K264" r:id="rId260" display="http://thuyloitiengiang.vn/web/thuyloitiengiang/chi-tiet-tin-tuc?id=455328"/>
    <hyperlink ref="K265" r:id="rId261" display="http://thuyloitiengiang.vn/web/thuyloitiengiang/chi-tiet-tin-tuc?id=455332"/>
    <hyperlink ref="K266" r:id="rId262" display="http://thuyloitiengiang.vn/web/thuyloitiengiang/chi-tiet-tin-tuc?id=455332"/>
    <hyperlink ref="K267" r:id="rId263" display="http://thuyloitiengiang.vn/web/thuyloitiengiang/chi-tiet-tin-tuc?id=455332"/>
    <hyperlink ref="K268" r:id="rId264" display="http://thuyloitiengiang.vn/web/thuyloitiengiang/chi-tiet-tin-tuc?id=455332"/>
    <hyperlink ref="K269" r:id="rId265" display="http://thuyloitiengiang.vn/web/thuyloitiengiang/chi-tiet-tin-tuc?id=455332"/>
    <hyperlink ref="K270" r:id="rId266" display="http://thuyloitiengiang.vn/web/thuyloitiengiang/chi-tiet-tin-tuc?id=455332"/>
    <hyperlink ref="K271" r:id="rId267" display="http://thuyloitiengiang.vn/web/thuyloitiengiang/chi-tiet-tin-tuc?id=455332"/>
    <hyperlink ref="K272" r:id="rId268" display="http://thuyloitiengiang.vn/web/thuyloitiengiang/chi-tiet-tin-tuc?id=455332"/>
    <hyperlink ref="K273" r:id="rId269" display="http://thuyloitiengiang.vn/web/thuyloitiengiang/chi-tiet-tin-tuc?id=455332"/>
    <hyperlink ref="K274" r:id="rId270" display="http://thuyloitiengiang.vn/web/thuyloitiengiang/chi-tiet-tin-tuc?id=455332"/>
    <hyperlink ref="K275" r:id="rId271" display="http://thuyloitiengiang.vn/web/thuyloitiengiang/chi-tiet-tin-tuc?id=455332"/>
    <hyperlink ref="K276" r:id="rId272" display="http://thuyloitiengiang.vn/web/thuyloitiengiang/chi-tiet-tin-tuc?id=455332"/>
    <hyperlink ref="K277" r:id="rId273" display="http://thuyloitiengiang.vn/web/thuyloitiengiang/chi-tiet-tin-tuc?id=455332"/>
    <hyperlink ref="K278" r:id="rId274" display="http://thuyloitiengiang.vn/web/thuyloitiengiang/chi-tiet-tin-tuc?id=455336"/>
    <hyperlink ref="K279" r:id="rId275" display="http://thuyloitiengiang.vn/web/thuyloitiengiang/chi-tiet-tin-tuc?id=455336"/>
    <hyperlink ref="K280" r:id="rId276" display="http://thuyloitiengiang.vn/web/thuyloitiengiang/chi-tiet-tin-tuc?id=455336"/>
    <hyperlink ref="K281" r:id="rId277" display="http://thuyloitiengiang.vn/web/thuyloitiengiang/chi-tiet-tin-tuc?id=455336"/>
    <hyperlink ref="K282" r:id="rId278" display="http://thuyloitiengiang.vn/web/thuyloitiengiang/chi-tiet-tin-tuc?id=455336"/>
    <hyperlink ref="K283" r:id="rId279" display="http://thuyloitiengiang.vn/web/thuyloitiengiang/chi-tiet-tin-tuc?id=455336"/>
    <hyperlink ref="K284" r:id="rId280" display="http://thuyloitiengiang.vn/web/thuyloitiengiang/chi-tiet-tin-tuc?id=455336"/>
    <hyperlink ref="K285" r:id="rId281" display="http://thuyloitiengiang.vn/web/thuyloitiengiang/chi-tiet-tin-tuc?id=455336"/>
    <hyperlink ref="K286" r:id="rId282" display="http://thuyloitiengiang.vn/web/thuyloitiengiang/chi-tiet-tin-tuc?id=455336"/>
    <hyperlink ref="K287" r:id="rId283" display="http://thuyloitiengiang.vn/web/thuyloitiengiang/chi-tiet-tin-tuc?id=455336"/>
    <hyperlink ref="K288" r:id="rId284" display="http://thuyloitiengiang.vn/web/thuyloitiengiang/chi-tiet-tin-tuc?id=455336"/>
    <hyperlink ref="K289" r:id="rId285" display="http://thuyloitiengiang.vn/web/thuyloitiengiang/chi-tiet-tin-tuc?id=455336"/>
    <hyperlink ref="K290" r:id="rId286" display="http://thuyloitiengiang.vn/web/thuyloitiengiang/chi-tiet-tin-tuc?id=455336"/>
    <hyperlink ref="K291" r:id="rId287" display="http://thuyloitiengiang.vn/web/thuyloitiengiang/chi-tiet-tin-tuc?id=455412"/>
    <hyperlink ref="K292" r:id="rId288" display="http://thuyloitiengiang.vn/web/thuyloitiengiang/chi-tiet-tin-tuc?id=455412"/>
    <hyperlink ref="K293" r:id="rId289" display="http://thuyloitiengiang.vn/web/thuyloitiengiang/chi-tiet-tin-tuc?id=455412"/>
    <hyperlink ref="K294" r:id="rId290" display="http://thuyloitiengiang.vn/web/thuyloitiengiang/chi-tiet-tin-tuc?id=455412"/>
    <hyperlink ref="K295" r:id="rId291" display="http://thuyloitiengiang.vn/web/thuyloitiengiang/chi-tiet-tin-tuc?id=455412"/>
    <hyperlink ref="K296" r:id="rId292" display="http://thuyloitiengiang.vn/web/thuyloitiengiang/chi-tiet-tin-tuc?id=455412"/>
    <hyperlink ref="K297" r:id="rId293" display="http://thuyloitiengiang.vn/web/thuyloitiengiang/chi-tiet-tin-tuc?id=455412"/>
    <hyperlink ref="K298" r:id="rId294" display="http://thuyloitiengiang.vn/web/thuyloitiengiang/chi-tiet-tin-tuc?id=455412"/>
    <hyperlink ref="K299" r:id="rId295" display="http://thuyloitiengiang.vn/web/thuyloitiengiang/chi-tiet-tin-tuc?id=455412"/>
    <hyperlink ref="K300" r:id="rId296" display="http://thuyloitiengiang.vn/web/thuyloitiengiang/chi-tiet-tin-tuc?id=455412"/>
    <hyperlink ref="K301" r:id="rId297" display="http://thuyloitiengiang.vn/web/thuyloitiengiang/chi-tiet-tin-tuc?id=455412"/>
    <hyperlink ref="K302" r:id="rId298" display="http://thuyloitiengiang.vn/web/thuyloitiengiang/chi-tiet-tin-tuc?id=455412"/>
    <hyperlink ref="K303" r:id="rId299" display="http://thuyloitiengiang.vn/web/thuyloitiengiang/chi-tiet-tin-tuc?id=455412"/>
    <hyperlink ref="K304" r:id="rId300" display="http://thuyloitiengiang.vn/web/thuyloitiengiang/chi-tiet-tin-tuc?id=455416"/>
    <hyperlink ref="K305" r:id="rId301" display="http://thuyloitiengiang.vn/web/thuyloitiengiang/chi-tiet-tin-tuc?id=455416"/>
    <hyperlink ref="K306" r:id="rId302" display="http://thuyloitiengiang.vn/web/thuyloitiengiang/chi-tiet-tin-tuc?id=455416"/>
    <hyperlink ref="K307" r:id="rId303" display="http://thuyloitiengiang.vn/web/thuyloitiengiang/chi-tiet-tin-tuc?id=455416"/>
    <hyperlink ref="K308" r:id="rId304" display="http://thuyloitiengiang.vn/web/thuyloitiengiang/chi-tiet-tin-tuc?id=455416"/>
    <hyperlink ref="K309" r:id="rId305" display="http://thuyloitiengiang.vn/web/thuyloitiengiang/chi-tiet-tin-tuc?id=455416"/>
    <hyperlink ref="K310" r:id="rId306" display="http://thuyloitiengiang.vn/web/thuyloitiengiang/chi-tiet-tin-tuc?id=455416"/>
    <hyperlink ref="K311" r:id="rId307" display="http://thuyloitiengiang.vn/web/thuyloitiengiang/chi-tiet-tin-tuc?id=455416"/>
    <hyperlink ref="K312" r:id="rId308" display="http://thuyloitiengiang.vn/web/thuyloitiengiang/chi-tiet-tin-tuc?id=455416"/>
    <hyperlink ref="K313" r:id="rId309" display="http://thuyloitiengiang.vn/web/thuyloitiengiang/chi-tiet-tin-tuc?id=455416"/>
    <hyperlink ref="K314" r:id="rId310" display="http://thuyloitiengiang.vn/web/thuyloitiengiang/chi-tiet-tin-tuc?id=455416"/>
    <hyperlink ref="K315" r:id="rId311" display="http://thuyloitiengiang.vn/web/thuyloitiengiang/chi-tiet-tin-tuc?id=455416"/>
    <hyperlink ref="K316" r:id="rId312" display="http://thuyloitiengiang.vn/web/thuyloitiengiang/chi-tiet-tin-tuc?id=455416"/>
    <hyperlink ref="K317" r:id="rId313" display="https://phongchongthientaitiengiang.vn/?p=7360"/>
    <hyperlink ref="K318" r:id="rId314" display="https://phongchongthientaitiengiang.vn/?p=7360"/>
    <hyperlink ref="K319" r:id="rId315" display="https://phongchongthientaitiengiang.vn/?p=7360"/>
    <hyperlink ref="K320" r:id="rId316" display="https://phongchongthientaitiengiang.vn/?p=7360"/>
    <hyperlink ref="K321" r:id="rId317" display="https://phongchongthientaitiengiang.vn/?p=7360"/>
    <hyperlink ref="K322" r:id="rId318" display="https://phongchongthientaitiengiang.vn/?p=7360"/>
    <hyperlink ref="K323" r:id="rId319" display="https://phongchongthientaitiengiang.vn/?p=7360"/>
    <hyperlink ref="K324" r:id="rId320" display="https://phongchongthientaitiengiang.vn/?p=7360"/>
    <hyperlink ref="K325" r:id="rId321" display="https://phongchongthientaitiengiang.vn/?p=7360"/>
    <hyperlink ref="K326" r:id="rId322" display="https://phongchongthientaitiengiang.vn/?p=7360"/>
    <hyperlink ref="K327" r:id="rId323" display="https://nhandan.vn/man-xam-nhap-sau-vao-noi-dong-o-dong-thap-post943395.html"/>
    <hyperlink ref="K328" r:id="rId324" display="https://phongchongthientaitiengiang.vn/?p=7360"/>
    <hyperlink ref="K329" r:id="rId325" display="https://phongchongthientaitiengiang.vn/?p=7360"/>
    <hyperlink ref="K330" r:id="rId326" display="https://phongchongthientaitiengiang.vn/?p=7360"/>
    <hyperlink ref="K331" r:id="rId327" display="https://phongchongthientaitiengiang.vn/?p=7360"/>
    <hyperlink ref="K332" r:id="rId328" display="https://phongchongthientaitiengiang.vn/?p=7360"/>
    <hyperlink ref="K333" r:id="rId329" display="https://phongchongthientaitiengiang.vn/?p=7360"/>
    <hyperlink ref="K334" r:id="rId330" display="https://phongchongthientaitiengiang.vn/?p=7360"/>
    <hyperlink ref="K335" r:id="rId331" display="https://phongchongthientaitiengiang.vn/?p=7360"/>
    <hyperlink ref="K336" r:id="rId332" display="https://phongchongthientaitiengiang.vn/?p=7360"/>
    <hyperlink ref="K337" r:id="rId333" display="https://phongchongthientaitiengiang.vn/?p=7360"/>
    <hyperlink ref="K338" r:id="rId334" display="https://phongchongthientaitiengiang.vn/?p=7360"/>
    <hyperlink ref="K339" r:id="rId335" display="https://phongchongthientaitiengiang.vn/?p=7360"/>
    <hyperlink ref="K340" r:id="rId336" display="https://phongchongthientaitiengiang.vn/?p=7360"/>
    <hyperlink ref="K341" r:id="rId337" display="https://phongchongthientaitiengiang.vn/?p=7360"/>
    <hyperlink ref="K342" r:id="rId338" display="https://tamvu.tayninh.gov.vn/bao-cao-thong-ke/thong-bao-tinh-hinh-chat-luong-nuoc-xam-nhap-man-tren-cac-tuyen-song-tren-dia-ban-tinh-tay-ninh--1057028"/>
    <hyperlink ref="K343" r:id="rId339" display="https://tamvu.tayninh.gov.vn/bao-cao-thong-ke/thong-bao-tinh-hinh-chat-luong-nuoc-xam-nhap-man-tren-cac-tuyen-song-tren-dia-ban-tinh-tay-ninh--1057028"/>
    <hyperlink ref="K344" r:id="rId340" display="https://tamvu.tayninh.gov.vn/bao-cao-thong-ke/thong-bao-tinh-hinh-chat-luong-nuoc-xam-nhap-man-tren-cac-tuyen-song-tren-dia-ban-tinh-tay-ninh--1057028"/>
    <hyperlink ref="K345" r:id="rId341" display="https://tamvu.tayninh.gov.vn/bao-cao-thong-ke/thong-bao-tinh-hinh-chat-luong-nuoc-xam-nhap-man-tren-cac-tuyen-song-tren-dia-ban-tinh-tay-ninh--1057028"/>
    <hyperlink ref="K346" r:id="rId342" display="https://tamvu.tayninh.gov.vn/bao-cao-thong-ke/thong-bao-tinh-hinh-chat-luong-nuoc-xam-nhap-man-tren-cac-tuyen-song-tren-dia-ban-tinh-tay-ninh--1057028"/>
    <hyperlink ref="K347" r:id="rId343" display="https://tamvu.tayninh.gov.vn/bao-cao-thong-ke/thong-bao-tinh-hinh-chat-luong-nuoc-xam-nhap-man-tren-cac-tuyen-song-tren-dia-ban-tinh-tay-ninh--1057028"/>
    <hyperlink ref="K348" r:id="rId344" display="https://baodongthap.vn/dong-thap-xam-nhap-man-tang-tro-lai-theo-ky-trieu-cuong-dau-thang-3-am-lich-a239839.html"/>
    <hyperlink ref="K349" r:id="rId345" display="https://baodongthap.vn/dong-thap-xam-nhap-man-tang-tro-lai-theo-ky-trieu-cuong-dau-thang-3-am-lich-a239839.html"/>
    <hyperlink ref="K350" r:id="rId346" display="https://baodongthap.vn/dong-thap-xam-nhap-man-tang-tro-lai-theo-ky-trieu-cuong-dau-thang-3-am-lich-a239839.html"/>
    <hyperlink ref="K351" r:id="rId347" display="https://baodongthap.vn/dong-thap-xam-nhap-man-tang-tro-lai-theo-ky-trieu-cuong-dau-thang-3-am-lich-a239839.html"/>
    <hyperlink ref="K352" r:id="rId348" display="http://thuyloitiengiang.vn/web/thuyloitiengiang/chi-tiet-tin-tuc?id=455328"/>
    <hyperlink ref="K353" r:id="rId349" display="http://thuyloitiengiang.vn/web/thuyloitiengiang/chi-tiet-tin-tuc?id=455328"/>
    <hyperlink ref="K354" r:id="rId350" display="http://thuyloitiengiang.vn/web/thuyloitiengiang/chi-tiet-tin-tuc?id=455328"/>
    <hyperlink ref="K355" r:id="rId351" display="http://thuyloitiengiang.vn/web/thuyloitiengiang/chi-tiet-tin-tuc?id=455328"/>
    <hyperlink ref="K356" r:id="rId352" display="http://thuyloitiengiang.vn/web/thuyloitiengiang/chi-tiet-tin-tuc?id=455328"/>
    <hyperlink ref="K357" r:id="rId353" display="http://thuyloitiengiang.vn/web/thuyloitiengiang/chi-tiet-tin-tuc?id=455328"/>
    <hyperlink ref="K358" r:id="rId354" display="http://thuyloitiengiang.vn/web/thuyloitiengiang/chi-tiet-tin-tuc?id=455328"/>
    <hyperlink ref="K359" r:id="rId355" display="http://thuyloitiengiang.vn/web/thuyloitiengiang/chi-tiet-tin-tuc?id=455328"/>
    <hyperlink ref="K360" r:id="rId356" display="http://thuyloitiengiang.vn/web/thuyloitiengiang/chi-tiet-tin-tuc?id=455328"/>
    <hyperlink ref="K361" r:id="rId357" display="http://thuyloitiengiang.vn/web/thuyloitiengiang/chi-tiet-tin-tuc?id=455328"/>
    <hyperlink ref="K362" r:id="rId358" display="http://thuyloitiengiang.vn/web/thuyloitiengiang/chi-tiet-tin-tuc?id=455328"/>
    <hyperlink ref="K363" r:id="rId359" display="http://thuyloitiengiang.vn/web/thuyloitiengiang/chi-tiet-tin-tuc?id=455328"/>
    <hyperlink ref="K364" r:id="rId360" display="http://thuyloitiengiang.vn/web/thuyloitiengiang/chi-tiet-tin-tuc?id=455328"/>
    <hyperlink ref="K365" r:id="rId361" display="http://thuyloitiengiang.vn/web/thuyloitiengiang/chi-tiet-tin-tuc?id=455328"/>
    <hyperlink ref="K366" r:id="rId362" display="http://thuyloitiengiang.vn/web/thuyloitiengiang/chi-tiet-tin-tuc?id=455328"/>
    <hyperlink ref="K367" r:id="rId363" display="http://thuyloitiengiang.vn/web/thuyloitiengiang/chi-tiet-tin-tuc?id=455328"/>
    <hyperlink ref="K368" r:id="rId364" display="http://thuyloitiengiang.vn/web/thuyloitiengiang/chi-tiet-tin-tuc?id=455328"/>
    <hyperlink ref="K369" r:id="rId365" display="http://thuyloitiengiang.vn/web/thuyloitiengiang/chi-tiet-tin-tuc?id=455328"/>
    <hyperlink ref="K370" r:id="rId366" display="http://thuyloitiengiang.vn/web/thuyloitiengiang/chi-tiet-tin-tuc?id=455328"/>
    <hyperlink ref="K371" r:id="rId367" display="http://thuyloitiengiang.vn/web/thuyloitiengiang/chi-tiet-tin-tuc?id=455328"/>
    <hyperlink ref="K372" r:id="rId368" display="http://thuyloitiengiang.vn/web/thuyloitiengiang/chi-tiet-tin-tuc?id=455328"/>
    <hyperlink ref="K373" r:id="rId369" display="http://thuyloitiengiang.vn/web/thuyloitiengiang/chi-tiet-tin-tuc?id=455328"/>
    <hyperlink ref="K374" r:id="rId370" display="http://thuyloitiengiang.vn/web/thuyloitiengiang/chi-tiet-tin-tuc?id=455328"/>
    <hyperlink ref="K375" r:id="rId371" display="http://thuyloitiengiang.vn/web/thuyloitiengiang/chi-tiet-tin-tuc?id=455328"/>
    <hyperlink ref="K376" r:id="rId372" display="http://thuyloitiengiang.vn/web/thuyloitiengiang/chi-tiet-tin-tuc?id=455328"/>
    <hyperlink ref="K377" r:id="rId373" display="http://thuyloitiengiang.vn/web/thuyloitiengiang/chi-tiet-tin-tuc?id=455328"/>
    <hyperlink ref="K378" r:id="rId374" display="http://thuyloitiengiang.vn/web/thuyloitiengiang/chi-tiet-tin-tuc?id=455332"/>
    <hyperlink ref="K379" r:id="rId375" display="http://thuyloitiengiang.vn/web/thuyloitiengiang/chi-tiet-tin-tuc?id=455332"/>
    <hyperlink ref="K380" r:id="rId376" display="http://thuyloitiengiang.vn/web/thuyloitiengiang/chi-tiet-tin-tuc?id=455332"/>
    <hyperlink ref="K381" r:id="rId377" display="http://thuyloitiengiang.vn/web/thuyloitiengiang/chi-tiet-tin-tuc?id=455332"/>
    <hyperlink ref="K382" r:id="rId378" display="http://thuyloitiengiang.vn/web/thuyloitiengiang/chi-tiet-tin-tuc?id=455332"/>
    <hyperlink ref="K383" r:id="rId379" display="http://thuyloitiengiang.vn/web/thuyloitiengiang/chi-tiet-tin-tuc?id=455332"/>
    <hyperlink ref="K384" r:id="rId380" display="http://thuyloitiengiang.vn/web/thuyloitiengiang/chi-tiet-tin-tuc?id=455332"/>
    <hyperlink ref="K385" r:id="rId381" display="http://thuyloitiengiang.vn/web/thuyloitiengiang/chi-tiet-tin-tuc?id=455332"/>
    <hyperlink ref="K386" r:id="rId382" display="http://thuyloitiengiang.vn/web/thuyloitiengiang/chi-tiet-tin-tuc?id=455332"/>
    <hyperlink ref="K387" r:id="rId383" display="http://thuyloitiengiang.vn/web/thuyloitiengiang/chi-tiet-tin-tuc?id=455332"/>
    <hyperlink ref="K388" r:id="rId384" display="http://thuyloitiengiang.vn/web/thuyloitiengiang/chi-tiet-tin-tuc?id=455332"/>
    <hyperlink ref="K389" r:id="rId385" display="http://thuyloitiengiang.vn/web/thuyloitiengiang/chi-tiet-tin-tuc?id=455332"/>
    <hyperlink ref="K390" r:id="rId386" display="http://thuyloitiengiang.vn/web/thuyloitiengiang/chi-tiet-tin-tuc?id=455332"/>
    <hyperlink ref="K391" r:id="rId387" display="http://thuyloitiengiang.vn/web/thuyloitiengiang/chi-tiet-tin-tuc?id=455336"/>
    <hyperlink ref="K392" r:id="rId388" display="http://thuyloitiengiang.vn/web/thuyloitiengiang/chi-tiet-tin-tuc?id=455336"/>
    <hyperlink ref="K393" r:id="rId389" display="http://thuyloitiengiang.vn/web/thuyloitiengiang/chi-tiet-tin-tuc?id=455336"/>
    <hyperlink ref="K394" r:id="rId390" display="http://thuyloitiengiang.vn/web/thuyloitiengiang/chi-tiet-tin-tuc?id=455336"/>
    <hyperlink ref="K395" r:id="rId391" display="http://thuyloitiengiang.vn/web/thuyloitiengiang/chi-tiet-tin-tuc?id=455336"/>
    <hyperlink ref="K396" r:id="rId392" display="http://thuyloitiengiang.vn/web/thuyloitiengiang/chi-tiet-tin-tuc?id=455336"/>
    <hyperlink ref="K397" r:id="rId393" display="http://thuyloitiengiang.vn/web/thuyloitiengiang/chi-tiet-tin-tuc?id=455336"/>
    <hyperlink ref="K398" r:id="rId394" display="http://thuyloitiengiang.vn/web/thuyloitiengiang/chi-tiet-tin-tuc?id=455336"/>
    <hyperlink ref="K399" r:id="rId395" display="http://thuyloitiengiang.vn/web/thuyloitiengiang/chi-tiet-tin-tuc?id=455336"/>
    <hyperlink ref="K400" r:id="rId396" display="http://thuyloitiengiang.vn/web/thuyloitiengiang/chi-tiet-tin-tuc?id=455336"/>
    <hyperlink ref="K401" r:id="rId397" display="http://thuyloitiengiang.vn/web/thuyloitiengiang/chi-tiet-tin-tuc?id=455336"/>
    <hyperlink ref="K402" r:id="rId398" display="http://thuyloitiengiang.vn/web/thuyloitiengiang/chi-tiet-tin-tuc?id=455336"/>
    <hyperlink ref="K403" r:id="rId399" display="http://thuyloitiengiang.vn/web/thuyloitiengiang/chi-tiet-tin-tuc?id=455336"/>
    <hyperlink ref="K404" r:id="rId400" display="http://thuyloitiengiang.vn/web/thuyloitiengiang/chi-tiet-tin-tuc?id=455412"/>
    <hyperlink ref="K405" r:id="rId401" display="http://thuyloitiengiang.vn/web/thuyloitiengiang/chi-tiet-tin-tuc?id=455412"/>
    <hyperlink ref="K406" r:id="rId402" display="http://thuyloitiengiang.vn/web/thuyloitiengiang/chi-tiet-tin-tuc?id=455412"/>
    <hyperlink ref="K407" r:id="rId403" display="http://thuyloitiengiang.vn/web/thuyloitiengiang/chi-tiet-tin-tuc?id=455412"/>
    <hyperlink ref="K408" r:id="rId404" display="http://thuyloitiengiang.vn/web/thuyloitiengiang/chi-tiet-tin-tuc?id=455412"/>
    <hyperlink ref="K409" r:id="rId405" display="http://thuyloitiengiang.vn/web/thuyloitiengiang/chi-tiet-tin-tuc?id=455412"/>
    <hyperlink ref="K410" r:id="rId406" display="http://thuyloitiengiang.vn/web/thuyloitiengiang/chi-tiet-tin-tuc?id=455412"/>
    <hyperlink ref="K411" r:id="rId407" display="http://thuyloitiengiang.vn/web/thuyloitiengiang/chi-tiet-tin-tuc?id=455412"/>
    <hyperlink ref="K412" r:id="rId408" display="http://thuyloitiengiang.vn/web/thuyloitiengiang/chi-tiet-tin-tuc?id=455412"/>
    <hyperlink ref="K413" r:id="rId409" display="http://thuyloitiengiang.vn/web/thuyloitiengiang/chi-tiet-tin-tuc?id=455412"/>
    <hyperlink ref="K414" r:id="rId410" display="http://thuyloitiengiang.vn/web/thuyloitiengiang/chi-tiet-tin-tuc?id=455412"/>
    <hyperlink ref="K415" r:id="rId411" display="http://thuyloitiengiang.vn/web/thuyloitiengiang/chi-tiet-tin-tuc?id=455412"/>
    <hyperlink ref="K416" r:id="rId412" display="http://thuyloitiengiang.vn/web/thuyloitiengiang/chi-tiet-tin-tuc?id=455412"/>
    <hyperlink ref="K417" r:id="rId413" display="http://thuyloitiengiang.vn/web/thuyloitiengiang/chi-tiet-tin-tuc?id=455416"/>
    <hyperlink ref="K418" r:id="rId414" display="http://thuyloitiengiang.vn/web/thuyloitiengiang/chi-tiet-tin-tuc?id=455416"/>
    <hyperlink ref="K419" r:id="rId415" display="http://thuyloitiengiang.vn/web/thuyloitiengiang/chi-tiet-tin-tuc?id=455416"/>
    <hyperlink ref="K420" r:id="rId416" display="http://thuyloitiengiang.vn/web/thuyloitiengiang/chi-tiet-tin-tuc?id=455416"/>
    <hyperlink ref="K421" r:id="rId417" display="http://thuyloitiengiang.vn/web/thuyloitiengiang/chi-tiet-tin-tuc?id=455416"/>
    <hyperlink ref="K422" r:id="rId418" display="http://thuyloitiengiang.vn/web/thuyloitiengiang/chi-tiet-tin-tuc?id=455416"/>
    <hyperlink ref="K423" r:id="rId419" display="http://thuyloitiengiang.vn/web/thuyloitiengiang/chi-tiet-tin-tuc?id=455416"/>
    <hyperlink ref="K424" r:id="rId420" display="http://thuyloitiengiang.vn/web/thuyloitiengiang/chi-tiet-tin-tuc?id=455416"/>
    <hyperlink ref="K425" r:id="rId421" display="http://thuyloitiengiang.vn/web/thuyloitiengiang/chi-tiet-tin-tuc?id=455416"/>
    <hyperlink ref="K426" r:id="rId422" display="http://thuyloitiengiang.vn/web/thuyloitiengiang/chi-tiet-tin-tuc?id=455416"/>
    <hyperlink ref="K427" r:id="rId423" display="http://thuyloitiengiang.vn/web/thuyloitiengiang/chi-tiet-tin-tuc?id=455416"/>
    <hyperlink ref="K428" r:id="rId424" display="http://thuyloitiengiang.vn/web/thuyloitiengiang/chi-tiet-tin-tuc?id=455416"/>
    <hyperlink ref="K429" r:id="rId425" display="http://thuyloitiengiang.vn/web/thuyloitiengiang/chi-tiet-tin-tuc?id=455416"/>
    <hyperlink ref="K430" r:id="rId426" display="http://thuyloitiengiang.vn/web/thuyloitiengiang/chi-tiet-tin-tuc?id=464847"/>
    <hyperlink ref="K431" r:id="rId427" display="http://thuyloitiengiang.vn/web/thuyloitiengiang/chi-tiet-tin-tuc?id=464847"/>
    <hyperlink ref="K432" r:id="rId428" display="http://thuyloitiengiang.vn/web/thuyloitiengiang/chi-tiet-tin-tuc?id=464847"/>
    <hyperlink ref="K433" r:id="rId429" display="http://thuyloitiengiang.vn/web/thuyloitiengiang/chi-tiet-tin-tuc?id=464847"/>
    <hyperlink ref="K434" r:id="rId430" display="http://thuyloitiengiang.vn/web/thuyloitiengiang/chi-tiet-tin-tuc?id=464847"/>
    <hyperlink ref="K435" r:id="rId431" display="http://thuyloitiengiang.vn/web/thuyloitiengiang/chi-tiet-tin-tuc?id=464847"/>
    <hyperlink ref="K436" r:id="rId432" display="http://thuyloitiengiang.vn/web/thuyloitiengiang/chi-tiet-tin-tuc?id=464847"/>
    <hyperlink ref="K437" r:id="rId433" display="http://thuyloitiengiang.vn/web/thuyloitiengiang/chi-tiet-tin-tuc?id=464847"/>
    <hyperlink ref="K438" r:id="rId434" display="http://thuyloitiengiang.vn/web/thuyloitiengiang/chi-tiet-tin-tuc?id=464847"/>
    <hyperlink ref="K439" r:id="rId435" display="http://thuyloitiengiang.vn/web/thuyloitiengiang/chi-tiet-tin-tuc?id=464847"/>
    <hyperlink ref="K440" r:id="rId436" display="http://thuyloitiengiang.vn/web/thuyloitiengiang/chi-tiet-tin-tuc?id=464847"/>
    <hyperlink ref="K441" r:id="rId437" display="http://thuyloitiengiang.vn/web/thuyloitiengiang/chi-tiet-tin-tuc?id=464847"/>
    <hyperlink ref="K442" r:id="rId438" display="http://thuyloitiengiang.vn/web/thuyloitiengiang/chi-tiet-tin-tuc?id=464847"/>
    <hyperlink ref="K443" r:id="rId439" display="http://thuyloitiengiang.vn/web/thuyloitiengiang/chi-tiet-tin-tuc?id=464847"/>
    <hyperlink ref="K444" r:id="rId440" display="http://thuyloitiengiang.vn/web/thuyloitiengiang/chi-tiet-tin-tuc?id=464847"/>
    <hyperlink ref="K445" r:id="rId441" display="http://thuyloitiengiang.vn/web/thuyloitiengiang/chi-tiet-tin-tuc?id=464847"/>
    <hyperlink ref="K446" r:id="rId442" display="http://thuyloitiengiang.vn/web/thuyloitiengiang/chi-tiet-tin-tuc?id=464854"/>
    <hyperlink ref="K447" r:id="rId443" display="http://thuyloitiengiang.vn/web/thuyloitiengiang/chi-tiet-tin-tuc?id=464847"/>
    <hyperlink ref="K448" r:id="rId444" display="http://thuyloitiengiang.vn/web/thuyloitiengiang/chi-tiet-tin-tuc?id=464851"/>
    <hyperlink ref="K449" r:id="rId445" display="http://thuyloitiengiang.vn/web/thuyloitiengiang/chi-tiet-tin-tuc?id=464851"/>
    <hyperlink ref="K450" r:id="rId446" display="http://thuyloitiengiang.vn/web/thuyloitiengiang/chi-tiet-tin-tuc?id=464847"/>
    <hyperlink ref="K451" r:id="rId447" display="http://thuyloitiengiang.vn/web/thuyloitiengiang/chi-tiet-tin-tuc?id=464851"/>
    <hyperlink ref="K452" r:id="rId448" display="http://thuyloitiengiang.vn/web/thuyloitiengiang/chi-tiet-tin-tuc?id=464854"/>
    <hyperlink ref="K453" r:id="rId449" display="http://thuyloitiengiang.vn/web/thuyloitiengiang/chi-tiet-tin-tuc?id=464854"/>
    <hyperlink ref="K454" r:id="rId450" display="http://thuyloitiengiang.vn/web/thuyloitiengiang/chi-tiet-tin-tuc?id=464847"/>
    <hyperlink ref="K455" r:id="rId451" display="http://thuyloitiengiang.vn/web/thuyloitiengiang/chi-tiet-tin-tuc?id=464851"/>
    <hyperlink ref="K456" r:id="rId452" display="http://thuyloitiengiang.vn/web/thuyloitiengiang/chi-tiet-tin-tuc?id=464854"/>
    <hyperlink ref="K457" r:id="rId453" display="http://thuyloitiengiang.vn/web/thuyloitiengiang/chi-tiet-tin-tuc?id=464851"/>
    <hyperlink ref="K458" r:id="rId454" display="http://thuyloitiengiang.vn/web/thuyloitiengiang/chi-tiet-tin-tuc?id=464851"/>
    <hyperlink ref="K459" r:id="rId455" display="http://thuyloitiengiang.vn/web/thuyloitiengiang/chi-tiet-tin-tuc?id=464854"/>
    <hyperlink ref="K460" r:id="rId456" display="http://thuyloitiengiang.vn/web/thuyloitiengiang/chi-tiet-tin-tuc?id=464851"/>
    <hyperlink ref="K461" r:id="rId457" display="http://thuyloitiengiang.vn/web/thuyloitiengiang/chi-tiet-tin-tuc?id=464851"/>
    <hyperlink ref="K462" r:id="rId458" display="http://thuyloitiengiang.vn/web/thuyloitiengiang/chi-tiet-tin-tuc?id=464854"/>
    <hyperlink ref="K463" r:id="rId459" display="http://thuyloitiengiang.vn/web/thuyloitiengiang/chi-tiet-tin-tuc?id=464854"/>
    <hyperlink ref="K464" r:id="rId460" display="http://thuyloitiengiang.vn/web/thuyloitiengiang/chi-tiet-tin-tuc?id=464851"/>
    <hyperlink ref="K465" r:id="rId461" display="http://thuyloitiengiang.vn/web/thuyloitiengiang/chi-tiet-tin-tuc?id=464851"/>
    <hyperlink ref="K466" r:id="rId462" display="http://thuyloitiengiang.vn/web/thuyloitiengiang/chi-tiet-tin-tuc?id=464854"/>
    <hyperlink ref="K467" r:id="rId463" display="http://thuyloitiengiang.vn/web/thuyloitiengiang/chi-tiet-tin-tuc?id=464854"/>
    <hyperlink ref="K468" r:id="rId464" display="http://thuyloitiengiang.vn/web/thuyloitiengiang/chi-tiet-tin-tuc?id=464854"/>
    <hyperlink ref="K469" r:id="rId465" display="http://thuyloitiengiang.vn/web/thuyloitiengiang/chi-tiet-tin-tuc?id=464854"/>
    <hyperlink ref="K470" r:id="rId466" display="http://thuyloitiengiang.vn/web/thuyloitiengiang/chi-tiet-tin-tuc?id=464854"/>
    <hyperlink ref="K471" r:id="rId467" display="http://thuyloitiengiang.vn/web/thuyloitiengiang/chi-tiet-tin-tuc?id=464854"/>
    <hyperlink ref="K472" r:id="rId468" display="http://thuyloitiengiang.vn/web/thuyloitiengiang/chi-tiet-tin-tuc?id=464854"/>
    <hyperlink ref="K473" r:id="rId469" display="http://thuyloitiengiang.vn/ja/web/thuyloitiengiang/chi-tiet-tin-tuc?id=520619"/>
    <hyperlink ref="K474" r:id="rId470" display="http://thuyloitiengiang.vn/ja/web/thuyloitiengiang/chi-tiet-tin-tuc?id=520619"/>
    <hyperlink ref="K475" r:id="rId471" display="http://thuyloitiengiang.vn/ja/web/thuyloitiengiang/chi-tiet-tin-tuc?id=520619"/>
    <hyperlink ref="K476" r:id="rId472" display="http://thuyloitiengiang.vn/ja/web/thuyloitiengiang/chi-tiet-tin-tuc?id=520619"/>
    <hyperlink ref="K477" r:id="rId473" display="http://thuyloitiengiang.vn/ja/web/thuyloitiengiang/chi-tiet-tin-tuc?id=520619"/>
    <hyperlink ref="K478" r:id="rId474" display="http://thuyloitiengiang.vn/ja/web/thuyloitiengiang/chi-tiet-tin-tuc?id=520619"/>
    <hyperlink ref="K479" r:id="rId475" display="http://thuyloitiengiang.vn/ja/web/thuyloitiengiang/chi-tiet-tin-tuc?id=520619"/>
    <hyperlink ref="K480" r:id="rId476" display="http://thuyloitiengiang.vn/ja/web/thuyloitiengiang/chi-tiet-tin-tuc?id=520619"/>
    <hyperlink ref="K481" r:id="rId477" display="http://thuyloitiengiang.vn/ja/web/thuyloitiengiang/chi-tiet-tin-tuc?id=520619"/>
    <hyperlink ref="K482" r:id="rId478" display="http://thuyloitiengiang.vn/ja/web/thuyloitiengiang/chi-tiet-tin-tuc?id=520619"/>
    <hyperlink ref="K483" r:id="rId479" display="http://thuyloitiengiang.vn/ja/web/thuyloitiengiang/chi-tiet-tin-tuc?id=520619"/>
    <hyperlink ref="K484" r:id="rId480" display="http://thuyloitiengiang.vn/ja/web/thuyloitiengiang/chi-tiet-tin-tuc?id=520619"/>
    <hyperlink ref="K485" r:id="rId481" display="http://thuyloitiengiang.vn/ja/web/thuyloitiengiang/chi-tiet-tin-tuc?id=520619"/>
    <hyperlink ref="K486" r:id="rId482" display="http://thuyloitiengiang.vn/ja/web/thuyloitiengiang/chi-tiet-tin-tuc?id=520619"/>
    <hyperlink ref="K487" r:id="rId483" display="http://thuyloitiengiang.vn/ja/web/thuyloitiengiang/chi-tiet-tin-tuc?id=520619"/>
    <hyperlink ref="K488" r:id="rId484" display="http://thuyloitiengiang.vn/ja/web/thuyloitiengiang/chi-tiet-tin-tuc?id=520621"/>
    <hyperlink ref="K489" r:id="rId485" display="http://thuyloitiengiang.vn/ja/web/thuyloitiengiang/chi-tiet-tin-tuc?id=520619"/>
    <hyperlink ref="K490" r:id="rId486" display="http://thuyloitiengiang.vn/ja/web/thuyloitiengiang/chi-tiet-tin-tuc?id=520619"/>
    <hyperlink ref="K491" r:id="rId487" display="http://thuyloitiengiang.vn/ja/web/thuyloitiengiang/chi-tiet-tin-tuc?id=520621"/>
    <hyperlink ref="K492" r:id="rId488" display="http://thuyloitiengiang.vn/ja/web/thuyloitiengiang/chi-tiet-tin-tuc?id=520619"/>
    <hyperlink ref="K493" r:id="rId489" display="http://thuyloitiengiang.vn/ja/web/thuyloitiengiang/chi-tiet-tin-tuc?id=520619"/>
    <hyperlink ref="K494" r:id="rId490" display="http://thuyloitiengiang.vn/ja/web/thuyloitiengiang/chi-tiet-tin-tuc?id=520619"/>
    <hyperlink ref="K495" r:id="rId491" display="http://thuyloitiengiang.vn/ja/web/thuyloitiengiang/chi-tiet-tin-tuc?id=520619"/>
    <hyperlink ref="K496" r:id="rId492" display="http://thuyloitiengiang.vn/ja/web/thuyloitiengiang/chi-tiet-tin-tuc?id=520621"/>
    <hyperlink ref="K497" r:id="rId493" display="http://thuyloitiengiang.vn/ja/web/thuyloitiengiang/chi-tiet-tin-tuc?id=520621"/>
    <hyperlink ref="K498" r:id="rId494" display="http://thuyloitiengiang.vn/ja/web/thuyloitiengiang/chi-tiet-tin-tuc?id=520621"/>
    <hyperlink ref="K499" r:id="rId495" display="http://thuyloitiengiang.vn/ja/web/thuyloitiengiang/chi-tiet-tin-tuc?id=520623"/>
    <hyperlink ref="K500" r:id="rId496" display="http://thuyloitiengiang.vn/ja/web/thuyloitiengiang/chi-tiet-tin-tuc?id=520621"/>
    <hyperlink ref="K501" r:id="rId497" display="http://thuyloitiengiang.vn/ja/web/thuyloitiengiang/chi-tiet-tin-tuc?id=520621"/>
    <hyperlink ref="K502" r:id="rId498" display="http://thuyloitiengiang.vn/ja/web/thuyloitiengiang/chi-tiet-tin-tuc?id=520623"/>
    <hyperlink ref="K503" r:id="rId499" display="http://thuyloitiengiang.vn/ja/web/thuyloitiengiang/chi-tiet-tin-tuc?id=520621"/>
    <hyperlink ref="K504" r:id="rId500" display="http://thuyloitiengiang.vn/ja/web/thuyloitiengiang/chi-tiet-tin-tuc?id=520621"/>
    <hyperlink ref="K505" r:id="rId501" display="http://thuyloitiengiang.vn/ja/web/thuyloitiengiang/chi-tiet-tin-tuc?id=520621"/>
    <hyperlink ref="K506" r:id="rId502" display="http://thuyloitiengiang.vn/ja/web/thuyloitiengiang/chi-tiet-tin-tuc?id=520621"/>
    <hyperlink ref="K507" r:id="rId503" display="http://thuyloitiengiang.vn/ja/web/thuyloitiengiang/chi-tiet-tin-tuc?id=520623"/>
    <hyperlink ref="K508" r:id="rId504" display="http://thuyloitiengiang.vn/ja/web/thuyloitiengiang/chi-tiet-tin-tuc?id=520623"/>
    <hyperlink ref="K509" r:id="rId505" display="http://thuyloitiengiang.vn/ja/web/thuyloitiengiang/chi-tiet-tin-tuc?id=520623"/>
    <hyperlink ref="K510" r:id="rId506" display="http://thuyloitiengiang.vn/en/web/thuyloitiengiang/chi-tiet-tin-tuc?id=520630"/>
    <hyperlink ref="K511" r:id="rId507" display="http://thuyloitiengiang.vn/ja/web/thuyloitiengiang/chi-tiet-tin-tuc?id=520623"/>
    <hyperlink ref="K512" r:id="rId508" display="http://thuyloitiengiang.vn/ja/web/thuyloitiengiang/chi-tiet-tin-tuc?id=520623"/>
    <hyperlink ref="K513" r:id="rId509" display="http://thuyloitiengiang.vn/en/web/thuyloitiengiang/chi-tiet-tin-tuc?id=520630"/>
    <hyperlink ref="K514" r:id="rId510" display="http://thuyloitiengiang.vn/ja/web/thuyloitiengiang/chi-tiet-tin-tuc?id=520623"/>
    <hyperlink ref="K515" r:id="rId511" display="http://thuyloitiengiang.vn/ja/web/thuyloitiengiang/chi-tiet-tin-tuc?id=520623"/>
    <hyperlink ref="K516" r:id="rId512" display="http://thuyloitiengiang.vn/ja/web/thuyloitiengiang/chi-tiet-tin-tuc?id=520623"/>
    <hyperlink ref="K517" r:id="rId513" display="http://thuyloitiengiang.vn/ja/web/thuyloitiengiang/chi-tiet-tin-tuc?id=520623"/>
    <hyperlink ref="K518" r:id="rId514" display="http://thuyloitiengiang.vn/en/web/thuyloitiengiang/chi-tiet-tin-tuc?id=520630"/>
    <hyperlink ref="K519" r:id="rId515" display="http://thuyloitiengiang.vn/en/web/thuyloitiengiang/chi-tiet-tin-tuc?id=520630"/>
    <hyperlink ref="K520" r:id="rId516" display="http://thuyloitiengiang.vn/en/web/thuyloitiengiang/chi-tiet-tin-tuc?id=520630"/>
    <hyperlink ref="K521" r:id="rId517" display="http://thuyloitiengiang.vn/en/web/thuyloitiengiang/chi-tiet-tin-tuc?id=522066"/>
    <hyperlink ref="K522" r:id="rId518" display="http://thuyloitiengiang.vn/en/web/thuyloitiengiang/chi-tiet-tin-tuc?id=520630"/>
    <hyperlink ref="K523" r:id="rId519" display="http://thuyloitiengiang.vn/en/web/thuyloitiengiang/chi-tiet-tin-tuc?id=520630"/>
    <hyperlink ref="K524" r:id="rId520" display="http://thuyloitiengiang.vn/en/web/thuyloitiengiang/chi-tiet-tin-tuc?id=522066"/>
    <hyperlink ref="K525" r:id="rId521" display="http://thuyloitiengiang.vn/en/web/thuyloitiengiang/chi-tiet-tin-tuc?id=520630"/>
    <hyperlink ref="K526" r:id="rId522" display="http://thuyloitiengiang.vn/en/web/thuyloitiengiang/chi-tiet-tin-tuc?id=520630"/>
    <hyperlink ref="K527" r:id="rId523" display="http://thuyloitiengiang.vn/en/web/thuyloitiengiang/chi-tiet-tin-tuc?id=520630"/>
    <hyperlink ref="K528" r:id="rId524" display="http://thuyloitiengiang.vn/en/web/thuyloitiengiang/chi-tiet-tin-tuc?id=520630"/>
    <hyperlink ref="K529" r:id="rId525" display="http://thuyloitiengiang.vn/en/web/thuyloitiengiang/chi-tiet-tin-tuc?id=522066"/>
    <hyperlink ref="K530" r:id="rId526" display="http://thuyloitiengiang.vn/en/web/thuyloitiengiang/chi-tiet-tin-tuc?id=522066"/>
    <hyperlink ref="K531" r:id="rId527" display="http://thuyloitiengiang.vn/en/web/thuyloitiengiang/chi-tiet-tin-tuc?id=522066"/>
    <hyperlink ref="K532" r:id="rId528" display="http://thuyloitiengiang.vn/en/web/thuyloitiengiang/chi-tiet-tin-tuc?id=522066"/>
    <hyperlink ref="K533" r:id="rId529" display="http://thuyloitiengiang.vn/en/web/thuyloitiengiang/chi-tiet-tin-tuc?id=522066"/>
    <hyperlink ref="K534" r:id="rId530" display="http://thuyloitiengiang.vn/en/web/thuyloitiengiang/chi-tiet-tin-tuc?id=522066"/>
    <hyperlink ref="K535" r:id="rId531" display="http://thuyloitiengiang.vn/en/web/thuyloitiengiang/chi-tiet-tin-tuc?id=522066"/>
    <hyperlink ref="K536" r:id="rId532" display="http://thuyloitiengiang.vn/en/web/thuyloitiengiang/chi-tiet-tin-tuc?id=522066"/>
    <hyperlink ref="K537" r:id="rId533" display="http://thuyloitiengiang.vn/en/web/thuyloitiengiang/chi-tiet-tin-tuc?id=522066"/>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6"/>
    <col collapsed="false" customWidth="true" hidden="false" outlineLevel="0" max="3" min="3" style="0" width="25"/>
    <col collapsed="false" customWidth="true" hidden="false" outlineLevel="0" max="4" min="4" style="0" width="24"/>
    <col collapsed="false" customWidth="true" hidden="false" outlineLevel="0" max="5" min="5" style="0" width="18"/>
    <col collapsed="false" customWidth="true" hidden="false" outlineLevel="0" max="6" min="6" style="0" width="12"/>
    <col collapsed="false" customWidth="true" hidden="false" outlineLevel="0" max="7" min="7" style="0" width="32"/>
    <col collapsed="false" customWidth="true" hidden="false" outlineLevel="0" max="8" min="8" style="0" width="31"/>
    <col collapsed="false" customWidth="true" hidden="false" outlineLevel="0" max="9" min="9" style="0" width="30"/>
    <col collapsed="false" customWidth="true" hidden="false" outlineLevel="0" max="10" min="10" style="0" width="12"/>
    <col collapsed="false" customWidth="true" hidden="false" outlineLevel="0" max="11" min="11" style="0" width="20"/>
    <col collapsed="false" customWidth="true" hidden="false" outlineLevel="0" max="12" min="12" style="0" width="23"/>
    <col collapsed="false" customWidth="true" hidden="false" outlineLevel="0" max="14" min="13" style="0" width="42"/>
  </cols>
  <sheetData>
    <row r="1" customFormat="false" ht="27.75" hidden="false" customHeight="true" outlineLevel="0" collapsed="false">
      <c r="A1" s="1" t="s">
        <v>1566</v>
      </c>
      <c r="B1" s="1"/>
      <c r="C1" s="1"/>
      <c r="D1" s="1"/>
      <c r="E1" s="1"/>
      <c r="F1" s="1"/>
      <c r="G1" s="1"/>
      <c r="H1" s="1"/>
      <c r="I1" s="1"/>
      <c r="J1" s="1"/>
      <c r="K1" s="1"/>
      <c r="L1" s="1"/>
      <c r="M1" s="1"/>
      <c r="N1" s="1"/>
    </row>
    <row r="2" customFormat="false" ht="19.5" hidden="false" customHeight="true" outlineLevel="0" collapsed="false">
      <c r="A2" s="2" t="s">
        <v>1567</v>
      </c>
      <c r="B2" s="2"/>
      <c r="C2" s="2"/>
      <c r="D2" s="2"/>
      <c r="E2" s="2"/>
      <c r="F2" s="2"/>
      <c r="G2" s="2"/>
      <c r="H2" s="2"/>
      <c r="I2" s="2"/>
      <c r="J2" s="2"/>
      <c r="K2" s="2"/>
      <c r="L2" s="2"/>
      <c r="M2" s="2"/>
      <c r="N2" s="2"/>
    </row>
    <row r="4" customFormat="false" ht="24" hidden="false" customHeight="true" outlineLevel="0" collapsed="false">
      <c r="A4" s="24" t="s">
        <v>613</v>
      </c>
      <c r="B4" s="24" t="s">
        <v>201</v>
      </c>
      <c r="C4" s="7" t="s">
        <v>1568</v>
      </c>
      <c r="D4" s="7" t="s">
        <v>1569</v>
      </c>
      <c r="E4" s="24" t="s">
        <v>616</v>
      </c>
      <c r="F4" s="24" t="s">
        <v>1570</v>
      </c>
      <c r="G4" s="8" t="s">
        <v>1571</v>
      </c>
      <c r="H4" s="8" t="s">
        <v>1572</v>
      </c>
      <c r="I4" s="8" t="s">
        <v>1573</v>
      </c>
      <c r="J4" s="24" t="s">
        <v>1574</v>
      </c>
      <c r="K4" s="24" t="s">
        <v>213</v>
      </c>
      <c r="L4" s="24" t="s">
        <v>1575</v>
      </c>
      <c r="M4" s="7" t="s">
        <v>621</v>
      </c>
      <c r="N4" s="7" t="s">
        <v>1576</v>
      </c>
    </row>
    <row r="5" customFormat="false" ht="19.5" hidden="false" customHeight="true" outlineLevel="0" collapsed="false">
      <c r="A5" s="25" t="s">
        <v>1577</v>
      </c>
      <c r="B5" s="25" t="s">
        <v>466</v>
      </c>
      <c r="C5" s="12" t="s">
        <v>1578</v>
      </c>
      <c r="D5" s="12" t="s">
        <v>462</v>
      </c>
      <c r="E5" s="25" t="s">
        <v>1374</v>
      </c>
      <c r="F5" s="25" t="s">
        <v>1334</v>
      </c>
      <c r="G5" s="14" t="n">
        <v>0</v>
      </c>
      <c r="H5" s="14" t="n">
        <v>0</v>
      </c>
      <c r="I5" s="32" t="n">
        <v>0</v>
      </c>
      <c r="J5" s="25" t="s">
        <v>1579</v>
      </c>
      <c r="K5" s="25" t="s">
        <v>86</v>
      </c>
      <c r="L5" s="25" t="s">
        <v>1580</v>
      </c>
      <c r="M5" s="22" t="s">
        <v>1326</v>
      </c>
      <c r="N5" s="12" t="s">
        <v>1581</v>
      </c>
    </row>
    <row r="6" customFormat="false" ht="19.5" hidden="false" customHeight="true" outlineLevel="0" collapsed="false">
      <c r="A6" s="27" t="s">
        <v>1582</v>
      </c>
      <c r="B6" s="27" t="s">
        <v>492</v>
      </c>
      <c r="C6" s="9" t="s">
        <v>1583</v>
      </c>
      <c r="D6" s="9" t="s">
        <v>462</v>
      </c>
      <c r="E6" s="27" t="s">
        <v>1374</v>
      </c>
      <c r="F6" s="27" t="s">
        <v>1334</v>
      </c>
      <c r="G6" s="11" t="n">
        <v>0</v>
      </c>
      <c r="H6" s="11" t="n">
        <v>0</v>
      </c>
      <c r="I6" s="31" t="n">
        <v>0</v>
      </c>
      <c r="J6" s="27" t="s">
        <v>1579</v>
      </c>
      <c r="K6" s="27" t="s">
        <v>86</v>
      </c>
      <c r="L6" s="27" t="s">
        <v>1580</v>
      </c>
      <c r="M6" s="23" t="s">
        <v>1326</v>
      </c>
      <c r="N6" s="9" t="s">
        <v>1581</v>
      </c>
    </row>
    <row r="7" customFormat="false" ht="19.5" hidden="false" customHeight="true" outlineLevel="0" collapsed="false">
      <c r="A7" s="25" t="s">
        <v>1584</v>
      </c>
      <c r="B7" s="25" t="s">
        <v>473</v>
      </c>
      <c r="C7" s="12" t="s">
        <v>1585</v>
      </c>
      <c r="D7" s="12" t="s">
        <v>462</v>
      </c>
      <c r="E7" s="25" t="s">
        <v>1374</v>
      </c>
      <c r="F7" s="25" t="s">
        <v>1334</v>
      </c>
      <c r="G7" s="14" t="n">
        <v>0</v>
      </c>
      <c r="H7" s="14" t="n">
        <v>0</v>
      </c>
      <c r="I7" s="32" t="n">
        <v>0</v>
      </c>
      <c r="J7" s="25" t="s">
        <v>1579</v>
      </c>
      <c r="K7" s="25" t="s">
        <v>86</v>
      </c>
      <c r="L7" s="25" t="s">
        <v>1580</v>
      </c>
      <c r="M7" s="22" t="s">
        <v>1326</v>
      </c>
      <c r="N7" s="12" t="s">
        <v>1581</v>
      </c>
    </row>
    <row r="8" customFormat="false" ht="19.5" hidden="false" customHeight="true" outlineLevel="0" collapsed="false">
      <c r="A8" s="27" t="s">
        <v>1586</v>
      </c>
      <c r="B8" s="27" t="s">
        <v>459</v>
      </c>
      <c r="C8" s="9" t="s">
        <v>1587</v>
      </c>
      <c r="D8" s="9" t="s">
        <v>462</v>
      </c>
      <c r="E8" s="27" t="s">
        <v>1374</v>
      </c>
      <c r="F8" s="27" t="s">
        <v>1334</v>
      </c>
      <c r="G8" s="11" t="n">
        <v>0</v>
      </c>
      <c r="H8" s="11" t="n">
        <v>0</v>
      </c>
      <c r="I8" s="31" t="n">
        <v>0</v>
      </c>
      <c r="J8" s="27" t="s">
        <v>1579</v>
      </c>
      <c r="K8" s="27" t="s">
        <v>86</v>
      </c>
      <c r="L8" s="27" t="s">
        <v>1580</v>
      </c>
      <c r="M8" s="23" t="s">
        <v>1326</v>
      </c>
      <c r="N8" s="9" t="s">
        <v>1581</v>
      </c>
    </row>
    <row r="9" customFormat="false" ht="19.5" hidden="false" customHeight="true" outlineLevel="0" collapsed="false">
      <c r="A9" s="25" t="s">
        <v>1588</v>
      </c>
      <c r="B9" s="25" t="s">
        <v>486</v>
      </c>
      <c r="C9" s="12" t="s">
        <v>1589</v>
      </c>
      <c r="D9" s="12" t="s">
        <v>462</v>
      </c>
      <c r="E9" s="25" t="s">
        <v>1374</v>
      </c>
      <c r="F9" s="25" t="s">
        <v>1334</v>
      </c>
      <c r="G9" s="14" t="n">
        <v>0</v>
      </c>
      <c r="H9" s="14" t="n">
        <v>0</v>
      </c>
      <c r="I9" s="32" t="n">
        <v>0</v>
      </c>
      <c r="J9" s="25" t="s">
        <v>1579</v>
      </c>
      <c r="K9" s="25" t="s">
        <v>86</v>
      </c>
      <c r="L9" s="25" t="s">
        <v>1580</v>
      </c>
      <c r="M9" s="22" t="s">
        <v>1326</v>
      </c>
      <c r="N9" s="12" t="s">
        <v>1581</v>
      </c>
    </row>
    <row r="10" customFormat="false" ht="19.5" hidden="false" customHeight="true" outlineLevel="0" collapsed="false">
      <c r="A10" s="27" t="s">
        <v>1590</v>
      </c>
      <c r="B10" s="27" t="s">
        <v>479</v>
      </c>
      <c r="C10" s="9" t="s">
        <v>1591</v>
      </c>
      <c r="D10" s="9" t="s">
        <v>462</v>
      </c>
      <c r="E10" s="27" t="s">
        <v>1374</v>
      </c>
      <c r="F10" s="27" t="s">
        <v>1334</v>
      </c>
      <c r="G10" s="11" t="n">
        <v>0</v>
      </c>
      <c r="H10" s="11" t="n">
        <v>0</v>
      </c>
      <c r="I10" s="31" t="n">
        <v>0</v>
      </c>
      <c r="J10" s="27" t="s">
        <v>1579</v>
      </c>
      <c r="K10" s="27" t="s">
        <v>86</v>
      </c>
      <c r="L10" s="27" t="s">
        <v>1580</v>
      </c>
      <c r="M10" s="23" t="s">
        <v>1326</v>
      </c>
      <c r="N10" s="9" t="s">
        <v>1581</v>
      </c>
    </row>
    <row r="11" customFormat="false" ht="19.5" hidden="false" customHeight="true" outlineLevel="0" collapsed="false">
      <c r="A11" s="25" t="s">
        <v>1592</v>
      </c>
      <c r="B11" s="25" t="s">
        <v>233</v>
      </c>
      <c r="C11" s="12" t="s">
        <v>1593</v>
      </c>
      <c r="D11" s="12" t="s">
        <v>236</v>
      </c>
      <c r="E11" s="25" t="s">
        <v>1374</v>
      </c>
      <c r="F11" s="25" t="s">
        <v>1334</v>
      </c>
      <c r="G11" s="14" t="n">
        <v>0</v>
      </c>
      <c r="H11" s="14" t="n">
        <v>0</v>
      </c>
      <c r="I11" s="32" t="n">
        <v>0</v>
      </c>
      <c r="J11" s="25" t="s">
        <v>1579</v>
      </c>
      <c r="K11" s="25" t="s">
        <v>86</v>
      </c>
      <c r="L11" s="25" t="s">
        <v>1580</v>
      </c>
      <c r="M11" s="22" t="s">
        <v>1326</v>
      </c>
      <c r="N11" s="12" t="s">
        <v>1581</v>
      </c>
    </row>
    <row r="12" customFormat="false" ht="19.5" hidden="false" customHeight="true" outlineLevel="0" collapsed="false">
      <c r="A12" s="27" t="s">
        <v>1594</v>
      </c>
      <c r="B12" s="27" t="s">
        <v>448</v>
      </c>
      <c r="C12" s="9" t="s">
        <v>1595</v>
      </c>
      <c r="D12" s="9" t="s">
        <v>219</v>
      </c>
      <c r="E12" s="27" t="s">
        <v>1374</v>
      </c>
      <c r="F12" s="27" t="s">
        <v>1334</v>
      </c>
      <c r="G12" s="11" t="n">
        <v>0</v>
      </c>
      <c r="H12" s="30"/>
      <c r="I12" s="30"/>
      <c r="J12" s="27" t="s">
        <v>1579</v>
      </c>
      <c r="K12" s="27" t="s">
        <v>86</v>
      </c>
      <c r="L12" s="27" t="s">
        <v>1580</v>
      </c>
      <c r="M12" s="23" t="s">
        <v>1326</v>
      </c>
      <c r="N12" s="9" t="s">
        <v>1581</v>
      </c>
    </row>
    <row r="13" customFormat="false" ht="19.5" hidden="false" customHeight="true" outlineLevel="0" collapsed="false">
      <c r="A13" s="25" t="s">
        <v>1596</v>
      </c>
      <c r="B13" s="25" t="s">
        <v>455</v>
      </c>
      <c r="C13" s="12" t="s">
        <v>1597</v>
      </c>
      <c r="D13" s="12" t="s">
        <v>219</v>
      </c>
      <c r="E13" s="25" t="s">
        <v>1374</v>
      </c>
      <c r="F13" s="25" t="s">
        <v>1334</v>
      </c>
      <c r="G13" s="14" t="n">
        <v>0.3</v>
      </c>
      <c r="H13" s="29"/>
      <c r="I13" s="29"/>
      <c r="J13" s="25" t="s">
        <v>1579</v>
      </c>
      <c r="K13" s="25" t="s">
        <v>86</v>
      </c>
      <c r="L13" s="25" t="s">
        <v>1580</v>
      </c>
      <c r="M13" s="22" t="s">
        <v>1326</v>
      </c>
      <c r="N13" s="12" t="s">
        <v>1581</v>
      </c>
    </row>
    <row r="14" customFormat="false" ht="19.5" hidden="false" customHeight="true" outlineLevel="0" collapsed="false">
      <c r="A14" s="27" t="s">
        <v>1598</v>
      </c>
      <c r="B14" s="27" t="s">
        <v>439</v>
      </c>
      <c r="C14" s="9" t="s">
        <v>1599</v>
      </c>
      <c r="D14" s="9" t="s">
        <v>219</v>
      </c>
      <c r="E14" s="27" t="s">
        <v>1374</v>
      </c>
      <c r="F14" s="27" t="s">
        <v>1334</v>
      </c>
      <c r="G14" s="11" t="n">
        <v>0</v>
      </c>
      <c r="H14" s="30"/>
      <c r="I14" s="30"/>
      <c r="J14" s="27" t="s">
        <v>1579</v>
      </c>
      <c r="K14" s="27" t="s">
        <v>86</v>
      </c>
      <c r="L14" s="27" t="s">
        <v>1580</v>
      </c>
      <c r="M14" s="23" t="s">
        <v>1326</v>
      </c>
      <c r="N14" s="9" t="s">
        <v>1581</v>
      </c>
    </row>
    <row r="15" customFormat="false" ht="19.5" hidden="false" customHeight="true" outlineLevel="0" collapsed="false">
      <c r="A15" s="25" t="s">
        <v>1600</v>
      </c>
      <c r="B15" s="25" t="s">
        <v>426</v>
      </c>
      <c r="C15" s="12" t="s">
        <v>1601</v>
      </c>
      <c r="D15" s="12" t="s">
        <v>219</v>
      </c>
      <c r="E15" s="25" t="s">
        <v>1374</v>
      </c>
      <c r="F15" s="25" t="s">
        <v>1334</v>
      </c>
      <c r="G15" s="14" t="n">
        <v>0.25</v>
      </c>
      <c r="H15" s="14" t="n">
        <v>0.2</v>
      </c>
      <c r="I15" s="32" t="n">
        <v>0.05</v>
      </c>
      <c r="J15" s="25" t="s">
        <v>1579</v>
      </c>
      <c r="K15" s="25" t="s">
        <v>86</v>
      </c>
      <c r="L15" s="25" t="s">
        <v>1580</v>
      </c>
      <c r="M15" s="22" t="s">
        <v>1326</v>
      </c>
      <c r="N15" s="12" t="s">
        <v>1581</v>
      </c>
    </row>
    <row r="16" customFormat="false" ht="19.5" hidden="false" customHeight="true" outlineLevel="0" collapsed="false">
      <c r="A16" s="27" t="s">
        <v>1602</v>
      </c>
      <c r="B16" s="27" t="s">
        <v>385</v>
      </c>
      <c r="C16" s="9" t="s">
        <v>1603</v>
      </c>
      <c r="D16" s="9" t="s">
        <v>219</v>
      </c>
      <c r="E16" s="27" t="s">
        <v>1374</v>
      </c>
      <c r="F16" s="27" t="s">
        <v>1334</v>
      </c>
      <c r="G16" s="11" t="n">
        <v>0</v>
      </c>
      <c r="H16" s="11" t="n">
        <v>0</v>
      </c>
      <c r="I16" s="31" t="n">
        <v>0</v>
      </c>
      <c r="J16" s="27" t="s">
        <v>1579</v>
      </c>
      <c r="K16" s="27" t="s">
        <v>86</v>
      </c>
      <c r="L16" s="27" t="s">
        <v>1580</v>
      </c>
      <c r="M16" s="23" t="s">
        <v>1326</v>
      </c>
      <c r="N16" s="9" t="s">
        <v>1581</v>
      </c>
    </row>
    <row r="17" customFormat="false" ht="19.5" hidden="false" customHeight="true" outlineLevel="0" collapsed="false">
      <c r="A17" s="25" t="s">
        <v>1604</v>
      </c>
      <c r="B17" s="25" t="s">
        <v>392</v>
      </c>
      <c r="C17" s="12" t="s">
        <v>1605</v>
      </c>
      <c r="D17" s="12" t="s">
        <v>219</v>
      </c>
      <c r="E17" s="25" t="s">
        <v>1374</v>
      </c>
      <c r="F17" s="25" t="s">
        <v>1334</v>
      </c>
      <c r="G17" s="14" t="n">
        <v>0.1</v>
      </c>
      <c r="H17" s="14" t="n">
        <v>0.1</v>
      </c>
      <c r="I17" s="32" t="n">
        <v>0</v>
      </c>
      <c r="J17" s="25" t="s">
        <v>1579</v>
      </c>
      <c r="K17" s="25" t="s">
        <v>86</v>
      </c>
      <c r="L17" s="25" t="s">
        <v>1580</v>
      </c>
      <c r="M17" s="22" t="s">
        <v>1326</v>
      </c>
      <c r="N17" s="12" t="s">
        <v>1581</v>
      </c>
    </row>
    <row r="18" customFormat="false" ht="19.5" hidden="false" customHeight="true" outlineLevel="0" collapsed="false">
      <c r="A18" s="27" t="s">
        <v>1606</v>
      </c>
      <c r="B18" s="27" t="s">
        <v>399</v>
      </c>
      <c r="C18" s="9" t="s">
        <v>1607</v>
      </c>
      <c r="D18" s="9" t="s">
        <v>219</v>
      </c>
      <c r="E18" s="27" t="s">
        <v>1374</v>
      </c>
      <c r="F18" s="27" t="s">
        <v>1334</v>
      </c>
      <c r="G18" s="11" t="n">
        <v>0.2</v>
      </c>
      <c r="H18" s="11" t="n">
        <v>0.2</v>
      </c>
      <c r="I18" s="31" t="n">
        <v>0</v>
      </c>
      <c r="J18" s="27" t="s">
        <v>1579</v>
      </c>
      <c r="K18" s="27" t="s">
        <v>86</v>
      </c>
      <c r="L18" s="27" t="s">
        <v>1580</v>
      </c>
      <c r="M18" s="23" t="s">
        <v>1326</v>
      </c>
      <c r="N18" s="9" t="s">
        <v>1581</v>
      </c>
    </row>
    <row r="19" customFormat="false" ht="19.5" hidden="false" customHeight="true" outlineLevel="0" collapsed="false">
      <c r="A19" s="25" t="s">
        <v>1608</v>
      </c>
      <c r="B19" s="25" t="s">
        <v>433</v>
      </c>
      <c r="C19" s="12" t="s">
        <v>1609</v>
      </c>
      <c r="D19" s="12" t="s">
        <v>219</v>
      </c>
      <c r="E19" s="25" t="s">
        <v>1374</v>
      </c>
      <c r="F19" s="25" t="s">
        <v>1334</v>
      </c>
      <c r="G19" s="14" t="n">
        <v>0</v>
      </c>
      <c r="H19" s="14" t="n">
        <v>0</v>
      </c>
      <c r="I19" s="32" t="n">
        <v>0</v>
      </c>
      <c r="J19" s="25" t="s">
        <v>1579</v>
      </c>
      <c r="K19" s="25" t="s">
        <v>86</v>
      </c>
      <c r="L19" s="25" t="s">
        <v>1580</v>
      </c>
      <c r="M19" s="22" t="s">
        <v>1326</v>
      </c>
      <c r="N19" s="12" t="s">
        <v>1581</v>
      </c>
    </row>
    <row r="20" customFormat="false" ht="19.5" hidden="false" customHeight="true" outlineLevel="0" collapsed="false">
      <c r="A20" s="27" t="s">
        <v>1610</v>
      </c>
      <c r="B20" s="27" t="s">
        <v>405</v>
      </c>
      <c r="C20" s="9" t="s">
        <v>1611</v>
      </c>
      <c r="D20" s="9" t="s">
        <v>219</v>
      </c>
      <c r="E20" s="27" t="s">
        <v>1374</v>
      </c>
      <c r="F20" s="27" t="s">
        <v>1334</v>
      </c>
      <c r="G20" s="11" t="n">
        <v>0</v>
      </c>
      <c r="H20" s="11" t="n">
        <v>0</v>
      </c>
      <c r="I20" s="31" t="n">
        <v>0</v>
      </c>
      <c r="J20" s="27" t="s">
        <v>1579</v>
      </c>
      <c r="K20" s="27" t="s">
        <v>86</v>
      </c>
      <c r="L20" s="27" t="s">
        <v>1580</v>
      </c>
      <c r="M20" s="23" t="s">
        <v>1326</v>
      </c>
      <c r="N20" s="9" t="s">
        <v>1581</v>
      </c>
    </row>
    <row r="21" customFormat="false" ht="19.5" hidden="false" customHeight="true" outlineLevel="0" collapsed="false">
      <c r="A21" s="25" t="s">
        <v>1612</v>
      </c>
      <c r="B21" s="25" t="s">
        <v>411</v>
      </c>
      <c r="C21" s="12" t="s">
        <v>1613</v>
      </c>
      <c r="D21" s="12" t="s">
        <v>219</v>
      </c>
      <c r="E21" s="25" t="s">
        <v>1374</v>
      </c>
      <c r="F21" s="25" t="s">
        <v>1334</v>
      </c>
      <c r="G21" s="14" t="n">
        <v>0</v>
      </c>
      <c r="H21" s="14" t="n">
        <v>0</v>
      </c>
      <c r="I21" s="32" t="n">
        <v>0</v>
      </c>
      <c r="J21" s="25" t="s">
        <v>1579</v>
      </c>
      <c r="K21" s="25" t="s">
        <v>86</v>
      </c>
      <c r="L21" s="25" t="s">
        <v>1580</v>
      </c>
      <c r="M21" s="22" t="s">
        <v>1326</v>
      </c>
      <c r="N21" s="12" t="s">
        <v>1581</v>
      </c>
    </row>
    <row r="22" customFormat="false" ht="19.5" hidden="false" customHeight="true" outlineLevel="0" collapsed="false">
      <c r="A22" s="27" t="s">
        <v>1614</v>
      </c>
      <c r="B22" s="27" t="s">
        <v>416</v>
      </c>
      <c r="C22" s="9" t="s">
        <v>1615</v>
      </c>
      <c r="D22" s="9" t="s">
        <v>219</v>
      </c>
      <c r="E22" s="27" t="s">
        <v>1374</v>
      </c>
      <c r="F22" s="27" t="s">
        <v>1334</v>
      </c>
      <c r="G22" s="11" t="n">
        <v>0</v>
      </c>
      <c r="H22" s="11" t="n">
        <v>0</v>
      </c>
      <c r="I22" s="31" t="n">
        <v>0</v>
      </c>
      <c r="J22" s="27" t="s">
        <v>1579</v>
      </c>
      <c r="K22" s="27" t="s">
        <v>86</v>
      </c>
      <c r="L22" s="27" t="s">
        <v>1580</v>
      </c>
      <c r="M22" s="23" t="s">
        <v>1326</v>
      </c>
      <c r="N22" s="9" t="s">
        <v>1581</v>
      </c>
    </row>
    <row r="23" customFormat="false" ht="19.5" hidden="false" customHeight="true" outlineLevel="0" collapsed="false">
      <c r="A23" s="25" t="s">
        <v>1616</v>
      </c>
      <c r="B23" s="25" t="s">
        <v>377</v>
      </c>
      <c r="C23" s="12" t="s">
        <v>1617</v>
      </c>
      <c r="D23" s="12" t="s">
        <v>219</v>
      </c>
      <c r="E23" s="25" t="s">
        <v>1374</v>
      </c>
      <c r="F23" s="25" t="s">
        <v>1334</v>
      </c>
      <c r="G23" s="14" t="n">
        <v>0</v>
      </c>
      <c r="H23" s="14" t="n">
        <v>0</v>
      </c>
      <c r="I23" s="32" t="n">
        <v>0</v>
      </c>
      <c r="J23" s="25" t="s">
        <v>1579</v>
      </c>
      <c r="K23" s="25" t="s">
        <v>86</v>
      </c>
      <c r="L23" s="25" t="s">
        <v>1580</v>
      </c>
      <c r="M23" s="22" t="s">
        <v>1326</v>
      </c>
      <c r="N23" s="12" t="s">
        <v>1581</v>
      </c>
    </row>
    <row r="24" customFormat="false" ht="19.5" hidden="false" customHeight="true" outlineLevel="0" collapsed="false">
      <c r="A24" s="27" t="s">
        <v>1618</v>
      </c>
      <c r="B24" s="27" t="s">
        <v>420</v>
      </c>
      <c r="C24" s="9" t="s">
        <v>1619</v>
      </c>
      <c r="D24" s="9" t="s">
        <v>219</v>
      </c>
      <c r="E24" s="27" t="s">
        <v>1374</v>
      </c>
      <c r="F24" s="27" t="s">
        <v>1334</v>
      </c>
      <c r="G24" s="11" t="n">
        <v>0</v>
      </c>
      <c r="H24" s="11" t="n">
        <v>0</v>
      </c>
      <c r="I24" s="31" t="n">
        <v>0</v>
      </c>
      <c r="J24" s="27" t="s">
        <v>1579</v>
      </c>
      <c r="K24" s="27" t="s">
        <v>86</v>
      </c>
      <c r="L24" s="27" t="s">
        <v>1580</v>
      </c>
      <c r="M24" s="23" t="s">
        <v>1326</v>
      </c>
      <c r="N24" s="9" t="s">
        <v>1581</v>
      </c>
    </row>
    <row r="25" customFormat="false" ht="19.5" hidden="false" customHeight="true" outlineLevel="0" collapsed="false">
      <c r="A25" s="25" t="s">
        <v>1620</v>
      </c>
      <c r="B25" s="25" t="s">
        <v>250</v>
      </c>
      <c r="C25" s="12" t="s">
        <v>1621</v>
      </c>
      <c r="D25" s="12" t="s">
        <v>219</v>
      </c>
      <c r="E25" s="25" t="s">
        <v>1374</v>
      </c>
      <c r="F25" s="25" t="s">
        <v>1334</v>
      </c>
      <c r="G25" s="14" t="n">
        <v>0.1</v>
      </c>
      <c r="H25" s="14" t="n">
        <v>0.05</v>
      </c>
      <c r="I25" s="32" t="n">
        <v>0.05</v>
      </c>
      <c r="J25" s="25" t="s">
        <v>1579</v>
      </c>
      <c r="K25" s="25" t="s">
        <v>86</v>
      </c>
      <c r="L25" s="25" t="s">
        <v>1580</v>
      </c>
      <c r="M25" s="22" t="s">
        <v>1326</v>
      </c>
      <c r="N25" s="12" t="s">
        <v>1581</v>
      </c>
    </row>
    <row r="26" customFormat="false" ht="19.5" hidden="false" customHeight="true" outlineLevel="0" collapsed="false">
      <c r="A26" s="27" t="s">
        <v>1622</v>
      </c>
      <c r="B26" s="27" t="s">
        <v>226</v>
      </c>
      <c r="C26" s="9" t="s">
        <v>1623</v>
      </c>
      <c r="D26" s="9" t="s">
        <v>219</v>
      </c>
      <c r="E26" s="27" t="s">
        <v>1374</v>
      </c>
      <c r="F26" s="27" t="s">
        <v>1334</v>
      </c>
      <c r="G26" s="11" t="n">
        <v>0</v>
      </c>
      <c r="H26" s="11" t="n">
        <v>0</v>
      </c>
      <c r="I26" s="31" t="n">
        <v>0</v>
      </c>
      <c r="J26" s="27" t="s">
        <v>1579</v>
      </c>
      <c r="K26" s="27" t="s">
        <v>86</v>
      </c>
      <c r="L26" s="27" t="s">
        <v>1580</v>
      </c>
      <c r="M26" s="23" t="s">
        <v>1326</v>
      </c>
      <c r="N26" s="9" t="s">
        <v>1581</v>
      </c>
    </row>
    <row r="27" customFormat="false" ht="19.5" hidden="false" customHeight="true" outlineLevel="0" collapsed="false">
      <c r="A27" s="25" t="s">
        <v>1624</v>
      </c>
      <c r="B27" s="25" t="s">
        <v>215</v>
      </c>
      <c r="C27" s="12" t="s">
        <v>1625</v>
      </c>
      <c r="D27" s="12" t="s">
        <v>219</v>
      </c>
      <c r="E27" s="25" t="s">
        <v>1374</v>
      </c>
      <c r="F27" s="25" t="s">
        <v>1334</v>
      </c>
      <c r="G27" s="14" t="n">
        <v>0.4</v>
      </c>
      <c r="H27" s="14" t="n">
        <v>0.4</v>
      </c>
      <c r="I27" s="32" t="n">
        <v>0</v>
      </c>
      <c r="J27" s="25" t="s">
        <v>1579</v>
      </c>
      <c r="K27" s="25" t="s">
        <v>86</v>
      </c>
      <c r="L27" s="25" t="s">
        <v>1580</v>
      </c>
      <c r="M27" s="22" t="s">
        <v>1326</v>
      </c>
      <c r="N27" s="12" t="s">
        <v>1581</v>
      </c>
    </row>
    <row r="28" customFormat="false" ht="19.5" hidden="false" customHeight="true" outlineLevel="0" collapsed="false">
      <c r="A28" s="27" t="s">
        <v>1626</v>
      </c>
      <c r="B28" s="27" t="s">
        <v>257</v>
      </c>
      <c r="C28" s="9" t="s">
        <v>1627</v>
      </c>
      <c r="D28" s="9" t="s">
        <v>219</v>
      </c>
      <c r="E28" s="27" t="s">
        <v>1374</v>
      </c>
      <c r="F28" s="27" t="s">
        <v>1334</v>
      </c>
      <c r="G28" s="11" t="n">
        <v>0</v>
      </c>
      <c r="H28" s="11" t="n">
        <v>0</v>
      </c>
      <c r="I28" s="31" t="n">
        <v>0</v>
      </c>
      <c r="J28" s="27" t="s">
        <v>1579</v>
      </c>
      <c r="K28" s="27" t="s">
        <v>86</v>
      </c>
      <c r="L28" s="27" t="s">
        <v>1580</v>
      </c>
      <c r="M28" s="23" t="s">
        <v>1326</v>
      </c>
      <c r="N28" s="9" t="s">
        <v>1581</v>
      </c>
    </row>
    <row r="29" customFormat="false" ht="19.5" hidden="false" customHeight="true" outlineLevel="0" collapsed="false">
      <c r="A29" s="25" t="s">
        <v>1628</v>
      </c>
      <c r="B29" s="25" t="s">
        <v>466</v>
      </c>
      <c r="C29" s="12" t="s">
        <v>1578</v>
      </c>
      <c r="D29" s="12" t="s">
        <v>462</v>
      </c>
      <c r="E29" s="25" t="s">
        <v>1400</v>
      </c>
      <c r="F29" s="25" t="s">
        <v>1334</v>
      </c>
      <c r="G29" s="14" t="n">
        <v>0</v>
      </c>
      <c r="H29" s="14" t="n">
        <v>0</v>
      </c>
      <c r="I29" s="32" t="n">
        <v>0</v>
      </c>
      <c r="J29" s="25" t="s">
        <v>1579</v>
      </c>
      <c r="K29" s="25" t="s">
        <v>86</v>
      </c>
      <c r="L29" s="25" t="s">
        <v>1580</v>
      </c>
      <c r="M29" s="22" t="s">
        <v>1383</v>
      </c>
      <c r="N29" s="12" t="s">
        <v>1581</v>
      </c>
    </row>
    <row r="30" customFormat="false" ht="19.5" hidden="false" customHeight="true" outlineLevel="0" collapsed="false">
      <c r="A30" s="27" t="s">
        <v>1629</v>
      </c>
      <c r="B30" s="27" t="s">
        <v>492</v>
      </c>
      <c r="C30" s="9" t="s">
        <v>1583</v>
      </c>
      <c r="D30" s="9" t="s">
        <v>462</v>
      </c>
      <c r="E30" s="27" t="s">
        <v>1400</v>
      </c>
      <c r="F30" s="27" t="s">
        <v>1334</v>
      </c>
      <c r="G30" s="11" t="n">
        <v>0</v>
      </c>
      <c r="H30" s="11" t="n">
        <v>0</v>
      </c>
      <c r="I30" s="31" t="n">
        <v>0</v>
      </c>
      <c r="J30" s="27" t="s">
        <v>1579</v>
      </c>
      <c r="K30" s="27" t="s">
        <v>86</v>
      </c>
      <c r="L30" s="27" t="s">
        <v>1580</v>
      </c>
      <c r="M30" s="23" t="s">
        <v>1383</v>
      </c>
      <c r="N30" s="9" t="s">
        <v>1581</v>
      </c>
    </row>
    <row r="31" customFormat="false" ht="19.5" hidden="false" customHeight="true" outlineLevel="0" collapsed="false">
      <c r="A31" s="25" t="s">
        <v>1630</v>
      </c>
      <c r="B31" s="25" t="s">
        <v>473</v>
      </c>
      <c r="C31" s="12" t="s">
        <v>1585</v>
      </c>
      <c r="D31" s="12" t="s">
        <v>462</v>
      </c>
      <c r="E31" s="25" t="s">
        <v>1400</v>
      </c>
      <c r="F31" s="25" t="s">
        <v>1334</v>
      </c>
      <c r="G31" s="14" t="n">
        <v>0</v>
      </c>
      <c r="H31" s="14" t="n">
        <v>0</v>
      </c>
      <c r="I31" s="32" t="n">
        <v>0</v>
      </c>
      <c r="J31" s="25" t="s">
        <v>1579</v>
      </c>
      <c r="K31" s="25" t="s">
        <v>86</v>
      </c>
      <c r="L31" s="25" t="s">
        <v>1580</v>
      </c>
      <c r="M31" s="22" t="s">
        <v>1383</v>
      </c>
      <c r="N31" s="12" t="s">
        <v>1581</v>
      </c>
    </row>
    <row r="32" customFormat="false" ht="19.5" hidden="false" customHeight="true" outlineLevel="0" collapsed="false">
      <c r="A32" s="27" t="s">
        <v>1631</v>
      </c>
      <c r="B32" s="27" t="s">
        <v>459</v>
      </c>
      <c r="C32" s="9" t="s">
        <v>1587</v>
      </c>
      <c r="D32" s="9" t="s">
        <v>462</v>
      </c>
      <c r="E32" s="27" t="s">
        <v>1400</v>
      </c>
      <c r="F32" s="27" t="s">
        <v>1334</v>
      </c>
      <c r="G32" s="11" t="n">
        <v>0</v>
      </c>
      <c r="H32" s="11" t="n">
        <v>0</v>
      </c>
      <c r="I32" s="31" t="n">
        <v>0</v>
      </c>
      <c r="J32" s="27" t="s">
        <v>1579</v>
      </c>
      <c r="K32" s="27" t="s">
        <v>86</v>
      </c>
      <c r="L32" s="27" t="s">
        <v>1580</v>
      </c>
      <c r="M32" s="23" t="s">
        <v>1383</v>
      </c>
      <c r="N32" s="9" t="s">
        <v>1581</v>
      </c>
    </row>
    <row r="33" customFormat="false" ht="19.5" hidden="false" customHeight="true" outlineLevel="0" collapsed="false">
      <c r="A33" s="25" t="s">
        <v>1632</v>
      </c>
      <c r="B33" s="25" t="s">
        <v>486</v>
      </c>
      <c r="C33" s="12" t="s">
        <v>1589</v>
      </c>
      <c r="D33" s="12" t="s">
        <v>462</v>
      </c>
      <c r="E33" s="25" t="s">
        <v>1400</v>
      </c>
      <c r="F33" s="25" t="s">
        <v>1334</v>
      </c>
      <c r="G33" s="14" t="n">
        <v>0</v>
      </c>
      <c r="H33" s="14" t="n">
        <v>0</v>
      </c>
      <c r="I33" s="32" t="n">
        <v>0</v>
      </c>
      <c r="J33" s="25" t="s">
        <v>1579</v>
      </c>
      <c r="K33" s="25" t="s">
        <v>86</v>
      </c>
      <c r="L33" s="25" t="s">
        <v>1580</v>
      </c>
      <c r="M33" s="22" t="s">
        <v>1383</v>
      </c>
      <c r="N33" s="12" t="s">
        <v>1581</v>
      </c>
    </row>
    <row r="34" customFormat="false" ht="19.5" hidden="false" customHeight="true" outlineLevel="0" collapsed="false">
      <c r="A34" s="27" t="s">
        <v>1633</v>
      </c>
      <c r="B34" s="27" t="s">
        <v>479</v>
      </c>
      <c r="C34" s="9" t="s">
        <v>1591</v>
      </c>
      <c r="D34" s="9" t="s">
        <v>462</v>
      </c>
      <c r="E34" s="27" t="s">
        <v>1400</v>
      </c>
      <c r="F34" s="27" t="s">
        <v>1334</v>
      </c>
      <c r="G34" s="11" t="n">
        <v>0</v>
      </c>
      <c r="H34" s="11" t="n">
        <v>0</v>
      </c>
      <c r="I34" s="31" t="n">
        <v>0</v>
      </c>
      <c r="J34" s="27" t="s">
        <v>1579</v>
      </c>
      <c r="K34" s="27" t="s">
        <v>86</v>
      </c>
      <c r="L34" s="27" t="s">
        <v>1580</v>
      </c>
      <c r="M34" s="23" t="s">
        <v>1383</v>
      </c>
      <c r="N34" s="9" t="s">
        <v>1581</v>
      </c>
    </row>
    <row r="35" customFormat="false" ht="19.5" hidden="false" customHeight="true" outlineLevel="0" collapsed="false">
      <c r="A35" s="25" t="s">
        <v>1634</v>
      </c>
      <c r="B35" s="25" t="s">
        <v>233</v>
      </c>
      <c r="C35" s="12" t="s">
        <v>1593</v>
      </c>
      <c r="D35" s="12" t="s">
        <v>236</v>
      </c>
      <c r="E35" s="25" t="s">
        <v>1400</v>
      </c>
      <c r="F35" s="25" t="s">
        <v>1334</v>
      </c>
      <c r="G35" s="14" t="n">
        <v>0</v>
      </c>
      <c r="H35" s="14" t="n">
        <v>0</v>
      </c>
      <c r="I35" s="32" t="n">
        <v>0</v>
      </c>
      <c r="J35" s="25" t="s">
        <v>1579</v>
      </c>
      <c r="K35" s="25" t="s">
        <v>86</v>
      </c>
      <c r="L35" s="25" t="s">
        <v>1580</v>
      </c>
      <c r="M35" s="22" t="s">
        <v>1383</v>
      </c>
      <c r="N35" s="12" t="s">
        <v>1581</v>
      </c>
    </row>
    <row r="36" customFormat="false" ht="19.5" hidden="false" customHeight="true" outlineLevel="0" collapsed="false">
      <c r="A36" s="27" t="s">
        <v>1635</v>
      </c>
      <c r="B36" s="27" t="s">
        <v>448</v>
      </c>
      <c r="C36" s="9" t="s">
        <v>1595</v>
      </c>
      <c r="D36" s="9" t="s">
        <v>219</v>
      </c>
      <c r="E36" s="27" t="s">
        <v>1400</v>
      </c>
      <c r="F36" s="27" t="s">
        <v>1334</v>
      </c>
      <c r="G36" s="11" t="n">
        <v>0</v>
      </c>
      <c r="H36" s="30"/>
      <c r="I36" s="30"/>
      <c r="J36" s="27" t="s">
        <v>1579</v>
      </c>
      <c r="K36" s="27" t="s">
        <v>86</v>
      </c>
      <c r="L36" s="27" t="s">
        <v>1580</v>
      </c>
      <c r="M36" s="23" t="s">
        <v>1383</v>
      </c>
      <c r="N36" s="9" t="s">
        <v>1581</v>
      </c>
    </row>
    <row r="37" customFormat="false" ht="19.5" hidden="false" customHeight="true" outlineLevel="0" collapsed="false">
      <c r="A37" s="25" t="s">
        <v>1636</v>
      </c>
      <c r="B37" s="25" t="s">
        <v>455</v>
      </c>
      <c r="C37" s="12" t="s">
        <v>1597</v>
      </c>
      <c r="D37" s="12" t="s">
        <v>219</v>
      </c>
      <c r="E37" s="25" t="s">
        <v>1400</v>
      </c>
      <c r="F37" s="25" t="s">
        <v>1334</v>
      </c>
      <c r="G37" s="14" t="n">
        <v>0.3</v>
      </c>
      <c r="H37" s="29"/>
      <c r="I37" s="29"/>
      <c r="J37" s="25" t="s">
        <v>1579</v>
      </c>
      <c r="K37" s="25" t="s">
        <v>86</v>
      </c>
      <c r="L37" s="25" t="s">
        <v>1580</v>
      </c>
      <c r="M37" s="22" t="s">
        <v>1383</v>
      </c>
      <c r="N37" s="12" t="s">
        <v>1581</v>
      </c>
    </row>
    <row r="38" customFormat="false" ht="19.5" hidden="false" customHeight="true" outlineLevel="0" collapsed="false">
      <c r="A38" s="27" t="s">
        <v>1637</v>
      </c>
      <c r="B38" s="27" t="s">
        <v>439</v>
      </c>
      <c r="C38" s="9" t="s">
        <v>1599</v>
      </c>
      <c r="D38" s="9" t="s">
        <v>219</v>
      </c>
      <c r="E38" s="27" t="s">
        <v>1400</v>
      </c>
      <c r="F38" s="27" t="s">
        <v>1334</v>
      </c>
      <c r="G38" s="11" t="n">
        <v>0</v>
      </c>
      <c r="H38" s="30"/>
      <c r="I38" s="30"/>
      <c r="J38" s="27" t="s">
        <v>1579</v>
      </c>
      <c r="K38" s="27" t="s">
        <v>86</v>
      </c>
      <c r="L38" s="27" t="s">
        <v>1580</v>
      </c>
      <c r="M38" s="23" t="s">
        <v>1383</v>
      </c>
      <c r="N38" s="9" t="s">
        <v>1581</v>
      </c>
    </row>
    <row r="39" customFormat="false" ht="19.5" hidden="false" customHeight="true" outlineLevel="0" collapsed="false">
      <c r="A39" s="25" t="s">
        <v>1638</v>
      </c>
      <c r="B39" s="25" t="s">
        <v>426</v>
      </c>
      <c r="C39" s="12" t="s">
        <v>1601</v>
      </c>
      <c r="D39" s="12" t="s">
        <v>219</v>
      </c>
      <c r="E39" s="25" t="s">
        <v>1400</v>
      </c>
      <c r="F39" s="25" t="s">
        <v>1334</v>
      </c>
      <c r="G39" s="14" t="n">
        <v>0.21</v>
      </c>
      <c r="H39" s="14" t="n">
        <v>0.15</v>
      </c>
      <c r="I39" s="32" t="n">
        <v>0.06</v>
      </c>
      <c r="J39" s="25" t="s">
        <v>1579</v>
      </c>
      <c r="K39" s="25" t="s">
        <v>86</v>
      </c>
      <c r="L39" s="25" t="s">
        <v>1580</v>
      </c>
      <c r="M39" s="22" t="s">
        <v>1383</v>
      </c>
      <c r="N39" s="12" t="s">
        <v>1581</v>
      </c>
    </row>
    <row r="40" customFormat="false" ht="19.5" hidden="false" customHeight="true" outlineLevel="0" collapsed="false">
      <c r="A40" s="27" t="s">
        <v>1639</v>
      </c>
      <c r="B40" s="27" t="s">
        <v>385</v>
      </c>
      <c r="C40" s="9" t="s">
        <v>1603</v>
      </c>
      <c r="D40" s="9" t="s">
        <v>219</v>
      </c>
      <c r="E40" s="27" t="s">
        <v>1400</v>
      </c>
      <c r="F40" s="27" t="s">
        <v>1334</v>
      </c>
      <c r="G40" s="11" t="n">
        <v>0</v>
      </c>
      <c r="H40" s="11" t="n">
        <v>0</v>
      </c>
      <c r="I40" s="31" t="n">
        <v>0</v>
      </c>
      <c r="J40" s="27" t="s">
        <v>1579</v>
      </c>
      <c r="K40" s="27" t="s">
        <v>86</v>
      </c>
      <c r="L40" s="27" t="s">
        <v>1580</v>
      </c>
      <c r="M40" s="23" t="s">
        <v>1383</v>
      </c>
      <c r="N40" s="9" t="s">
        <v>1581</v>
      </c>
    </row>
    <row r="41" customFormat="false" ht="19.5" hidden="false" customHeight="true" outlineLevel="0" collapsed="false">
      <c r="A41" s="25" t="s">
        <v>1640</v>
      </c>
      <c r="B41" s="25" t="s">
        <v>392</v>
      </c>
      <c r="C41" s="12" t="s">
        <v>1605</v>
      </c>
      <c r="D41" s="12" t="s">
        <v>219</v>
      </c>
      <c r="E41" s="25" t="s">
        <v>1400</v>
      </c>
      <c r="F41" s="25" t="s">
        <v>1334</v>
      </c>
      <c r="G41" s="14" t="n">
        <v>0.1</v>
      </c>
      <c r="H41" s="14" t="n">
        <v>0.1</v>
      </c>
      <c r="I41" s="32" t="n">
        <v>0</v>
      </c>
      <c r="J41" s="25" t="s">
        <v>1579</v>
      </c>
      <c r="K41" s="25" t="s">
        <v>86</v>
      </c>
      <c r="L41" s="25" t="s">
        <v>1580</v>
      </c>
      <c r="M41" s="22" t="s">
        <v>1383</v>
      </c>
      <c r="N41" s="12" t="s">
        <v>1581</v>
      </c>
    </row>
    <row r="42" customFormat="false" ht="19.5" hidden="false" customHeight="true" outlineLevel="0" collapsed="false">
      <c r="A42" s="27" t="s">
        <v>1641</v>
      </c>
      <c r="B42" s="27" t="s">
        <v>399</v>
      </c>
      <c r="C42" s="9" t="s">
        <v>1607</v>
      </c>
      <c r="D42" s="9" t="s">
        <v>219</v>
      </c>
      <c r="E42" s="27" t="s">
        <v>1400</v>
      </c>
      <c r="F42" s="27" t="s">
        <v>1334</v>
      </c>
      <c r="G42" s="11" t="n">
        <v>0.1</v>
      </c>
      <c r="H42" s="11" t="n">
        <v>0.1</v>
      </c>
      <c r="I42" s="31" t="n">
        <v>0</v>
      </c>
      <c r="J42" s="27" t="s">
        <v>1579</v>
      </c>
      <c r="K42" s="27" t="s">
        <v>86</v>
      </c>
      <c r="L42" s="27" t="s">
        <v>1580</v>
      </c>
      <c r="M42" s="23" t="s">
        <v>1383</v>
      </c>
      <c r="N42" s="9" t="s">
        <v>1581</v>
      </c>
    </row>
    <row r="43" customFormat="false" ht="19.5" hidden="false" customHeight="true" outlineLevel="0" collapsed="false">
      <c r="A43" s="25" t="s">
        <v>1642</v>
      </c>
      <c r="B43" s="25" t="s">
        <v>433</v>
      </c>
      <c r="C43" s="12" t="s">
        <v>1609</v>
      </c>
      <c r="D43" s="12" t="s">
        <v>219</v>
      </c>
      <c r="E43" s="25" t="s">
        <v>1400</v>
      </c>
      <c r="F43" s="25" t="s">
        <v>1334</v>
      </c>
      <c r="G43" s="14" t="n">
        <v>0</v>
      </c>
      <c r="H43" s="14" t="n">
        <v>0</v>
      </c>
      <c r="I43" s="32" t="n">
        <v>0</v>
      </c>
      <c r="J43" s="25" t="s">
        <v>1579</v>
      </c>
      <c r="K43" s="25" t="s">
        <v>86</v>
      </c>
      <c r="L43" s="25" t="s">
        <v>1580</v>
      </c>
      <c r="M43" s="22" t="s">
        <v>1383</v>
      </c>
      <c r="N43" s="12" t="s">
        <v>1581</v>
      </c>
    </row>
    <row r="44" customFormat="false" ht="19.5" hidden="false" customHeight="true" outlineLevel="0" collapsed="false">
      <c r="A44" s="27" t="s">
        <v>1643</v>
      </c>
      <c r="B44" s="27" t="s">
        <v>405</v>
      </c>
      <c r="C44" s="9" t="s">
        <v>1611</v>
      </c>
      <c r="D44" s="9" t="s">
        <v>219</v>
      </c>
      <c r="E44" s="27" t="s">
        <v>1400</v>
      </c>
      <c r="F44" s="27" t="s">
        <v>1334</v>
      </c>
      <c r="G44" s="11" t="n">
        <v>0</v>
      </c>
      <c r="H44" s="11" t="n">
        <v>0</v>
      </c>
      <c r="I44" s="31" t="n">
        <v>0</v>
      </c>
      <c r="J44" s="27" t="s">
        <v>1579</v>
      </c>
      <c r="K44" s="27" t="s">
        <v>86</v>
      </c>
      <c r="L44" s="27" t="s">
        <v>1580</v>
      </c>
      <c r="M44" s="23" t="s">
        <v>1383</v>
      </c>
      <c r="N44" s="9" t="s">
        <v>1581</v>
      </c>
    </row>
    <row r="45" customFormat="false" ht="19.5" hidden="false" customHeight="true" outlineLevel="0" collapsed="false">
      <c r="A45" s="25" t="s">
        <v>1644</v>
      </c>
      <c r="B45" s="25" t="s">
        <v>411</v>
      </c>
      <c r="C45" s="12" t="s">
        <v>1613</v>
      </c>
      <c r="D45" s="12" t="s">
        <v>219</v>
      </c>
      <c r="E45" s="25" t="s">
        <v>1400</v>
      </c>
      <c r="F45" s="25" t="s">
        <v>1334</v>
      </c>
      <c r="G45" s="14" t="n">
        <v>0</v>
      </c>
      <c r="H45" s="14" t="n">
        <v>0</v>
      </c>
      <c r="I45" s="32" t="n">
        <v>0</v>
      </c>
      <c r="J45" s="25" t="s">
        <v>1579</v>
      </c>
      <c r="K45" s="25" t="s">
        <v>86</v>
      </c>
      <c r="L45" s="25" t="s">
        <v>1580</v>
      </c>
      <c r="M45" s="22" t="s">
        <v>1383</v>
      </c>
      <c r="N45" s="12" t="s">
        <v>1581</v>
      </c>
    </row>
    <row r="46" customFormat="false" ht="19.5" hidden="false" customHeight="true" outlineLevel="0" collapsed="false">
      <c r="A46" s="27" t="s">
        <v>1645</v>
      </c>
      <c r="B46" s="27" t="s">
        <v>416</v>
      </c>
      <c r="C46" s="9" t="s">
        <v>1615</v>
      </c>
      <c r="D46" s="9" t="s">
        <v>219</v>
      </c>
      <c r="E46" s="27" t="s">
        <v>1400</v>
      </c>
      <c r="F46" s="27" t="s">
        <v>1334</v>
      </c>
      <c r="G46" s="11" t="n">
        <v>0</v>
      </c>
      <c r="H46" s="11" t="n">
        <v>0</v>
      </c>
      <c r="I46" s="31" t="n">
        <v>0</v>
      </c>
      <c r="J46" s="27" t="s">
        <v>1579</v>
      </c>
      <c r="K46" s="27" t="s">
        <v>86</v>
      </c>
      <c r="L46" s="27" t="s">
        <v>1580</v>
      </c>
      <c r="M46" s="23" t="s">
        <v>1383</v>
      </c>
      <c r="N46" s="9" t="s">
        <v>1581</v>
      </c>
    </row>
    <row r="47" customFormat="false" ht="19.5" hidden="false" customHeight="true" outlineLevel="0" collapsed="false">
      <c r="A47" s="25" t="s">
        <v>1646</v>
      </c>
      <c r="B47" s="25" t="s">
        <v>377</v>
      </c>
      <c r="C47" s="12" t="s">
        <v>1617</v>
      </c>
      <c r="D47" s="12" t="s">
        <v>219</v>
      </c>
      <c r="E47" s="25" t="s">
        <v>1400</v>
      </c>
      <c r="F47" s="25" t="s">
        <v>1334</v>
      </c>
      <c r="G47" s="14" t="n">
        <v>0</v>
      </c>
      <c r="H47" s="14" t="n">
        <v>0</v>
      </c>
      <c r="I47" s="32" t="n">
        <v>0</v>
      </c>
      <c r="J47" s="25" t="s">
        <v>1579</v>
      </c>
      <c r="K47" s="25" t="s">
        <v>86</v>
      </c>
      <c r="L47" s="25" t="s">
        <v>1580</v>
      </c>
      <c r="M47" s="22" t="s">
        <v>1383</v>
      </c>
      <c r="N47" s="12" t="s">
        <v>1581</v>
      </c>
    </row>
    <row r="48" customFormat="false" ht="19.5" hidden="false" customHeight="true" outlineLevel="0" collapsed="false">
      <c r="A48" s="27" t="s">
        <v>1647</v>
      </c>
      <c r="B48" s="27" t="s">
        <v>420</v>
      </c>
      <c r="C48" s="9" t="s">
        <v>1619</v>
      </c>
      <c r="D48" s="9" t="s">
        <v>219</v>
      </c>
      <c r="E48" s="27" t="s">
        <v>1400</v>
      </c>
      <c r="F48" s="27" t="s">
        <v>1334</v>
      </c>
      <c r="G48" s="11" t="n">
        <v>0</v>
      </c>
      <c r="H48" s="11" t="n">
        <v>0</v>
      </c>
      <c r="I48" s="31" t="n">
        <v>0</v>
      </c>
      <c r="J48" s="27" t="s">
        <v>1579</v>
      </c>
      <c r="K48" s="27" t="s">
        <v>86</v>
      </c>
      <c r="L48" s="27" t="s">
        <v>1580</v>
      </c>
      <c r="M48" s="23" t="s">
        <v>1383</v>
      </c>
      <c r="N48" s="9" t="s">
        <v>1581</v>
      </c>
    </row>
    <row r="49" customFormat="false" ht="19.5" hidden="false" customHeight="true" outlineLevel="0" collapsed="false">
      <c r="A49" s="25" t="s">
        <v>1648</v>
      </c>
      <c r="B49" s="25" t="s">
        <v>250</v>
      </c>
      <c r="C49" s="12" t="s">
        <v>1621</v>
      </c>
      <c r="D49" s="12" t="s">
        <v>219</v>
      </c>
      <c r="E49" s="25" t="s">
        <v>1400</v>
      </c>
      <c r="F49" s="25" t="s">
        <v>1334</v>
      </c>
      <c r="G49" s="14" t="n">
        <v>0.1</v>
      </c>
      <c r="H49" s="14" t="n">
        <v>0.05</v>
      </c>
      <c r="I49" s="32" t="n">
        <v>0.05</v>
      </c>
      <c r="J49" s="25" t="s">
        <v>1579</v>
      </c>
      <c r="K49" s="25" t="s">
        <v>86</v>
      </c>
      <c r="L49" s="25" t="s">
        <v>1580</v>
      </c>
      <c r="M49" s="22" t="s">
        <v>1383</v>
      </c>
      <c r="N49" s="12" t="s">
        <v>1581</v>
      </c>
    </row>
    <row r="50" customFormat="false" ht="19.5" hidden="false" customHeight="true" outlineLevel="0" collapsed="false">
      <c r="A50" s="27" t="s">
        <v>1649</v>
      </c>
      <c r="B50" s="27" t="s">
        <v>226</v>
      </c>
      <c r="C50" s="9" t="s">
        <v>1623</v>
      </c>
      <c r="D50" s="9" t="s">
        <v>219</v>
      </c>
      <c r="E50" s="27" t="s">
        <v>1400</v>
      </c>
      <c r="F50" s="27" t="s">
        <v>1334</v>
      </c>
      <c r="G50" s="11" t="n">
        <v>0</v>
      </c>
      <c r="H50" s="11" t="n">
        <v>0</v>
      </c>
      <c r="I50" s="31" t="n">
        <v>0</v>
      </c>
      <c r="J50" s="27" t="s">
        <v>1579</v>
      </c>
      <c r="K50" s="27" t="s">
        <v>86</v>
      </c>
      <c r="L50" s="27" t="s">
        <v>1580</v>
      </c>
      <c r="M50" s="23" t="s">
        <v>1383</v>
      </c>
      <c r="N50" s="9" t="s">
        <v>1581</v>
      </c>
    </row>
    <row r="51" customFormat="false" ht="19.5" hidden="false" customHeight="true" outlineLevel="0" collapsed="false">
      <c r="A51" s="25" t="s">
        <v>1650</v>
      </c>
      <c r="B51" s="25" t="s">
        <v>215</v>
      </c>
      <c r="C51" s="12" t="s">
        <v>1625</v>
      </c>
      <c r="D51" s="12" t="s">
        <v>219</v>
      </c>
      <c r="E51" s="25" t="s">
        <v>1400</v>
      </c>
      <c r="F51" s="25" t="s">
        <v>1334</v>
      </c>
      <c r="G51" s="14" t="n">
        <v>0.4</v>
      </c>
      <c r="H51" s="14" t="n">
        <v>0.4</v>
      </c>
      <c r="I51" s="32" t="n">
        <v>0</v>
      </c>
      <c r="J51" s="25" t="s">
        <v>1579</v>
      </c>
      <c r="K51" s="25" t="s">
        <v>86</v>
      </c>
      <c r="L51" s="25" t="s">
        <v>1580</v>
      </c>
      <c r="M51" s="22" t="s">
        <v>1383</v>
      </c>
      <c r="N51" s="12" t="s">
        <v>1581</v>
      </c>
    </row>
    <row r="52" customFormat="false" ht="19.5" hidden="false" customHeight="true" outlineLevel="0" collapsed="false">
      <c r="A52" s="27" t="s">
        <v>1651</v>
      </c>
      <c r="B52" s="27" t="s">
        <v>257</v>
      </c>
      <c r="C52" s="9" t="s">
        <v>1627</v>
      </c>
      <c r="D52" s="9" t="s">
        <v>219</v>
      </c>
      <c r="E52" s="27" t="s">
        <v>1400</v>
      </c>
      <c r="F52" s="27" t="s">
        <v>1334</v>
      </c>
      <c r="G52" s="11" t="n">
        <v>0</v>
      </c>
      <c r="H52" s="11" t="n">
        <v>0</v>
      </c>
      <c r="I52" s="31" t="n">
        <v>0</v>
      </c>
      <c r="J52" s="27" t="s">
        <v>1579</v>
      </c>
      <c r="K52" s="27" t="s">
        <v>86</v>
      </c>
      <c r="L52" s="27" t="s">
        <v>1580</v>
      </c>
      <c r="M52" s="23" t="s">
        <v>1383</v>
      </c>
      <c r="N52" s="9" t="s">
        <v>1581</v>
      </c>
    </row>
    <row r="53" customFormat="false" ht="19.5" hidden="false" customHeight="true" outlineLevel="0" collapsed="false">
      <c r="A53" s="25" t="s">
        <v>1652</v>
      </c>
      <c r="B53" s="25" t="s">
        <v>466</v>
      </c>
      <c r="C53" s="12" t="s">
        <v>1578</v>
      </c>
      <c r="D53" s="12" t="s">
        <v>462</v>
      </c>
      <c r="E53" s="25" t="s">
        <v>1419</v>
      </c>
      <c r="F53" s="25" t="s">
        <v>1334</v>
      </c>
      <c r="G53" s="14" t="n">
        <v>0</v>
      </c>
      <c r="H53" s="14" t="n">
        <v>0</v>
      </c>
      <c r="I53" s="32" t="n">
        <v>0</v>
      </c>
      <c r="J53" s="25" t="s">
        <v>1579</v>
      </c>
      <c r="K53" s="25" t="s">
        <v>86</v>
      </c>
      <c r="L53" s="25" t="s">
        <v>1580</v>
      </c>
      <c r="M53" s="22" t="s">
        <v>1376</v>
      </c>
      <c r="N53" s="12" t="s">
        <v>1581</v>
      </c>
    </row>
    <row r="54" customFormat="false" ht="19.5" hidden="false" customHeight="true" outlineLevel="0" collapsed="false">
      <c r="A54" s="27" t="s">
        <v>1653</v>
      </c>
      <c r="B54" s="27" t="s">
        <v>492</v>
      </c>
      <c r="C54" s="9" t="s">
        <v>1583</v>
      </c>
      <c r="D54" s="9" t="s">
        <v>462</v>
      </c>
      <c r="E54" s="27" t="s">
        <v>1419</v>
      </c>
      <c r="F54" s="27" t="s">
        <v>1334</v>
      </c>
      <c r="G54" s="11" t="n">
        <v>0</v>
      </c>
      <c r="H54" s="11" t="n">
        <v>0</v>
      </c>
      <c r="I54" s="31" t="n">
        <v>0</v>
      </c>
      <c r="J54" s="27" t="s">
        <v>1579</v>
      </c>
      <c r="K54" s="27" t="s">
        <v>86</v>
      </c>
      <c r="L54" s="27" t="s">
        <v>1580</v>
      </c>
      <c r="M54" s="23" t="s">
        <v>1376</v>
      </c>
      <c r="N54" s="9" t="s">
        <v>1581</v>
      </c>
    </row>
    <row r="55" customFormat="false" ht="19.5" hidden="false" customHeight="true" outlineLevel="0" collapsed="false">
      <c r="A55" s="25" t="s">
        <v>1654</v>
      </c>
      <c r="B55" s="25" t="s">
        <v>473</v>
      </c>
      <c r="C55" s="12" t="s">
        <v>1585</v>
      </c>
      <c r="D55" s="12" t="s">
        <v>462</v>
      </c>
      <c r="E55" s="25" t="s">
        <v>1419</v>
      </c>
      <c r="F55" s="25" t="s">
        <v>1334</v>
      </c>
      <c r="G55" s="14" t="n">
        <v>0</v>
      </c>
      <c r="H55" s="14" t="n">
        <v>0</v>
      </c>
      <c r="I55" s="32" t="n">
        <v>0</v>
      </c>
      <c r="J55" s="25" t="s">
        <v>1579</v>
      </c>
      <c r="K55" s="25" t="s">
        <v>86</v>
      </c>
      <c r="L55" s="25" t="s">
        <v>1580</v>
      </c>
      <c r="M55" s="22" t="s">
        <v>1376</v>
      </c>
      <c r="N55" s="12" t="s">
        <v>1581</v>
      </c>
    </row>
    <row r="56" customFormat="false" ht="19.5" hidden="false" customHeight="true" outlineLevel="0" collapsed="false">
      <c r="A56" s="27" t="s">
        <v>1655</v>
      </c>
      <c r="B56" s="27" t="s">
        <v>459</v>
      </c>
      <c r="C56" s="9" t="s">
        <v>1587</v>
      </c>
      <c r="D56" s="9" t="s">
        <v>462</v>
      </c>
      <c r="E56" s="27" t="s">
        <v>1419</v>
      </c>
      <c r="F56" s="27" t="s">
        <v>1334</v>
      </c>
      <c r="G56" s="11" t="n">
        <v>0</v>
      </c>
      <c r="H56" s="11" t="n">
        <v>0</v>
      </c>
      <c r="I56" s="31" t="n">
        <v>0</v>
      </c>
      <c r="J56" s="27" t="s">
        <v>1579</v>
      </c>
      <c r="K56" s="27" t="s">
        <v>86</v>
      </c>
      <c r="L56" s="27" t="s">
        <v>1580</v>
      </c>
      <c r="M56" s="23" t="s">
        <v>1376</v>
      </c>
      <c r="N56" s="9" t="s">
        <v>1581</v>
      </c>
    </row>
    <row r="57" customFormat="false" ht="19.5" hidden="false" customHeight="true" outlineLevel="0" collapsed="false">
      <c r="A57" s="25" t="s">
        <v>1656</v>
      </c>
      <c r="B57" s="25" t="s">
        <v>486</v>
      </c>
      <c r="C57" s="12" t="s">
        <v>1589</v>
      </c>
      <c r="D57" s="12" t="s">
        <v>462</v>
      </c>
      <c r="E57" s="25" t="s">
        <v>1419</v>
      </c>
      <c r="F57" s="25" t="s">
        <v>1334</v>
      </c>
      <c r="G57" s="14" t="n">
        <v>0</v>
      </c>
      <c r="H57" s="14" t="n">
        <v>0</v>
      </c>
      <c r="I57" s="32" t="n">
        <v>0</v>
      </c>
      <c r="J57" s="25" t="s">
        <v>1579</v>
      </c>
      <c r="K57" s="25" t="s">
        <v>86</v>
      </c>
      <c r="L57" s="25" t="s">
        <v>1580</v>
      </c>
      <c r="M57" s="22" t="s">
        <v>1376</v>
      </c>
      <c r="N57" s="12" t="s">
        <v>1581</v>
      </c>
    </row>
    <row r="58" customFormat="false" ht="19.5" hidden="false" customHeight="true" outlineLevel="0" collapsed="false">
      <c r="A58" s="27" t="s">
        <v>1657</v>
      </c>
      <c r="B58" s="27" t="s">
        <v>479</v>
      </c>
      <c r="C58" s="9" t="s">
        <v>1591</v>
      </c>
      <c r="D58" s="9" t="s">
        <v>462</v>
      </c>
      <c r="E58" s="27" t="s">
        <v>1419</v>
      </c>
      <c r="F58" s="27" t="s">
        <v>1334</v>
      </c>
      <c r="G58" s="11" t="n">
        <v>0</v>
      </c>
      <c r="H58" s="11" t="n">
        <v>0</v>
      </c>
      <c r="I58" s="31" t="n">
        <v>0</v>
      </c>
      <c r="J58" s="27" t="s">
        <v>1579</v>
      </c>
      <c r="K58" s="27" t="s">
        <v>86</v>
      </c>
      <c r="L58" s="27" t="s">
        <v>1580</v>
      </c>
      <c r="M58" s="23" t="s">
        <v>1376</v>
      </c>
      <c r="N58" s="9" t="s">
        <v>1581</v>
      </c>
    </row>
    <row r="59" customFormat="false" ht="19.5" hidden="false" customHeight="true" outlineLevel="0" collapsed="false">
      <c r="A59" s="25" t="s">
        <v>1658</v>
      </c>
      <c r="B59" s="25" t="s">
        <v>233</v>
      </c>
      <c r="C59" s="12" t="s">
        <v>1593</v>
      </c>
      <c r="D59" s="12" t="s">
        <v>236</v>
      </c>
      <c r="E59" s="25" t="s">
        <v>1419</v>
      </c>
      <c r="F59" s="25" t="s">
        <v>1334</v>
      </c>
      <c r="G59" s="14" t="n">
        <v>0</v>
      </c>
      <c r="H59" s="14" t="n">
        <v>0</v>
      </c>
      <c r="I59" s="32" t="n">
        <v>0</v>
      </c>
      <c r="J59" s="25" t="s">
        <v>1579</v>
      </c>
      <c r="K59" s="25" t="s">
        <v>86</v>
      </c>
      <c r="L59" s="25" t="s">
        <v>1580</v>
      </c>
      <c r="M59" s="22" t="s">
        <v>1376</v>
      </c>
      <c r="N59" s="12" t="s">
        <v>1581</v>
      </c>
    </row>
    <row r="60" customFormat="false" ht="19.5" hidden="false" customHeight="true" outlineLevel="0" collapsed="false">
      <c r="A60" s="27" t="s">
        <v>1659</v>
      </c>
      <c r="B60" s="27" t="s">
        <v>448</v>
      </c>
      <c r="C60" s="9" t="s">
        <v>1595</v>
      </c>
      <c r="D60" s="9" t="s">
        <v>219</v>
      </c>
      <c r="E60" s="27" t="s">
        <v>1419</v>
      </c>
      <c r="F60" s="27" t="s">
        <v>1334</v>
      </c>
      <c r="G60" s="11" t="n">
        <v>0</v>
      </c>
      <c r="H60" s="30"/>
      <c r="I60" s="30"/>
      <c r="J60" s="27" t="s">
        <v>1579</v>
      </c>
      <c r="K60" s="27" t="s">
        <v>86</v>
      </c>
      <c r="L60" s="27" t="s">
        <v>1580</v>
      </c>
      <c r="M60" s="23" t="s">
        <v>1376</v>
      </c>
      <c r="N60" s="9" t="s">
        <v>1581</v>
      </c>
    </row>
    <row r="61" customFormat="false" ht="19.5" hidden="false" customHeight="true" outlineLevel="0" collapsed="false">
      <c r="A61" s="25" t="s">
        <v>1660</v>
      </c>
      <c r="B61" s="25" t="s">
        <v>455</v>
      </c>
      <c r="C61" s="12" t="s">
        <v>1597</v>
      </c>
      <c r="D61" s="12" t="s">
        <v>219</v>
      </c>
      <c r="E61" s="25" t="s">
        <v>1419</v>
      </c>
      <c r="F61" s="25" t="s">
        <v>1334</v>
      </c>
      <c r="G61" s="14" t="n">
        <v>0.3</v>
      </c>
      <c r="H61" s="29"/>
      <c r="I61" s="29"/>
      <c r="J61" s="25" t="s">
        <v>1579</v>
      </c>
      <c r="K61" s="25" t="s">
        <v>86</v>
      </c>
      <c r="L61" s="25" t="s">
        <v>1580</v>
      </c>
      <c r="M61" s="22" t="s">
        <v>1376</v>
      </c>
      <c r="N61" s="12" t="s">
        <v>1581</v>
      </c>
    </row>
    <row r="62" customFormat="false" ht="19.5" hidden="false" customHeight="true" outlineLevel="0" collapsed="false">
      <c r="A62" s="27" t="s">
        <v>1661</v>
      </c>
      <c r="B62" s="27" t="s">
        <v>439</v>
      </c>
      <c r="C62" s="9" t="s">
        <v>1599</v>
      </c>
      <c r="D62" s="9" t="s">
        <v>219</v>
      </c>
      <c r="E62" s="27" t="s">
        <v>1419</v>
      </c>
      <c r="F62" s="27" t="s">
        <v>1334</v>
      </c>
      <c r="G62" s="11" t="n">
        <v>0</v>
      </c>
      <c r="H62" s="30"/>
      <c r="I62" s="30"/>
      <c r="J62" s="27" t="s">
        <v>1579</v>
      </c>
      <c r="K62" s="27" t="s">
        <v>86</v>
      </c>
      <c r="L62" s="27" t="s">
        <v>1580</v>
      </c>
      <c r="M62" s="23" t="s">
        <v>1376</v>
      </c>
      <c r="N62" s="9" t="s">
        <v>1581</v>
      </c>
    </row>
    <row r="63" customFormat="false" ht="19.5" hidden="false" customHeight="true" outlineLevel="0" collapsed="false">
      <c r="A63" s="25" t="s">
        <v>1662</v>
      </c>
      <c r="B63" s="25" t="s">
        <v>426</v>
      </c>
      <c r="C63" s="12" t="s">
        <v>1601</v>
      </c>
      <c r="D63" s="12" t="s">
        <v>219</v>
      </c>
      <c r="E63" s="25" t="s">
        <v>1419</v>
      </c>
      <c r="F63" s="25" t="s">
        <v>1334</v>
      </c>
      <c r="G63" s="14" t="n">
        <v>0.38</v>
      </c>
      <c r="H63" s="14" t="n">
        <v>0.31</v>
      </c>
      <c r="I63" s="32" t="n">
        <v>0.07</v>
      </c>
      <c r="J63" s="25" t="s">
        <v>1579</v>
      </c>
      <c r="K63" s="25" t="s">
        <v>86</v>
      </c>
      <c r="L63" s="25" t="s">
        <v>1580</v>
      </c>
      <c r="M63" s="22" t="s">
        <v>1376</v>
      </c>
      <c r="N63" s="12" t="s">
        <v>1581</v>
      </c>
    </row>
    <row r="64" customFormat="false" ht="19.5" hidden="false" customHeight="true" outlineLevel="0" collapsed="false">
      <c r="A64" s="27" t="s">
        <v>1663</v>
      </c>
      <c r="B64" s="27" t="s">
        <v>385</v>
      </c>
      <c r="C64" s="9" t="s">
        <v>1603</v>
      </c>
      <c r="D64" s="9" t="s">
        <v>219</v>
      </c>
      <c r="E64" s="27" t="s">
        <v>1419</v>
      </c>
      <c r="F64" s="27" t="s">
        <v>1334</v>
      </c>
      <c r="G64" s="11" t="n">
        <v>0</v>
      </c>
      <c r="H64" s="11" t="n">
        <v>0</v>
      </c>
      <c r="I64" s="31" t="n">
        <v>0</v>
      </c>
      <c r="J64" s="27" t="s">
        <v>1579</v>
      </c>
      <c r="K64" s="27" t="s">
        <v>86</v>
      </c>
      <c r="L64" s="27" t="s">
        <v>1580</v>
      </c>
      <c r="M64" s="23" t="s">
        <v>1376</v>
      </c>
      <c r="N64" s="9" t="s">
        <v>1581</v>
      </c>
    </row>
    <row r="65" customFormat="false" ht="19.5" hidden="false" customHeight="true" outlineLevel="0" collapsed="false">
      <c r="A65" s="25" t="s">
        <v>1664</v>
      </c>
      <c r="B65" s="25" t="s">
        <v>392</v>
      </c>
      <c r="C65" s="12" t="s">
        <v>1605</v>
      </c>
      <c r="D65" s="12" t="s">
        <v>219</v>
      </c>
      <c r="E65" s="25" t="s">
        <v>1419</v>
      </c>
      <c r="F65" s="25" t="s">
        <v>1334</v>
      </c>
      <c r="G65" s="14" t="n">
        <v>0.1</v>
      </c>
      <c r="H65" s="14" t="n">
        <v>0.1</v>
      </c>
      <c r="I65" s="32" t="n">
        <v>0</v>
      </c>
      <c r="J65" s="25" t="s">
        <v>1579</v>
      </c>
      <c r="K65" s="25" t="s">
        <v>86</v>
      </c>
      <c r="L65" s="25" t="s">
        <v>1580</v>
      </c>
      <c r="M65" s="22" t="s">
        <v>1376</v>
      </c>
      <c r="N65" s="12" t="s">
        <v>1581</v>
      </c>
    </row>
    <row r="66" customFormat="false" ht="19.5" hidden="false" customHeight="true" outlineLevel="0" collapsed="false">
      <c r="A66" s="27" t="s">
        <v>1665</v>
      </c>
      <c r="B66" s="27" t="s">
        <v>399</v>
      </c>
      <c r="C66" s="9" t="s">
        <v>1607</v>
      </c>
      <c r="D66" s="9" t="s">
        <v>219</v>
      </c>
      <c r="E66" s="27" t="s">
        <v>1419</v>
      </c>
      <c r="F66" s="27" t="s">
        <v>1334</v>
      </c>
      <c r="G66" s="11" t="n">
        <v>0.1</v>
      </c>
      <c r="H66" s="11" t="n">
        <v>0.1</v>
      </c>
      <c r="I66" s="31" t="n">
        <v>0</v>
      </c>
      <c r="J66" s="27" t="s">
        <v>1579</v>
      </c>
      <c r="K66" s="27" t="s">
        <v>86</v>
      </c>
      <c r="L66" s="27" t="s">
        <v>1580</v>
      </c>
      <c r="M66" s="23" t="s">
        <v>1376</v>
      </c>
      <c r="N66" s="9" t="s">
        <v>1581</v>
      </c>
    </row>
    <row r="67" customFormat="false" ht="19.5" hidden="false" customHeight="true" outlineLevel="0" collapsed="false">
      <c r="A67" s="25" t="s">
        <v>1666</v>
      </c>
      <c r="B67" s="25" t="s">
        <v>433</v>
      </c>
      <c r="C67" s="12" t="s">
        <v>1609</v>
      </c>
      <c r="D67" s="12" t="s">
        <v>219</v>
      </c>
      <c r="E67" s="25" t="s">
        <v>1419</v>
      </c>
      <c r="F67" s="25" t="s">
        <v>1334</v>
      </c>
      <c r="G67" s="14" t="n">
        <v>0</v>
      </c>
      <c r="H67" s="14" t="n">
        <v>0</v>
      </c>
      <c r="I67" s="32" t="n">
        <v>0</v>
      </c>
      <c r="J67" s="25" t="s">
        <v>1579</v>
      </c>
      <c r="K67" s="25" t="s">
        <v>86</v>
      </c>
      <c r="L67" s="25" t="s">
        <v>1580</v>
      </c>
      <c r="M67" s="22" t="s">
        <v>1376</v>
      </c>
      <c r="N67" s="12" t="s">
        <v>1581</v>
      </c>
    </row>
    <row r="68" customFormat="false" ht="19.5" hidden="false" customHeight="true" outlineLevel="0" collapsed="false">
      <c r="A68" s="27" t="s">
        <v>1667</v>
      </c>
      <c r="B68" s="27" t="s">
        <v>405</v>
      </c>
      <c r="C68" s="9" t="s">
        <v>1611</v>
      </c>
      <c r="D68" s="9" t="s">
        <v>219</v>
      </c>
      <c r="E68" s="27" t="s">
        <v>1419</v>
      </c>
      <c r="F68" s="27" t="s">
        <v>1334</v>
      </c>
      <c r="G68" s="11" t="n">
        <v>0</v>
      </c>
      <c r="H68" s="11" t="n">
        <v>0</v>
      </c>
      <c r="I68" s="31" t="n">
        <v>0</v>
      </c>
      <c r="J68" s="27" t="s">
        <v>1579</v>
      </c>
      <c r="K68" s="27" t="s">
        <v>86</v>
      </c>
      <c r="L68" s="27" t="s">
        <v>1580</v>
      </c>
      <c r="M68" s="23" t="s">
        <v>1376</v>
      </c>
      <c r="N68" s="9" t="s">
        <v>1581</v>
      </c>
    </row>
    <row r="69" customFormat="false" ht="19.5" hidden="false" customHeight="true" outlineLevel="0" collapsed="false">
      <c r="A69" s="25" t="s">
        <v>1668</v>
      </c>
      <c r="B69" s="25" t="s">
        <v>411</v>
      </c>
      <c r="C69" s="12" t="s">
        <v>1613</v>
      </c>
      <c r="D69" s="12" t="s">
        <v>219</v>
      </c>
      <c r="E69" s="25" t="s">
        <v>1419</v>
      </c>
      <c r="F69" s="25" t="s">
        <v>1334</v>
      </c>
      <c r="G69" s="14" t="n">
        <v>0</v>
      </c>
      <c r="H69" s="14" t="n">
        <v>0</v>
      </c>
      <c r="I69" s="32" t="n">
        <v>0</v>
      </c>
      <c r="J69" s="25" t="s">
        <v>1579</v>
      </c>
      <c r="K69" s="25" t="s">
        <v>86</v>
      </c>
      <c r="L69" s="25" t="s">
        <v>1580</v>
      </c>
      <c r="M69" s="22" t="s">
        <v>1376</v>
      </c>
      <c r="N69" s="12" t="s">
        <v>1581</v>
      </c>
    </row>
    <row r="70" customFormat="false" ht="19.5" hidden="false" customHeight="true" outlineLevel="0" collapsed="false">
      <c r="A70" s="27" t="s">
        <v>1669</v>
      </c>
      <c r="B70" s="27" t="s">
        <v>416</v>
      </c>
      <c r="C70" s="9" t="s">
        <v>1615</v>
      </c>
      <c r="D70" s="9" t="s">
        <v>219</v>
      </c>
      <c r="E70" s="27" t="s">
        <v>1419</v>
      </c>
      <c r="F70" s="27" t="s">
        <v>1334</v>
      </c>
      <c r="G70" s="11" t="n">
        <v>0</v>
      </c>
      <c r="H70" s="11" t="n">
        <v>0</v>
      </c>
      <c r="I70" s="31" t="n">
        <v>0</v>
      </c>
      <c r="J70" s="27" t="s">
        <v>1579</v>
      </c>
      <c r="K70" s="27" t="s">
        <v>86</v>
      </c>
      <c r="L70" s="27" t="s">
        <v>1580</v>
      </c>
      <c r="M70" s="23" t="s">
        <v>1376</v>
      </c>
      <c r="N70" s="9" t="s">
        <v>1581</v>
      </c>
    </row>
    <row r="71" customFormat="false" ht="19.5" hidden="false" customHeight="true" outlineLevel="0" collapsed="false">
      <c r="A71" s="25" t="s">
        <v>1670</v>
      </c>
      <c r="B71" s="25" t="s">
        <v>377</v>
      </c>
      <c r="C71" s="12" t="s">
        <v>1617</v>
      </c>
      <c r="D71" s="12" t="s">
        <v>219</v>
      </c>
      <c r="E71" s="25" t="s">
        <v>1419</v>
      </c>
      <c r="F71" s="25" t="s">
        <v>1334</v>
      </c>
      <c r="G71" s="14" t="n">
        <v>0</v>
      </c>
      <c r="H71" s="14" t="n">
        <v>0</v>
      </c>
      <c r="I71" s="32" t="n">
        <v>0</v>
      </c>
      <c r="J71" s="25" t="s">
        <v>1579</v>
      </c>
      <c r="K71" s="25" t="s">
        <v>86</v>
      </c>
      <c r="L71" s="25" t="s">
        <v>1580</v>
      </c>
      <c r="M71" s="22" t="s">
        <v>1376</v>
      </c>
      <c r="N71" s="12" t="s">
        <v>1581</v>
      </c>
    </row>
    <row r="72" customFormat="false" ht="19.5" hidden="false" customHeight="true" outlineLevel="0" collapsed="false">
      <c r="A72" s="27" t="s">
        <v>1671</v>
      </c>
      <c r="B72" s="27" t="s">
        <v>420</v>
      </c>
      <c r="C72" s="9" t="s">
        <v>1619</v>
      </c>
      <c r="D72" s="9" t="s">
        <v>219</v>
      </c>
      <c r="E72" s="27" t="s">
        <v>1419</v>
      </c>
      <c r="F72" s="27" t="s">
        <v>1334</v>
      </c>
      <c r="G72" s="11" t="n">
        <v>0</v>
      </c>
      <c r="H72" s="11" t="n">
        <v>0</v>
      </c>
      <c r="I72" s="31" t="n">
        <v>0</v>
      </c>
      <c r="J72" s="27" t="s">
        <v>1579</v>
      </c>
      <c r="K72" s="27" t="s">
        <v>86</v>
      </c>
      <c r="L72" s="27" t="s">
        <v>1580</v>
      </c>
      <c r="M72" s="23" t="s">
        <v>1376</v>
      </c>
      <c r="N72" s="9" t="s">
        <v>1581</v>
      </c>
    </row>
    <row r="73" customFormat="false" ht="19.5" hidden="false" customHeight="true" outlineLevel="0" collapsed="false">
      <c r="A73" s="25" t="s">
        <v>1672</v>
      </c>
      <c r="B73" s="25" t="s">
        <v>250</v>
      </c>
      <c r="C73" s="12" t="s">
        <v>1621</v>
      </c>
      <c r="D73" s="12" t="s">
        <v>219</v>
      </c>
      <c r="E73" s="25" t="s">
        <v>1419</v>
      </c>
      <c r="F73" s="25" t="s">
        <v>1334</v>
      </c>
      <c r="G73" s="14" t="n">
        <v>0.1</v>
      </c>
      <c r="H73" s="14" t="n">
        <v>0.05</v>
      </c>
      <c r="I73" s="32" t="n">
        <v>0.05</v>
      </c>
      <c r="J73" s="25" t="s">
        <v>1579</v>
      </c>
      <c r="K73" s="25" t="s">
        <v>86</v>
      </c>
      <c r="L73" s="25" t="s">
        <v>1580</v>
      </c>
      <c r="M73" s="22" t="s">
        <v>1376</v>
      </c>
      <c r="N73" s="12" t="s">
        <v>1581</v>
      </c>
    </row>
    <row r="74" customFormat="false" ht="19.5" hidden="false" customHeight="true" outlineLevel="0" collapsed="false">
      <c r="A74" s="27" t="s">
        <v>1673</v>
      </c>
      <c r="B74" s="27" t="s">
        <v>226</v>
      </c>
      <c r="C74" s="9" t="s">
        <v>1623</v>
      </c>
      <c r="D74" s="9" t="s">
        <v>219</v>
      </c>
      <c r="E74" s="27" t="s">
        <v>1419</v>
      </c>
      <c r="F74" s="27" t="s">
        <v>1334</v>
      </c>
      <c r="G74" s="11" t="n">
        <v>0</v>
      </c>
      <c r="H74" s="11" t="n">
        <v>0</v>
      </c>
      <c r="I74" s="31" t="n">
        <v>0</v>
      </c>
      <c r="J74" s="27" t="s">
        <v>1579</v>
      </c>
      <c r="K74" s="27" t="s">
        <v>86</v>
      </c>
      <c r="L74" s="27" t="s">
        <v>1580</v>
      </c>
      <c r="M74" s="23" t="s">
        <v>1376</v>
      </c>
      <c r="N74" s="9" t="s">
        <v>1581</v>
      </c>
    </row>
    <row r="75" customFormat="false" ht="19.5" hidden="false" customHeight="true" outlineLevel="0" collapsed="false">
      <c r="A75" s="25" t="s">
        <v>1674</v>
      </c>
      <c r="B75" s="25" t="s">
        <v>215</v>
      </c>
      <c r="C75" s="12" t="s">
        <v>1625</v>
      </c>
      <c r="D75" s="12" t="s">
        <v>219</v>
      </c>
      <c r="E75" s="25" t="s">
        <v>1419</v>
      </c>
      <c r="F75" s="25" t="s">
        <v>1334</v>
      </c>
      <c r="G75" s="14" t="n">
        <v>0.5</v>
      </c>
      <c r="H75" s="14" t="n">
        <v>0.5</v>
      </c>
      <c r="I75" s="32" t="n">
        <v>0</v>
      </c>
      <c r="J75" s="25" t="s">
        <v>1579</v>
      </c>
      <c r="K75" s="25" t="s">
        <v>86</v>
      </c>
      <c r="L75" s="25" t="s">
        <v>1580</v>
      </c>
      <c r="M75" s="22" t="s">
        <v>1376</v>
      </c>
      <c r="N75" s="12" t="s">
        <v>1581</v>
      </c>
    </row>
    <row r="76" customFormat="false" ht="19.5" hidden="false" customHeight="true" outlineLevel="0" collapsed="false">
      <c r="A76" s="27" t="s">
        <v>1675</v>
      </c>
      <c r="B76" s="27" t="s">
        <v>257</v>
      </c>
      <c r="C76" s="9" t="s">
        <v>1627</v>
      </c>
      <c r="D76" s="9" t="s">
        <v>219</v>
      </c>
      <c r="E76" s="27" t="s">
        <v>1419</v>
      </c>
      <c r="F76" s="27" t="s">
        <v>1334</v>
      </c>
      <c r="G76" s="11" t="n">
        <v>0</v>
      </c>
      <c r="H76" s="11" t="n">
        <v>0</v>
      </c>
      <c r="I76" s="31" t="n">
        <v>0</v>
      </c>
      <c r="J76" s="27" t="s">
        <v>1579</v>
      </c>
      <c r="K76" s="27" t="s">
        <v>86</v>
      </c>
      <c r="L76" s="27" t="s">
        <v>1580</v>
      </c>
      <c r="M76" s="23" t="s">
        <v>1376</v>
      </c>
      <c r="N76" s="9" t="s">
        <v>1581</v>
      </c>
    </row>
    <row r="77" customFormat="false" ht="19.5" hidden="false" customHeight="true" outlineLevel="0" collapsed="false">
      <c r="A77" s="25" t="s">
        <v>1676</v>
      </c>
      <c r="B77" s="25" t="s">
        <v>466</v>
      </c>
      <c r="C77" s="12" t="s">
        <v>1578</v>
      </c>
      <c r="D77" s="12" t="s">
        <v>462</v>
      </c>
      <c r="E77" s="25" t="s">
        <v>1469</v>
      </c>
      <c r="F77" s="25" t="s">
        <v>1334</v>
      </c>
      <c r="G77" s="14" t="n">
        <v>0</v>
      </c>
      <c r="H77" s="14" t="n">
        <v>0</v>
      </c>
      <c r="I77" s="32" t="n">
        <v>0</v>
      </c>
      <c r="J77" s="25" t="s">
        <v>1579</v>
      </c>
      <c r="K77" s="25" t="s">
        <v>86</v>
      </c>
      <c r="L77" s="25" t="s">
        <v>1580</v>
      </c>
      <c r="M77" s="22" t="s">
        <v>1437</v>
      </c>
      <c r="N77" s="12" t="s">
        <v>1581</v>
      </c>
    </row>
    <row r="78" customFormat="false" ht="19.5" hidden="false" customHeight="true" outlineLevel="0" collapsed="false">
      <c r="A78" s="27" t="s">
        <v>1677</v>
      </c>
      <c r="B78" s="27" t="s">
        <v>492</v>
      </c>
      <c r="C78" s="9" t="s">
        <v>1583</v>
      </c>
      <c r="D78" s="9" t="s">
        <v>462</v>
      </c>
      <c r="E78" s="27" t="s">
        <v>1469</v>
      </c>
      <c r="F78" s="27" t="s">
        <v>1334</v>
      </c>
      <c r="G78" s="11" t="n">
        <v>0</v>
      </c>
      <c r="H78" s="11" t="n">
        <v>0</v>
      </c>
      <c r="I78" s="31" t="n">
        <v>0</v>
      </c>
      <c r="J78" s="27" t="s">
        <v>1579</v>
      </c>
      <c r="K78" s="27" t="s">
        <v>86</v>
      </c>
      <c r="L78" s="27" t="s">
        <v>1580</v>
      </c>
      <c r="M78" s="23" t="s">
        <v>1437</v>
      </c>
      <c r="N78" s="9" t="s">
        <v>1581</v>
      </c>
    </row>
    <row r="79" customFormat="false" ht="19.5" hidden="false" customHeight="true" outlineLevel="0" collapsed="false">
      <c r="A79" s="25" t="s">
        <v>1678</v>
      </c>
      <c r="B79" s="25" t="s">
        <v>473</v>
      </c>
      <c r="C79" s="12" t="s">
        <v>1585</v>
      </c>
      <c r="D79" s="12" t="s">
        <v>462</v>
      </c>
      <c r="E79" s="25" t="s">
        <v>1469</v>
      </c>
      <c r="F79" s="25" t="s">
        <v>1334</v>
      </c>
      <c r="G79" s="14" t="n">
        <v>0</v>
      </c>
      <c r="H79" s="14" t="n">
        <v>0</v>
      </c>
      <c r="I79" s="32" t="n">
        <v>0</v>
      </c>
      <c r="J79" s="25" t="s">
        <v>1579</v>
      </c>
      <c r="K79" s="25" t="s">
        <v>86</v>
      </c>
      <c r="L79" s="25" t="s">
        <v>1580</v>
      </c>
      <c r="M79" s="22" t="s">
        <v>1437</v>
      </c>
      <c r="N79" s="12" t="s">
        <v>1581</v>
      </c>
    </row>
    <row r="80" customFormat="false" ht="19.5" hidden="false" customHeight="true" outlineLevel="0" collapsed="false">
      <c r="A80" s="27" t="s">
        <v>1679</v>
      </c>
      <c r="B80" s="27" t="s">
        <v>459</v>
      </c>
      <c r="C80" s="9" t="s">
        <v>1587</v>
      </c>
      <c r="D80" s="9" t="s">
        <v>462</v>
      </c>
      <c r="E80" s="27" t="s">
        <v>1469</v>
      </c>
      <c r="F80" s="27" t="s">
        <v>1334</v>
      </c>
      <c r="G80" s="11" t="n">
        <v>0</v>
      </c>
      <c r="H80" s="11" t="n">
        <v>0</v>
      </c>
      <c r="I80" s="31" t="n">
        <v>0</v>
      </c>
      <c r="J80" s="27" t="s">
        <v>1579</v>
      </c>
      <c r="K80" s="27" t="s">
        <v>86</v>
      </c>
      <c r="L80" s="27" t="s">
        <v>1580</v>
      </c>
      <c r="M80" s="23" t="s">
        <v>1437</v>
      </c>
      <c r="N80" s="9" t="s">
        <v>1581</v>
      </c>
    </row>
    <row r="81" customFormat="false" ht="19.5" hidden="false" customHeight="true" outlineLevel="0" collapsed="false">
      <c r="A81" s="25" t="s">
        <v>1680</v>
      </c>
      <c r="B81" s="25" t="s">
        <v>486</v>
      </c>
      <c r="C81" s="12" t="s">
        <v>1589</v>
      </c>
      <c r="D81" s="12" t="s">
        <v>462</v>
      </c>
      <c r="E81" s="25" t="s">
        <v>1469</v>
      </c>
      <c r="F81" s="25" t="s">
        <v>1334</v>
      </c>
      <c r="G81" s="14" t="n">
        <v>0</v>
      </c>
      <c r="H81" s="14" t="n">
        <v>0</v>
      </c>
      <c r="I81" s="32" t="n">
        <v>0</v>
      </c>
      <c r="J81" s="25" t="s">
        <v>1579</v>
      </c>
      <c r="K81" s="25" t="s">
        <v>86</v>
      </c>
      <c r="L81" s="25" t="s">
        <v>1580</v>
      </c>
      <c r="M81" s="22" t="s">
        <v>1437</v>
      </c>
      <c r="N81" s="12" t="s">
        <v>1581</v>
      </c>
    </row>
    <row r="82" customFormat="false" ht="19.5" hidden="false" customHeight="true" outlineLevel="0" collapsed="false">
      <c r="A82" s="27" t="s">
        <v>1681</v>
      </c>
      <c r="B82" s="27" t="s">
        <v>479</v>
      </c>
      <c r="C82" s="9" t="s">
        <v>1591</v>
      </c>
      <c r="D82" s="9" t="s">
        <v>462</v>
      </c>
      <c r="E82" s="27" t="s">
        <v>1469</v>
      </c>
      <c r="F82" s="27" t="s">
        <v>1334</v>
      </c>
      <c r="G82" s="11" t="n">
        <v>0</v>
      </c>
      <c r="H82" s="11" t="n">
        <v>0</v>
      </c>
      <c r="I82" s="31" t="n">
        <v>0</v>
      </c>
      <c r="J82" s="27" t="s">
        <v>1579</v>
      </c>
      <c r="K82" s="27" t="s">
        <v>86</v>
      </c>
      <c r="L82" s="27" t="s">
        <v>1580</v>
      </c>
      <c r="M82" s="23" t="s">
        <v>1437</v>
      </c>
      <c r="N82" s="9" t="s">
        <v>1581</v>
      </c>
    </row>
    <row r="83" customFormat="false" ht="19.5" hidden="false" customHeight="true" outlineLevel="0" collapsed="false">
      <c r="A83" s="25" t="s">
        <v>1682</v>
      </c>
      <c r="B83" s="25" t="s">
        <v>233</v>
      </c>
      <c r="C83" s="12" t="s">
        <v>1593</v>
      </c>
      <c r="D83" s="12" t="s">
        <v>236</v>
      </c>
      <c r="E83" s="25" t="s">
        <v>1469</v>
      </c>
      <c r="F83" s="25" t="s">
        <v>1334</v>
      </c>
      <c r="G83" s="14" t="n">
        <v>0.1</v>
      </c>
      <c r="H83" s="14" t="n">
        <v>0.1</v>
      </c>
      <c r="I83" s="32" t="n">
        <v>0</v>
      </c>
      <c r="J83" s="25" t="s">
        <v>1579</v>
      </c>
      <c r="K83" s="25" t="s">
        <v>86</v>
      </c>
      <c r="L83" s="25" t="s">
        <v>1580</v>
      </c>
      <c r="M83" s="22" t="s">
        <v>1437</v>
      </c>
      <c r="N83" s="12" t="s">
        <v>1581</v>
      </c>
    </row>
    <row r="84" customFormat="false" ht="19.5" hidden="false" customHeight="true" outlineLevel="0" collapsed="false">
      <c r="A84" s="27" t="s">
        <v>1683</v>
      </c>
      <c r="B84" s="27" t="s">
        <v>448</v>
      </c>
      <c r="C84" s="9" t="s">
        <v>1595</v>
      </c>
      <c r="D84" s="9" t="s">
        <v>219</v>
      </c>
      <c r="E84" s="27" t="s">
        <v>1469</v>
      </c>
      <c r="F84" s="27" t="s">
        <v>1334</v>
      </c>
      <c r="G84" s="11" t="n">
        <v>0</v>
      </c>
      <c r="H84" s="30"/>
      <c r="I84" s="30"/>
      <c r="J84" s="27" t="s">
        <v>1579</v>
      </c>
      <c r="K84" s="27" t="s">
        <v>86</v>
      </c>
      <c r="L84" s="27" t="s">
        <v>1580</v>
      </c>
      <c r="M84" s="23" t="s">
        <v>1437</v>
      </c>
      <c r="N84" s="9" t="s">
        <v>1581</v>
      </c>
    </row>
    <row r="85" customFormat="false" ht="19.5" hidden="false" customHeight="true" outlineLevel="0" collapsed="false">
      <c r="A85" s="25" t="s">
        <v>1684</v>
      </c>
      <c r="B85" s="25" t="s">
        <v>455</v>
      </c>
      <c r="C85" s="12" t="s">
        <v>1597</v>
      </c>
      <c r="D85" s="12" t="s">
        <v>219</v>
      </c>
      <c r="E85" s="25" t="s">
        <v>1469</v>
      </c>
      <c r="F85" s="25" t="s">
        <v>1334</v>
      </c>
      <c r="G85" s="14" t="n">
        <v>0.3</v>
      </c>
      <c r="H85" s="29"/>
      <c r="I85" s="29"/>
      <c r="J85" s="25" t="s">
        <v>1579</v>
      </c>
      <c r="K85" s="25" t="s">
        <v>86</v>
      </c>
      <c r="L85" s="25" t="s">
        <v>1580</v>
      </c>
      <c r="M85" s="22" t="s">
        <v>1437</v>
      </c>
      <c r="N85" s="12" t="s">
        <v>1581</v>
      </c>
    </row>
    <row r="86" customFormat="false" ht="19.5" hidden="false" customHeight="true" outlineLevel="0" collapsed="false">
      <c r="A86" s="27" t="s">
        <v>1685</v>
      </c>
      <c r="B86" s="27" t="s">
        <v>439</v>
      </c>
      <c r="C86" s="9" t="s">
        <v>1599</v>
      </c>
      <c r="D86" s="9" t="s">
        <v>219</v>
      </c>
      <c r="E86" s="27" t="s">
        <v>1469</v>
      </c>
      <c r="F86" s="27" t="s">
        <v>1334</v>
      </c>
      <c r="G86" s="11" t="n">
        <v>0</v>
      </c>
      <c r="H86" s="30"/>
      <c r="I86" s="30"/>
      <c r="J86" s="27" t="s">
        <v>1579</v>
      </c>
      <c r="K86" s="27" t="s">
        <v>86</v>
      </c>
      <c r="L86" s="27" t="s">
        <v>1580</v>
      </c>
      <c r="M86" s="23" t="s">
        <v>1437</v>
      </c>
      <c r="N86" s="9" t="s">
        <v>1581</v>
      </c>
    </row>
    <row r="87" customFormat="false" ht="19.5" hidden="false" customHeight="true" outlineLevel="0" collapsed="false">
      <c r="A87" s="25" t="s">
        <v>1686</v>
      </c>
      <c r="B87" s="25" t="s">
        <v>426</v>
      </c>
      <c r="C87" s="12" t="s">
        <v>1601</v>
      </c>
      <c r="D87" s="12" t="s">
        <v>219</v>
      </c>
      <c r="E87" s="25" t="s">
        <v>1469</v>
      </c>
      <c r="F87" s="25" t="s">
        <v>1334</v>
      </c>
      <c r="G87" s="14" t="n">
        <v>0.34</v>
      </c>
      <c r="H87" s="14" t="n">
        <v>0.31</v>
      </c>
      <c r="I87" s="32" t="n">
        <v>0.03</v>
      </c>
      <c r="J87" s="25" t="s">
        <v>1579</v>
      </c>
      <c r="K87" s="25" t="s">
        <v>86</v>
      </c>
      <c r="L87" s="25" t="s">
        <v>1580</v>
      </c>
      <c r="M87" s="22" t="s">
        <v>1437</v>
      </c>
      <c r="N87" s="12" t="s">
        <v>1581</v>
      </c>
    </row>
    <row r="88" customFormat="false" ht="19.5" hidden="false" customHeight="true" outlineLevel="0" collapsed="false">
      <c r="A88" s="27" t="s">
        <v>1687</v>
      </c>
      <c r="B88" s="27" t="s">
        <v>385</v>
      </c>
      <c r="C88" s="9" t="s">
        <v>1603</v>
      </c>
      <c r="D88" s="9" t="s">
        <v>219</v>
      </c>
      <c r="E88" s="27" t="s">
        <v>1469</v>
      </c>
      <c r="F88" s="27" t="s">
        <v>1334</v>
      </c>
      <c r="G88" s="11" t="n">
        <v>0</v>
      </c>
      <c r="H88" s="11" t="n">
        <v>0</v>
      </c>
      <c r="I88" s="31" t="n">
        <v>0</v>
      </c>
      <c r="J88" s="27" t="s">
        <v>1579</v>
      </c>
      <c r="K88" s="27" t="s">
        <v>86</v>
      </c>
      <c r="L88" s="27" t="s">
        <v>1580</v>
      </c>
      <c r="M88" s="23" t="s">
        <v>1437</v>
      </c>
      <c r="N88" s="9" t="s">
        <v>1581</v>
      </c>
    </row>
    <row r="89" customFormat="false" ht="19.5" hidden="false" customHeight="true" outlineLevel="0" collapsed="false">
      <c r="A89" s="25" t="s">
        <v>1688</v>
      </c>
      <c r="B89" s="25" t="s">
        <v>392</v>
      </c>
      <c r="C89" s="12" t="s">
        <v>1605</v>
      </c>
      <c r="D89" s="12" t="s">
        <v>219</v>
      </c>
      <c r="E89" s="25" t="s">
        <v>1469</v>
      </c>
      <c r="F89" s="25" t="s">
        <v>1334</v>
      </c>
      <c r="G89" s="14" t="n">
        <v>0.1</v>
      </c>
      <c r="H89" s="14" t="n">
        <v>0.1</v>
      </c>
      <c r="I89" s="32" t="n">
        <v>0</v>
      </c>
      <c r="J89" s="25" t="s">
        <v>1579</v>
      </c>
      <c r="K89" s="25" t="s">
        <v>86</v>
      </c>
      <c r="L89" s="25" t="s">
        <v>1580</v>
      </c>
      <c r="M89" s="22" t="s">
        <v>1437</v>
      </c>
      <c r="N89" s="12" t="s">
        <v>1581</v>
      </c>
    </row>
    <row r="90" customFormat="false" ht="19.5" hidden="false" customHeight="true" outlineLevel="0" collapsed="false">
      <c r="A90" s="27" t="s">
        <v>1689</v>
      </c>
      <c r="B90" s="27" t="s">
        <v>399</v>
      </c>
      <c r="C90" s="9" t="s">
        <v>1607</v>
      </c>
      <c r="D90" s="9" t="s">
        <v>219</v>
      </c>
      <c r="E90" s="27" t="s">
        <v>1469</v>
      </c>
      <c r="F90" s="27" t="s">
        <v>1334</v>
      </c>
      <c r="G90" s="11" t="n">
        <v>0.1</v>
      </c>
      <c r="H90" s="11" t="n">
        <v>0.1</v>
      </c>
      <c r="I90" s="31" t="n">
        <v>0</v>
      </c>
      <c r="J90" s="27" t="s">
        <v>1579</v>
      </c>
      <c r="K90" s="27" t="s">
        <v>86</v>
      </c>
      <c r="L90" s="27" t="s">
        <v>1580</v>
      </c>
      <c r="M90" s="23" t="s">
        <v>1437</v>
      </c>
      <c r="N90" s="9" t="s">
        <v>1581</v>
      </c>
    </row>
    <row r="91" customFormat="false" ht="19.5" hidden="false" customHeight="true" outlineLevel="0" collapsed="false">
      <c r="A91" s="25" t="s">
        <v>1690</v>
      </c>
      <c r="B91" s="25" t="s">
        <v>433</v>
      </c>
      <c r="C91" s="12" t="s">
        <v>1609</v>
      </c>
      <c r="D91" s="12" t="s">
        <v>219</v>
      </c>
      <c r="E91" s="25" t="s">
        <v>1469</v>
      </c>
      <c r="F91" s="25" t="s">
        <v>1334</v>
      </c>
      <c r="G91" s="14" t="n">
        <v>0</v>
      </c>
      <c r="H91" s="14" t="n">
        <v>0</v>
      </c>
      <c r="I91" s="32" t="n">
        <v>0</v>
      </c>
      <c r="J91" s="25" t="s">
        <v>1579</v>
      </c>
      <c r="K91" s="25" t="s">
        <v>86</v>
      </c>
      <c r="L91" s="25" t="s">
        <v>1580</v>
      </c>
      <c r="M91" s="22" t="s">
        <v>1437</v>
      </c>
      <c r="N91" s="12" t="s">
        <v>1581</v>
      </c>
    </row>
    <row r="92" customFormat="false" ht="19.5" hidden="false" customHeight="true" outlineLevel="0" collapsed="false">
      <c r="A92" s="27" t="s">
        <v>1691</v>
      </c>
      <c r="B92" s="27" t="s">
        <v>405</v>
      </c>
      <c r="C92" s="9" t="s">
        <v>1611</v>
      </c>
      <c r="D92" s="9" t="s">
        <v>219</v>
      </c>
      <c r="E92" s="27" t="s">
        <v>1469</v>
      </c>
      <c r="F92" s="27" t="s">
        <v>1334</v>
      </c>
      <c r="G92" s="11" t="n">
        <v>0</v>
      </c>
      <c r="H92" s="11" t="n">
        <v>0</v>
      </c>
      <c r="I92" s="31" t="n">
        <v>0</v>
      </c>
      <c r="J92" s="27" t="s">
        <v>1579</v>
      </c>
      <c r="K92" s="27" t="s">
        <v>86</v>
      </c>
      <c r="L92" s="27" t="s">
        <v>1580</v>
      </c>
      <c r="M92" s="23" t="s">
        <v>1437</v>
      </c>
      <c r="N92" s="9" t="s">
        <v>1581</v>
      </c>
    </row>
    <row r="93" customFormat="false" ht="19.5" hidden="false" customHeight="true" outlineLevel="0" collapsed="false">
      <c r="A93" s="25" t="s">
        <v>1692</v>
      </c>
      <c r="B93" s="25" t="s">
        <v>411</v>
      </c>
      <c r="C93" s="12" t="s">
        <v>1613</v>
      </c>
      <c r="D93" s="12" t="s">
        <v>219</v>
      </c>
      <c r="E93" s="25" t="s">
        <v>1469</v>
      </c>
      <c r="F93" s="25" t="s">
        <v>1334</v>
      </c>
      <c r="G93" s="14" t="n">
        <v>0</v>
      </c>
      <c r="H93" s="14" t="n">
        <v>0</v>
      </c>
      <c r="I93" s="32" t="n">
        <v>0</v>
      </c>
      <c r="J93" s="25" t="s">
        <v>1579</v>
      </c>
      <c r="K93" s="25" t="s">
        <v>86</v>
      </c>
      <c r="L93" s="25" t="s">
        <v>1580</v>
      </c>
      <c r="M93" s="22" t="s">
        <v>1437</v>
      </c>
      <c r="N93" s="12" t="s">
        <v>1581</v>
      </c>
    </row>
    <row r="94" customFormat="false" ht="19.5" hidden="false" customHeight="true" outlineLevel="0" collapsed="false">
      <c r="A94" s="27" t="s">
        <v>1693</v>
      </c>
      <c r="B94" s="27" t="s">
        <v>416</v>
      </c>
      <c r="C94" s="9" t="s">
        <v>1615</v>
      </c>
      <c r="D94" s="9" t="s">
        <v>219</v>
      </c>
      <c r="E94" s="27" t="s">
        <v>1469</v>
      </c>
      <c r="F94" s="27" t="s">
        <v>1334</v>
      </c>
      <c r="G94" s="11" t="n">
        <v>0</v>
      </c>
      <c r="H94" s="11" t="n">
        <v>0</v>
      </c>
      <c r="I94" s="31" t="n">
        <v>0</v>
      </c>
      <c r="J94" s="27" t="s">
        <v>1579</v>
      </c>
      <c r="K94" s="27" t="s">
        <v>86</v>
      </c>
      <c r="L94" s="27" t="s">
        <v>1580</v>
      </c>
      <c r="M94" s="23" t="s">
        <v>1437</v>
      </c>
      <c r="N94" s="9" t="s">
        <v>1581</v>
      </c>
    </row>
    <row r="95" customFormat="false" ht="19.5" hidden="false" customHeight="true" outlineLevel="0" collapsed="false">
      <c r="A95" s="25" t="s">
        <v>1694</v>
      </c>
      <c r="B95" s="25" t="s">
        <v>377</v>
      </c>
      <c r="C95" s="12" t="s">
        <v>1617</v>
      </c>
      <c r="D95" s="12" t="s">
        <v>219</v>
      </c>
      <c r="E95" s="25" t="s">
        <v>1469</v>
      </c>
      <c r="F95" s="25" t="s">
        <v>1334</v>
      </c>
      <c r="G95" s="14" t="n">
        <v>0</v>
      </c>
      <c r="H95" s="14" t="n">
        <v>0</v>
      </c>
      <c r="I95" s="32" t="n">
        <v>0</v>
      </c>
      <c r="J95" s="25" t="s">
        <v>1579</v>
      </c>
      <c r="K95" s="25" t="s">
        <v>86</v>
      </c>
      <c r="L95" s="25" t="s">
        <v>1580</v>
      </c>
      <c r="M95" s="22" t="s">
        <v>1437</v>
      </c>
      <c r="N95" s="12" t="s">
        <v>1581</v>
      </c>
    </row>
    <row r="96" customFormat="false" ht="19.5" hidden="false" customHeight="true" outlineLevel="0" collapsed="false">
      <c r="A96" s="27" t="s">
        <v>1695</v>
      </c>
      <c r="B96" s="27" t="s">
        <v>420</v>
      </c>
      <c r="C96" s="9" t="s">
        <v>1619</v>
      </c>
      <c r="D96" s="9" t="s">
        <v>219</v>
      </c>
      <c r="E96" s="27" t="s">
        <v>1469</v>
      </c>
      <c r="F96" s="27" t="s">
        <v>1334</v>
      </c>
      <c r="G96" s="11" t="n">
        <v>0</v>
      </c>
      <c r="H96" s="11" t="n">
        <v>0</v>
      </c>
      <c r="I96" s="31" t="n">
        <v>0</v>
      </c>
      <c r="J96" s="27" t="s">
        <v>1579</v>
      </c>
      <c r="K96" s="27" t="s">
        <v>86</v>
      </c>
      <c r="L96" s="27" t="s">
        <v>1580</v>
      </c>
      <c r="M96" s="23" t="s">
        <v>1437</v>
      </c>
      <c r="N96" s="9" t="s">
        <v>1581</v>
      </c>
    </row>
    <row r="97" customFormat="false" ht="19.5" hidden="false" customHeight="true" outlineLevel="0" collapsed="false">
      <c r="A97" s="25" t="s">
        <v>1696</v>
      </c>
      <c r="B97" s="25" t="s">
        <v>250</v>
      </c>
      <c r="C97" s="12" t="s">
        <v>1621</v>
      </c>
      <c r="D97" s="12" t="s">
        <v>219</v>
      </c>
      <c r="E97" s="25" t="s">
        <v>1469</v>
      </c>
      <c r="F97" s="25" t="s">
        <v>1334</v>
      </c>
      <c r="G97" s="14" t="n">
        <v>0.05</v>
      </c>
      <c r="H97" s="14" t="n">
        <v>0</v>
      </c>
      <c r="I97" s="32" t="n">
        <v>0.05</v>
      </c>
      <c r="J97" s="25" t="s">
        <v>1579</v>
      </c>
      <c r="K97" s="25" t="s">
        <v>86</v>
      </c>
      <c r="L97" s="25" t="s">
        <v>1580</v>
      </c>
      <c r="M97" s="22" t="s">
        <v>1437</v>
      </c>
      <c r="N97" s="12" t="s">
        <v>1581</v>
      </c>
    </row>
    <row r="98" customFormat="false" ht="19.5" hidden="false" customHeight="true" outlineLevel="0" collapsed="false">
      <c r="A98" s="27" t="s">
        <v>1697</v>
      </c>
      <c r="B98" s="27" t="s">
        <v>226</v>
      </c>
      <c r="C98" s="9" t="s">
        <v>1623</v>
      </c>
      <c r="D98" s="9" t="s">
        <v>219</v>
      </c>
      <c r="E98" s="27" t="s">
        <v>1469</v>
      </c>
      <c r="F98" s="27" t="s">
        <v>1334</v>
      </c>
      <c r="G98" s="11" t="n">
        <v>0</v>
      </c>
      <c r="H98" s="11" t="n">
        <v>0</v>
      </c>
      <c r="I98" s="31" t="n">
        <v>0</v>
      </c>
      <c r="J98" s="27" t="s">
        <v>1579</v>
      </c>
      <c r="K98" s="27" t="s">
        <v>86</v>
      </c>
      <c r="L98" s="27" t="s">
        <v>1580</v>
      </c>
      <c r="M98" s="23" t="s">
        <v>1437</v>
      </c>
      <c r="N98" s="9" t="s">
        <v>1581</v>
      </c>
    </row>
    <row r="99" customFormat="false" ht="19.5" hidden="false" customHeight="true" outlineLevel="0" collapsed="false">
      <c r="A99" s="25" t="s">
        <v>1698</v>
      </c>
      <c r="B99" s="25" t="s">
        <v>215</v>
      </c>
      <c r="C99" s="12" t="s">
        <v>1625</v>
      </c>
      <c r="D99" s="12" t="s">
        <v>219</v>
      </c>
      <c r="E99" s="25" t="s">
        <v>1469</v>
      </c>
      <c r="F99" s="25" t="s">
        <v>1334</v>
      </c>
      <c r="G99" s="14" t="n">
        <v>0.4</v>
      </c>
      <c r="H99" s="14" t="n">
        <v>0.4</v>
      </c>
      <c r="I99" s="32" t="n">
        <v>0</v>
      </c>
      <c r="J99" s="25" t="s">
        <v>1579</v>
      </c>
      <c r="K99" s="25" t="s">
        <v>86</v>
      </c>
      <c r="L99" s="25" t="s">
        <v>1580</v>
      </c>
      <c r="M99" s="22" t="s">
        <v>1437</v>
      </c>
      <c r="N99" s="12" t="s">
        <v>1581</v>
      </c>
    </row>
    <row r="100" customFormat="false" ht="19.5" hidden="false" customHeight="true" outlineLevel="0" collapsed="false">
      <c r="A100" s="27" t="s">
        <v>1699</v>
      </c>
      <c r="B100" s="27" t="s">
        <v>257</v>
      </c>
      <c r="C100" s="9" t="s">
        <v>1627</v>
      </c>
      <c r="D100" s="9" t="s">
        <v>219</v>
      </c>
      <c r="E100" s="27" t="s">
        <v>1469</v>
      </c>
      <c r="F100" s="27" t="s">
        <v>1334</v>
      </c>
      <c r="G100" s="11" t="n">
        <v>0</v>
      </c>
      <c r="H100" s="11" t="n">
        <v>0</v>
      </c>
      <c r="I100" s="31" t="n">
        <v>0</v>
      </c>
      <c r="J100" s="27" t="s">
        <v>1579</v>
      </c>
      <c r="K100" s="27" t="s">
        <v>86</v>
      </c>
      <c r="L100" s="27" t="s">
        <v>1580</v>
      </c>
      <c r="M100" s="23" t="s">
        <v>1437</v>
      </c>
      <c r="N100" s="9" t="s">
        <v>1581</v>
      </c>
    </row>
    <row r="101" customFormat="false" ht="19.5" hidden="false" customHeight="true" outlineLevel="0" collapsed="false">
      <c r="A101" s="25" t="s">
        <v>1700</v>
      </c>
      <c r="B101" s="25" t="s">
        <v>466</v>
      </c>
      <c r="C101" s="12" t="s">
        <v>1578</v>
      </c>
      <c r="D101" s="12" t="s">
        <v>462</v>
      </c>
      <c r="E101" s="25" t="s">
        <v>1490</v>
      </c>
      <c r="F101" s="25" t="s">
        <v>1334</v>
      </c>
      <c r="G101" s="14" t="n">
        <v>0</v>
      </c>
      <c r="H101" s="14" t="n">
        <v>0</v>
      </c>
      <c r="I101" s="32" t="n">
        <v>0</v>
      </c>
      <c r="J101" s="25" t="s">
        <v>1579</v>
      </c>
      <c r="K101" s="25" t="s">
        <v>86</v>
      </c>
      <c r="L101" s="25" t="s">
        <v>1580</v>
      </c>
      <c r="M101" s="22" t="s">
        <v>1476</v>
      </c>
      <c r="N101" s="12" t="s">
        <v>1581</v>
      </c>
    </row>
    <row r="102" customFormat="false" ht="19.5" hidden="false" customHeight="true" outlineLevel="0" collapsed="false">
      <c r="A102" s="27" t="s">
        <v>1701</v>
      </c>
      <c r="B102" s="27" t="s">
        <v>492</v>
      </c>
      <c r="C102" s="9" t="s">
        <v>1583</v>
      </c>
      <c r="D102" s="9" t="s">
        <v>462</v>
      </c>
      <c r="E102" s="27" t="s">
        <v>1490</v>
      </c>
      <c r="F102" s="27" t="s">
        <v>1334</v>
      </c>
      <c r="G102" s="11" t="n">
        <v>0</v>
      </c>
      <c r="H102" s="11" t="n">
        <v>0</v>
      </c>
      <c r="I102" s="31" t="n">
        <v>0</v>
      </c>
      <c r="J102" s="27" t="s">
        <v>1579</v>
      </c>
      <c r="K102" s="27" t="s">
        <v>86</v>
      </c>
      <c r="L102" s="27" t="s">
        <v>1580</v>
      </c>
      <c r="M102" s="23" t="s">
        <v>1476</v>
      </c>
      <c r="N102" s="9" t="s">
        <v>1581</v>
      </c>
    </row>
    <row r="103" customFormat="false" ht="19.5" hidden="false" customHeight="true" outlineLevel="0" collapsed="false">
      <c r="A103" s="25" t="s">
        <v>1702</v>
      </c>
      <c r="B103" s="25" t="s">
        <v>473</v>
      </c>
      <c r="C103" s="12" t="s">
        <v>1585</v>
      </c>
      <c r="D103" s="12" t="s">
        <v>462</v>
      </c>
      <c r="E103" s="25" t="s">
        <v>1490</v>
      </c>
      <c r="F103" s="25" t="s">
        <v>1334</v>
      </c>
      <c r="G103" s="14" t="n">
        <v>0</v>
      </c>
      <c r="H103" s="14" t="n">
        <v>0</v>
      </c>
      <c r="I103" s="32" t="n">
        <v>0</v>
      </c>
      <c r="J103" s="25" t="s">
        <v>1579</v>
      </c>
      <c r="K103" s="25" t="s">
        <v>86</v>
      </c>
      <c r="L103" s="25" t="s">
        <v>1580</v>
      </c>
      <c r="M103" s="22" t="s">
        <v>1476</v>
      </c>
      <c r="N103" s="12" t="s">
        <v>1581</v>
      </c>
    </row>
    <row r="104" customFormat="false" ht="19.5" hidden="false" customHeight="true" outlineLevel="0" collapsed="false">
      <c r="A104" s="27" t="s">
        <v>1703</v>
      </c>
      <c r="B104" s="27" t="s">
        <v>459</v>
      </c>
      <c r="C104" s="9" t="s">
        <v>1587</v>
      </c>
      <c r="D104" s="9" t="s">
        <v>462</v>
      </c>
      <c r="E104" s="27" t="s">
        <v>1490</v>
      </c>
      <c r="F104" s="27" t="s">
        <v>1334</v>
      </c>
      <c r="G104" s="11" t="n">
        <v>0</v>
      </c>
      <c r="H104" s="11" t="n">
        <v>0</v>
      </c>
      <c r="I104" s="31" t="n">
        <v>0</v>
      </c>
      <c r="J104" s="27" t="s">
        <v>1579</v>
      </c>
      <c r="K104" s="27" t="s">
        <v>86</v>
      </c>
      <c r="L104" s="27" t="s">
        <v>1580</v>
      </c>
      <c r="M104" s="23" t="s">
        <v>1476</v>
      </c>
      <c r="N104" s="9" t="s">
        <v>1581</v>
      </c>
    </row>
    <row r="105" customFormat="false" ht="19.5" hidden="false" customHeight="true" outlineLevel="0" collapsed="false">
      <c r="A105" s="25" t="s">
        <v>1704</v>
      </c>
      <c r="B105" s="25" t="s">
        <v>486</v>
      </c>
      <c r="C105" s="12" t="s">
        <v>1589</v>
      </c>
      <c r="D105" s="12" t="s">
        <v>462</v>
      </c>
      <c r="E105" s="25" t="s">
        <v>1490</v>
      </c>
      <c r="F105" s="25" t="s">
        <v>1334</v>
      </c>
      <c r="G105" s="14" t="n">
        <v>0</v>
      </c>
      <c r="H105" s="14" t="n">
        <v>0</v>
      </c>
      <c r="I105" s="32" t="n">
        <v>0</v>
      </c>
      <c r="J105" s="25" t="s">
        <v>1579</v>
      </c>
      <c r="K105" s="25" t="s">
        <v>86</v>
      </c>
      <c r="L105" s="25" t="s">
        <v>1580</v>
      </c>
      <c r="M105" s="22" t="s">
        <v>1476</v>
      </c>
      <c r="N105" s="12" t="s">
        <v>1581</v>
      </c>
    </row>
    <row r="106" customFormat="false" ht="19.5" hidden="false" customHeight="true" outlineLevel="0" collapsed="false">
      <c r="A106" s="27" t="s">
        <v>1705</v>
      </c>
      <c r="B106" s="27" t="s">
        <v>479</v>
      </c>
      <c r="C106" s="9" t="s">
        <v>1591</v>
      </c>
      <c r="D106" s="9" t="s">
        <v>462</v>
      </c>
      <c r="E106" s="27" t="s">
        <v>1490</v>
      </c>
      <c r="F106" s="27" t="s">
        <v>1334</v>
      </c>
      <c r="G106" s="11" t="n">
        <v>0</v>
      </c>
      <c r="H106" s="11" t="n">
        <v>0</v>
      </c>
      <c r="I106" s="31" t="n">
        <v>0</v>
      </c>
      <c r="J106" s="27" t="s">
        <v>1579</v>
      </c>
      <c r="K106" s="27" t="s">
        <v>86</v>
      </c>
      <c r="L106" s="27" t="s">
        <v>1580</v>
      </c>
      <c r="M106" s="23" t="s">
        <v>1476</v>
      </c>
      <c r="N106" s="9" t="s">
        <v>1581</v>
      </c>
    </row>
    <row r="107" customFormat="false" ht="19.5" hidden="false" customHeight="true" outlineLevel="0" collapsed="false">
      <c r="A107" s="25" t="s">
        <v>1706</v>
      </c>
      <c r="B107" s="25" t="s">
        <v>233</v>
      </c>
      <c r="C107" s="12" t="s">
        <v>1593</v>
      </c>
      <c r="D107" s="12" t="s">
        <v>236</v>
      </c>
      <c r="E107" s="25" t="s">
        <v>1490</v>
      </c>
      <c r="F107" s="25" t="s">
        <v>1334</v>
      </c>
      <c r="G107" s="14" t="n">
        <v>0</v>
      </c>
      <c r="H107" s="14" t="n">
        <v>0</v>
      </c>
      <c r="I107" s="32" t="n">
        <v>0</v>
      </c>
      <c r="J107" s="25" t="s">
        <v>1579</v>
      </c>
      <c r="K107" s="25" t="s">
        <v>86</v>
      </c>
      <c r="L107" s="25" t="s">
        <v>1580</v>
      </c>
      <c r="M107" s="22" t="s">
        <v>1476</v>
      </c>
      <c r="N107" s="12" t="s">
        <v>1581</v>
      </c>
    </row>
    <row r="108" customFormat="false" ht="19.5" hidden="false" customHeight="true" outlineLevel="0" collapsed="false">
      <c r="A108" s="27" t="s">
        <v>1707</v>
      </c>
      <c r="B108" s="27" t="s">
        <v>448</v>
      </c>
      <c r="C108" s="9" t="s">
        <v>1595</v>
      </c>
      <c r="D108" s="9" t="s">
        <v>219</v>
      </c>
      <c r="E108" s="27" t="s">
        <v>1490</v>
      </c>
      <c r="F108" s="27" t="s">
        <v>1334</v>
      </c>
      <c r="G108" s="11" t="n">
        <v>0</v>
      </c>
      <c r="H108" s="30"/>
      <c r="I108" s="30"/>
      <c r="J108" s="27" t="s">
        <v>1579</v>
      </c>
      <c r="K108" s="27" t="s">
        <v>86</v>
      </c>
      <c r="L108" s="27" t="s">
        <v>1580</v>
      </c>
      <c r="M108" s="23" t="s">
        <v>1476</v>
      </c>
      <c r="N108" s="9" t="s">
        <v>1581</v>
      </c>
    </row>
    <row r="109" customFormat="false" ht="19.5" hidden="false" customHeight="true" outlineLevel="0" collapsed="false">
      <c r="A109" s="25" t="s">
        <v>1708</v>
      </c>
      <c r="B109" s="25" t="s">
        <v>455</v>
      </c>
      <c r="C109" s="12" t="s">
        <v>1597</v>
      </c>
      <c r="D109" s="12" t="s">
        <v>219</v>
      </c>
      <c r="E109" s="25" t="s">
        <v>1490</v>
      </c>
      <c r="F109" s="25" t="s">
        <v>1334</v>
      </c>
      <c r="G109" s="14" t="n">
        <v>0.3</v>
      </c>
      <c r="H109" s="29"/>
      <c r="I109" s="29"/>
      <c r="J109" s="25" t="s">
        <v>1579</v>
      </c>
      <c r="K109" s="25" t="s">
        <v>86</v>
      </c>
      <c r="L109" s="25" t="s">
        <v>1580</v>
      </c>
      <c r="M109" s="22" t="s">
        <v>1476</v>
      </c>
      <c r="N109" s="12" t="s">
        <v>1581</v>
      </c>
    </row>
    <row r="110" customFormat="false" ht="19.5" hidden="false" customHeight="true" outlineLevel="0" collapsed="false">
      <c r="A110" s="27" t="s">
        <v>1709</v>
      </c>
      <c r="B110" s="27" t="s">
        <v>439</v>
      </c>
      <c r="C110" s="9" t="s">
        <v>1599</v>
      </c>
      <c r="D110" s="9" t="s">
        <v>219</v>
      </c>
      <c r="E110" s="27" t="s">
        <v>1490</v>
      </c>
      <c r="F110" s="27" t="s">
        <v>1334</v>
      </c>
      <c r="G110" s="11" t="n">
        <v>0</v>
      </c>
      <c r="H110" s="30"/>
      <c r="I110" s="30"/>
      <c r="J110" s="27" t="s">
        <v>1579</v>
      </c>
      <c r="K110" s="27" t="s">
        <v>86</v>
      </c>
      <c r="L110" s="27" t="s">
        <v>1580</v>
      </c>
      <c r="M110" s="23" t="s">
        <v>1476</v>
      </c>
      <c r="N110" s="9" t="s">
        <v>1581</v>
      </c>
    </row>
    <row r="111" customFormat="false" ht="19.5" hidden="false" customHeight="true" outlineLevel="0" collapsed="false">
      <c r="A111" s="25" t="s">
        <v>1710</v>
      </c>
      <c r="B111" s="25" t="s">
        <v>426</v>
      </c>
      <c r="C111" s="12" t="s">
        <v>1601</v>
      </c>
      <c r="D111" s="12" t="s">
        <v>219</v>
      </c>
      <c r="E111" s="25" t="s">
        <v>1490</v>
      </c>
      <c r="F111" s="25" t="s">
        <v>1334</v>
      </c>
      <c r="G111" s="14" t="n">
        <v>0.12</v>
      </c>
      <c r="H111" s="14" t="n">
        <v>0.07</v>
      </c>
      <c r="I111" s="32" t="n">
        <v>0.05</v>
      </c>
      <c r="J111" s="25" t="s">
        <v>1579</v>
      </c>
      <c r="K111" s="25" t="s">
        <v>86</v>
      </c>
      <c r="L111" s="25" t="s">
        <v>1580</v>
      </c>
      <c r="M111" s="22" t="s">
        <v>1476</v>
      </c>
      <c r="N111" s="12" t="s">
        <v>1581</v>
      </c>
    </row>
    <row r="112" customFormat="false" ht="19.5" hidden="false" customHeight="true" outlineLevel="0" collapsed="false">
      <c r="A112" s="27" t="s">
        <v>1711</v>
      </c>
      <c r="B112" s="27" t="s">
        <v>385</v>
      </c>
      <c r="C112" s="9" t="s">
        <v>1603</v>
      </c>
      <c r="D112" s="9" t="s">
        <v>219</v>
      </c>
      <c r="E112" s="27" t="s">
        <v>1490</v>
      </c>
      <c r="F112" s="27" t="s">
        <v>1334</v>
      </c>
      <c r="G112" s="11" t="n">
        <v>0</v>
      </c>
      <c r="H112" s="11" t="n">
        <v>0</v>
      </c>
      <c r="I112" s="31" t="n">
        <v>0</v>
      </c>
      <c r="J112" s="27" t="s">
        <v>1579</v>
      </c>
      <c r="K112" s="27" t="s">
        <v>86</v>
      </c>
      <c r="L112" s="27" t="s">
        <v>1580</v>
      </c>
      <c r="M112" s="23" t="s">
        <v>1476</v>
      </c>
      <c r="N112" s="9" t="s">
        <v>1581</v>
      </c>
    </row>
    <row r="113" customFormat="false" ht="19.5" hidden="false" customHeight="true" outlineLevel="0" collapsed="false">
      <c r="A113" s="25" t="s">
        <v>1712</v>
      </c>
      <c r="B113" s="25" t="s">
        <v>392</v>
      </c>
      <c r="C113" s="12" t="s">
        <v>1605</v>
      </c>
      <c r="D113" s="12" t="s">
        <v>219</v>
      </c>
      <c r="E113" s="25" t="s">
        <v>1490</v>
      </c>
      <c r="F113" s="25" t="s">
        <v>1334</v>
      </c>
      <c r="G113" s="14" t="n">
        <v>0.1</v>
      </c>
      <c r="H113" s="14" t="n">
        <v>0.1</v>
      </c>
      <c r="I113" s="32" t="n">
        <v>0</v>
      </c>
      <c r="J113" s="25" t="s">
        <v>1579</v>
      </c>
      <c r="K113" s="25" t="s">
        <v>86</v>
      </c>
      <c r="L113" s="25" t="s">
        <v>1580</v>
      </c>
      <c r="M113" s="22" t="s">
        <v>1476</v>
      </c>
      <c r="N113" s="12" t="s">
        <v>1581</v>
      </c>
    </row>
    <row r="114" customFormat="false" ht="19.5" hidden="false" customHeight="true" outlineLevel="0" collapsed="false">
      <c r="A114" s="27" t="s">
        <v>1713</v>
      </c>
      <c r="B114" s="27" t="s">
        <v>399</v>
      </c>
      <c r="C114" s="9" t="s">
        <v>1607</v>
      </c>
      <c r="D114" s="9" t="s">
        <v>219</v>
      </c>
      <c r="E114" s="27" t="s">
        <v>1490</v>
      </c>
      <c r="F114" s="27" t="s">
        <v>1334</v>
      </c>
      <c r="G114" s="11" t="n">
        <v>0.1</v>
      </c>
      <c r="H114" s="11" t="n">
        <v>0.1</v>
      </c>
      <c r="I114" s="31" t="n">
        <v>0</v>
      </c>
      <c r="J114" s="27" t="s">
        <v>1579</v>
      </c>
      <c r="K114" s="27" t="s">
        <v>86</v>
      </c>
      <c r="L114" s="27" t="s">
        <v>1580</v>
      </c>
      <c r="M114" s="23" t="s">
        <v>1476</v>
      </c>
      <c r="N114" s="9" t="s">
        <v>1581</v>
      </c>
    </row>
    <row r="115" customFormat="false" ht="19.5" hidden="false" customHeight="true" outlineLevel="0" collapsed="false">
      <c r="A115" s="25" t="s">
        <v>1714</v>
      </c>
      <c r="B115" s="25" t="s">
        <v>433</v>
      </c>
      <c r="C115" s="12" t="s">
        <v>1609</v>
      </c>
      <c r="D115" s="12" t="s">
        <v>219</v>
      </c>
      <c r="E115" s="25" t="s">
        <v>1490</v>
      </c>
      <c r="F115" s="25" t="s">
        <v>1334</v>
      </c>
      <c r="G115" s="14" t="n">
        <v>0</v>
      </c>
      <c r="H115" s="14" t="n">
        <v>0</v>
      </c>
      <c r="I115" s="32" t="n">
        <v>0</v>
      </c>
      <c r="J115" s="25" t="s">
        <v>1579</v>
      </c>
      <c r="K115" s="25" t="s">
        <v>86</v>
      </c>
      <c r="L115" s="25" t="s">
        <v>1580</v>
      </c>
      <c r="M115" s="22" t="s">
        <v>1476</v>
      </c>
      <c r="N115" s="12" t="s">
        <v>1581</v>
      </c>
    </row>
    <row r="116" customFormat="false" ht="19.5" hidden="false" customHeight="true" outlineLevel="0" collapsed="false">
      <c r="A116" s="27" t="s">
        <v>1715</v>
      </c>
      <c r="B116" s="27" t="s">
        <v>405</v>
      </c>
      <c r="C116" s="9" t="s">
        <v>1611</v>
      </c>
      <c r="D116" s="9" t="s">
        <v>219</v>
      </c>
      <c r="E116" s="27" t="s">
        <v>1490</v>
      </c>
      <c r="F116" s="27" t="s">
        <v>1334</v>
      </c>
      <c r="G116" s="11" t="n">
        <v>0</v>
      </c>
      <c r="H116" s="11" t="n">
        <v>0</v>
      </c>
      <c r="I116" s="31" t="n">
        <v>0</v>
      </c>
      <c r="J116" s="27" t="s">
        <v>1579</v>
      </c>
      <c r="K116" s="27" t="s">
        <v>86</v>
      </c>
      <c r="L116" s="27" t="s">
        <v>1580</v>
      </c>
      <c r="M116" s="23" t="s">
        <v>1476</v>
      </c>
      <c r="N116" s="9" t="s">
        <v>1581</v>
      </c>
    </row>
    <row r="117" customFormat="false" ht="19.5" hidden="false" customHeight="true" outlineLevel="0" collapsed="false">
      <c r="A117" s="25" t="s">
        <v>1716</v>
      </c>
      <c r="B117" s="25" t="s">
        <v>411</v>
      </c>
      <c r="C117" s="12" t="s">
        <v>1613</v>
      </c>
      <c r="D117" s="12" t="s">
        <v>219</v>
      </c>
      <c r="E117" s="25" t="s">
        <v>1490</v>
      </c>
      <c r="F117" s="25" t="s">
        <v>1334</v>
      </c>
      <c r="G117" s="14" t="n">
        <v>0</v>
      </c>
      <c r="H117" s="14" t="n">
        <v>0</v>
      </c>
      <c r="I117" s="32" t="n">
        <v>0</v>
      </c>
      <c r="J117" s="25" t="s">
        <v>1579</v>
      </c>
      <c r="K117" s="25" t="s">
        <v>86</v>
      </c>
      <c r="L117" s="25" t="s">
        <v>1580</v>
      </c>
      <c r="M117" s="22" t="s">
        <v>1476</v>
      </c>
      <c r="N117" s="12" t="s">
        <v>1581</v>
      </c>
    </row>
    <row r="118" customFormat="false" ht="19.5" hidden="false" customHeight="true" outlineLevel="0" collapsed="false">
      <c r="A118" s="27" t="s">
        <v>1717</v>
      </c>
      <c r="B118" s="27" t="s">
        <v>416</v>
      </c>
      <c r="C118" s="9" t="s">
        <v>1615</v>
      </c>
      <c r="D118" s="9" t="s">
        <v>219</v>
      </c>
      <c r="E118" s="27" t="s">
        <v>1490</v>
      </c>
      <c r="F118" s="27" t="s">
        <v>1334</v>
      </c>
      <c r="G118" s="11" t="n">
        <v>0</v>
      </c>
      <c r="H118" s="11" t="n">
        <v>0</v>
      </c>
      <c r="I118" s="31" t="n">
        <v>0</v>
      </c>
      <c r="J118" s="27" t="s">
        <v>1579</v>
      </c>
      <c r="K118" s="27" t="s">
        <v>86</v>
      </c>
      <c r="L118" s="27" t="s">
        <v>1580</v>
      </c>
      <c r="M118" s="23" t="s">
        <v>1476</v>
      </c>
      <c r="N118" s="9" t="s">
        <v>1581</v>
      </c>
    </row>
    <row r="119" customFormat="false" ht="19.5" hidden="false" customHeight="true" outlineLevel="0" collapsed="false">
      <c r="A119" s="25" t="s">
        <v>1718</v>
      </c>
      <c r="B119" s="25" t="s">
        <v>377</v>
      </c>
      <c r="C119" s="12" t="s">
        <v>1617</v>
      </c>
      <c r="D119" s="12" t="s">
        <v>219</v>
      </c>
      <c r="E119" s="25" t="s">
        <v>1490</v>
      </c>
      <c r="F119" s="25" t="s">
        <v>1334</v>
      </c>
      <c r="G119" s="14" t="n">
        <v>0</v>
      </c>
      <c r="H119" s="14" t="n">
        <v>0</v>
      </c>
      <c r="I119" s="32" t="n">
        <v>0</v>
      </c>
      <c r="J119" s="25" t="s">
        <v>1579</v>
      </c>
      <c r="K119" s="25" t="s">
        <v>86</v>
      </c>
      <c r="L119" s="25" t="s">
        <v>1580</v>
      </c>
      <c r="M119" s="22" t="s">
        <v>1476</v>
      </c>
      <c r="N119" s="12" t="s">
        <v>1581</v>
      </c>
    </row>
    <row r="120" customFormat="false" ht="19.5" hidden="false" customHeight="true" outlineLevel="0" collapsed="false">
      <c r="A120" s="27" t="s">
        <v>1719</v>
      </c>
      <c r="B120" s="27" t="s">
        <v>420</v>
      </c>
      <c r="C120" s="9" t="s">
        <v>1619</v>
      </c>
      <c r="D120" s="9" t="s">
        <v>219</v>
      </c>
      <c r="E120" s="27" t="s">
        <v>1490</v>
      </c>
      <c r="F120" s="27" t="s">
        <v>1334</v>
      </c>
      <c r="G120" s="11" t="n">
        <v>0.08</v>
      </c>
      <c r="H120" s="11" t="n">
        <v>0.1</v>
      </c>
      <c r="I120" s="31" t="n">
        <v>-0.02</v>
      </c>
      <c r="J120" s="27" t="s">
        <v>1579</v>
      </c>
      <c r="K120" s="27" t="s">
        <v>86</v>
      </c>
      <c r="L120" s="27" t="s">
        <v>1580</v>
      </c>
      <c r="M120" s="23" t="s">
        <v>1476</v>
      </c>
      <c r="N120" s="9" t="s">
        <v>1581</v>
      </c>
    </row>
    <row r="121" customFormat="false" ht="19.5" hidden="false" customHeight="true" outlineLevel="0" collapsed="false">
      <c r="A121" s="25" t="s">
        <v>1720</v>
      </c>
      <c r="B121" s="25" t="s">
        <v>250</v>
      </c>
      <c r="C121" s="12" t="s">
        <v>1621</v>
      </c>
      <c r="D121" s="12" t="s">
        <v>219</v>
      </c>
      <c r="E121" s="25" t="s">
        <v>1490</v>
      </c>
      <c r="F121" s="25" t="s">
        <v>1334</v>
      </c>
      <c r="G121" s="14" t="n">
        <v>0.05</v>
      </c>
      <c r="H121" s="14" t="n">
        <v>0</v>
      </c>
      <c r="I121" s="32" t="n">
        <v>0.05</v>
      </c>
      <c r="J121" s="25" t="s">
        <v>1579</v>
      </c>
      <c r="K121" s="25" t="s">
        <v>86</v>
      </c>
      <c r="L121" s="25" t="s">
        <v>1580</v>
      </c>
      <c r="M121" s="22" t="s">
        <v>1476</v>
      </c>
      <c r="N121" s="12" t="s">
        <v>1581</v>
      </c>
    </row>
    <row r="122" customFormat="false" ht="19.5" hidden="false" customHeight="true" outlineLevel="0" collapsed="false">
      <c r="A122" s="27" t="s">
        <v>1721</v>
      </c>
      <c r="B122" s="27" t="s">
        <v>226</v>
      </c>
      <c r="C122" s="9" t="s">
        <v>1623</v>
      </c>
      <c r="D122" s="9" t="s">
        <v>219</v>
      </c>
      <c r="E122" s="27" t="s">
        <v>1490</v>
      </c>
      <c r="F122" s="27" t="s">
        <v>1334</v>
      </c>
      <c r="G122" s="11" t="n">
        <v>0</v>
      </c>
      <c r="H122" s="11" t="n">
        <v>0</v>
      </c>
      <c r="I122" s="31" t="n">
        <v>0</v>
      </c>
      <c r="J122" s="27" t="s">
        <v>1579</v>
      </c>
      <c r="K122" s="27" t="s">
        <v>86</v>
      </c>
      <c r="L122" s="27" t="s">
        <v>1580</v>
      </c>
      <c r="M122" s="23" t="s">
        <v>1476</v>
      </c>
      <c r="N122" s="9" t="s">
        <v>1581</v>
      </c>
    </row>
    <row r="123" customFormat="false" ht="19.5" hidden="false" customHeight="true" outlineLevel="0" collapsed="false">
      <c r="A123" s="25" t="s">
        <v>1722</v>
      </c>
      <c r="B123" s="25" t="s">
        <v>215</v>
      </c>
      <c r="C123" s="12" t="s">
        <v>1625</v>
      </c>
      <c r="D123" s="12" t="s">
        <v>219</v>
      </c>
      <c r="E123" s="25" t="s">
        <v>1490</v>
      </c>
      <c r="F123" s="25" t="s">
        <v>1334</v>
      </c>
      <c r="G123" s="14" t="n">
        <v>0.4</v>
      </c>
      <c r="H123" s="14" t="n">
        <v>0.4</v>
      </c>
      <c r="I123" s="32" t="n">
        <v>0</v>
      </c>
      <c r="J123" s="25" t="s">
        <v>1579</v>
      </c>
      <c r="K123" s="25" t="s">
        <v>86</v>
      </c>
      <c r="L123" s="25" t="s">
        <v>1580</v>
      </c>
      <c r="M123" s="22" t="s">
        <v>1476</v>
      </c>
      <c r="N123" s="12" t="s">
        <v>1581</v>
      </c>
    </row>
    <row r="124" customFormat="false" ht="19.5" hidden="false" customHeight="true" outlineLevel="0" collapsed="false">
      <c r="A124" s="27" t="s">
        <v>1723</v>
      </c>
      <c r="B124" s="27" t="s">
        <v>257</v>
      </c>
      <c r="C124" s="9" t="s">
        <v>1627</v>
      </c>
      <c r="D124" s="9" t="s">
        <v>219</v>
      </c>
      <c r="E124" s="27" t="s">
        <v>1490</v>
      </c>
      <c r="F124" s="27" t="s">
        <v>1334</v>
      </c>
      <c r="G124" s="11" t="n">
        <v>0</v>
      </c>
      <c r="H124" s="11" t="n">
        <v>0</v>
      </c>
      <c r="I124" s="31" t="n">
        <v>0</v>
      </c>
      <c r="J124" s="27" t="s">
        <v>1579</v>
      </c>
      <c r="K124" s="27" t="s">
        <v>86</v>
      </c>
      <c r="L124" s="27" t="s">
        <v>1580</v>
      </c>
      <c r="M124" s="23" t="s">
        <v>1476</v>
      </c>
      <c r="N124" s="9" t="s">
        <v>1581</v>
      </c>
    </row>
    <row r="125" customFormat="false" ht="19.5" hidden="false" customHeight="true" outlineLevel="0" collapsed="false">
      <c r="A125" s="25" t="s">
        <v>1724</v>
      </c>
      <c r="B125" s="25" t="s">
        <v>466</v>
      </c>
      <c r="C125" s="12" t="s">
        <v>1578</v>
      </c>
      <c r="D125" s="12" t="s">
        <v>462</v>
      </c>
      <c r="E125" s="25" t="s">
        <v>1510</v>
      </c>
      <c r="F125" s="25" t="s">
        <v>1334</v>
      </c>
      <c r="G125" s="14" t="n">
        <v>0</v>
      </c>
      <c r="H125" s="14" t="n">
        <v>0</v>
      </c>
      <c r="I125" s="32" t="n">
        <v>0</v>
      </c>
      <c r="J125" s="25" t="s">
        <v>1579</v>
      </c>
      <c r="K125" s="25" t="s">
        <v>86</v>
      </c>
      <c r="L125" s="25" t="s">
        <v>1580</v>
      </c>
      <c r="M125" s="22" t="s">
        <v>1497</v>
      </c>
      <c r="N125" s="12" t="s">
        <v>1581</v>
      </c>
    </row>
    <row r="126" customFormat="false" ht="19.5" hidden="false" customHeight="true" outlineLevel="0" collapsed="false">
      <c r="A126" s="27" t="s">
        <v>1725</v>
      </c>
      <c r="B126" s="27" t="s">
        <v>492</v>
      </c>
      <c r="C126" s="9" t="s">
        <v>1583</v>
      </c>
      <c r="D126" s="9" t="s">
        <v>462</v>
      </c>
      <c r="E126" s="27" t="s">
        <v>1510</v>
      </c>
      <c r="F126" s="27" t="s">
        <v>1334</v>
      </c>
      <c r="G126" s="11" t="n">
        <v>0</v>
      </c>
      <c r="H126" s="11" t="n">
        <v>0</v>
      </c>
      <c r="I126" s="31" t="n">
        <v>0</v>
      </c>
      <c r="J126" s="27" t="s">
        <v>1579</v>
      </c>
      <c r="K126" s="27" t="s">
        <v>86</v>
      </c>
      <c r="L126" s="27" t="s">
        <v>1580</v>
      </c>
      <c r="M126" s="23" t="s">
        <v>1497</v>
      </c>
      <c r="N126" s="9" t="s">
        <v>1581</v>
      </c>
    </row>
    <row r="127" customFormat="false" ht="19.5" hidden="false" customHeight="true" outlineLevel="0" collapsed="false">
      <c r="A127" s="25" t="s">
        <v>1726</v>
      </c>
      <c r="B127" s="25" t="s">
        <v>473</v>
      </c>
      <c r="C127" s="12" t="s">
        <v>1585</v>
      </c>
      <c r="D127" s="12" t="s">
        <v>462</v>
      </c>
      <c r="E127" s="25" t="s">
        <v>1510</v>
      </c>
      <c r="F127" s="25" t="s">
        <v>1334</v>
      </c>
      <c r="G127" s="14" t="n">
        <v>0</v>
      </c>
      <c r="H127" s="14" t="n">
        <v>0</v>
      </c>
      <c r="I127" s="32" t="n">
        <v>0</v>
      </c>
      <c r="J127" s="25" t="s">
        <v>1579</v>
      </c>
      <c r="K127" s="25" t="s">
        <v>86</v>
      </c>
      <c r="L127" s="25" t="s">
        <v>1580</v>
      </c>
      <c r="M127" s="22" t="s">
        <v>1497</v>
      </c>
      <c r="N127" s="12" t="s">
        <v>1581</v>
      </c>
    </row>
    <row r="128" customFormat="false" ht="19.5" hidden="false" customHeight="true" outlineLevel="0" collapsed="false">
      <c r="A128" s="27" t="s">
        <v>1727</v>
      </c>
      <c r="B128" s="27" t="s">
        <v>459</v>
      </c>
      <c r="C128" s="9" t="s">
        <v>1587</v>
      </c>
      <c r="D128" s="9" t="s">
        <v>462</v>
      </c>
      <c r="E128" s="27" t="s">
        <v>1510</v>
      </c>
      <c r="F128" s="27" t="s">
        <v>1334</v>
      </c>
      <c r="G128" s="11" t="n">
        <v>0</v>
      </c>
      <c r="H128" s="11" t="n">
        <v>0</v>
      </c>
      <c r="I128" s="31" t="n">
        <v>0</v>
      </c>
      <c r="J128" s="27" t="s">
        <v>1579</v>
      </c>
      <c r="K128" s="27" t="s">
        <v>86</v>
      </c>
      <c r="L128" s="27" t="s">
        <v>1580</v>
      </c>
      <c r="M128" s="23" t="s">
        <v>1497</v>
      </c>
      <c r="N128" s="9" t="s">
        <v>1581</v>
      </c>
    </row>
    <row r="129" customFormat="false" ht="19.5" hidden="false" customHeight="true" outlineLevel="0" collapsed="false">
      <c r="A129" s="25" t="s">
        <v>1728</v>
      </c>
      <c r="B129" s="25" t="s">
        <v>486</v>
      </c>
      <c r="C129" s="12" t="s">
        <v>1589</v>
      </c>
      <c r="D129" s="12" t="s">
        <v>462</v>
      </c>
      <c r="E129" s="25" t="s">
        <v>1510</v>
      </c>
      <c r="F129" s="25" t="s">
        <v>1334</v>
      </c>
      <c r="G129" s="14" t="n">
        <v>0</v>
      </c>
      <c r="H129" s="14" t="n">
        <v>0</v>
      </c>
      <c r="I129" s="32" t="n">
        <v>0</v>
      </c>
      <c r="J129" s="25" t="s">
        <v>1579</v>
      </c>
      <c r="K129" s="25" t="s">
        <v>86</v>
      </c>
      <c r="L129" s="25" t="s">
        <v>1580</v>
      </c>
      <c r="M129" s="22" t="s">
        <v>1497</v>
      </c>
      <c r="N129" s="12" t="s">
        <v>1581</v>
      </c>
    </row>
    <row r="130" customFormat="false" ht="19.5" hidden="false" customHeight="true" outlineLevel="0" collapsed="false">
      <c r="A130" s="27" t="s">
        <v>1729</v>
      </c>
      <c r="B130" s="27" t="s">
        <v>479</v>
      </c>
      <c r="C130" s="9" t="s">
        <v>1591</v>
      </c>
      <c r="D130" s="9" t="s">
        <v>462</v>
      </c>
      <c r="E130" s="27" t="s">
        <v>1510</v>
      </c>
      <c r="F130" s="27" t="s">
        <v>1334</v>
      </c>
      <c r="G130" s="11" t="n">
        <v>0</v>
      </c>
      <c r="H130" s="11" t="n">
        <v>0</v>
      </c>
      <c r="I130" s="31" t="n">
        <v>0</v>
      </c>
      <c r="J130" s="27" t="s">
        <v>1579</v>
      </c>
      <c r="K130" s="27" t="s">
        <v>86</v>
      </c>
      <c r="L130" s="27" t="s">
        <v>1580</v>
      </c>
      <c r="M130" s="23" t="s">
        <v>1497</v>
      </c>
      <c r="N130" s="9" t="s">
        <v>1581</v>
      </c>
    </row>
    <row r="131" customFormat="false" ht="19.5" hidden="false" customHeight="true" outlineLevel="0" collapsed="false">
      <c r="A131" s="25" t="s">
        <v>1730</v>
      </c>
      <c r="B131" s="25" t="s">
        <v>233</v>
      </c>
      <c r="C131" s="12" t="s">
        <v>1593</v>
      </c>
      <c r="D131" s="12" t="s">
        <v>236</v>
      </c>
      <c r="E131" s="25" t="s">
        <v>1510</v>
      </c>
      <c r="F131" s="25" t="s">
        <v>1334</v>
      </c>
      <c r="G131" s="14" t="n">
        <v>0</v>
      </c>
      <c r="H131" s="14" t="n">
        <v>0</v>
      </c>
      <c r="I131" s="32" t="n">
        <v>0</v>
      </c>
      <c r="J131" s="25" t="s">
        <v>1579</v>
      </c>
      <c r="K131" s="25" t="s">
        <v>86</v>
      </c>
      <c r="L131" s="25" t="s">
        <v>1580</v>
      </c>
      <c r="M131" s="22" t="s">
        <v>1497</v>
      </c>
      <c r="N131" s="12" t="s">
        <v>1581</v>
      </c>
    </row>
    <row r="132" customFormat="false" ht="19.5" hidden="false" customHeight="true" outlineLevel="0" collapsed="false">
      <c r="A132" s="27" t="s">
        <v>1731</v>
      </c>
      <c r="B132" s="27" t="s">
        <v>426</v>
      </c>
      <c r="C132" s="9" t="s">
        <v>1601</v>
      </c>
      <c r="D132" s="9" t="s">
        <v>219</v>
      </c>
      <c r="E132" s="27" t="s">
        <v>1510</v>
      </c>
      <c r="F132" s="27" t="s">
        <v>1334</v>
      </c>
      <c r="G132" s="11" t="n">
        <v>0.14</v>
      </c>
      <c r="H132" s="11" t="n">
        <v>0.09</v>
      </c>
      <c r="I132" s="31" t="n">
        <v>0.05</v>
      </c>
      <c r="J132" s="27" t="s">
        <v>1579</v>
      </c>
      <c r="K132" s="27" t="s">
        <v>86</v>
      </c>
      <c r="L132" s="27" t="s">
        <v>1580</v>
      </c>
      <c r="M132" s="23" t="s">
        <v>1497</v>
      </c>
      <c r="N132" s="9" t="s">
        <v>1581</v>
      </c>
    </row>
    <row r="133" customFormat="false" ht="19.5" hidden="false" customHeight="true" outlineLevel="0" collapsed="false">
      <c r="A133" s="25" t="s">
        <v>1732</v>
      </c>
      <c r="B133" s="25" t="s">
        <v>385</v>
      </c>
      <c r="C133" s="12" t="s">
        <v>1603</v>
      </c>
      <c r="D133" s="12" t="s">
        <v>219</v>
      </c>
      <c r="E133" s="25" t="s">
        <v>1510</v>
      </c>
      <c r="F133" s="25" t="s">
        <v>1334</v>
      </c>
      <c r="G133" s="14" t="n">
        <v>0</v>
      </c>
      <c r="H133" s="14" t="n">
        <v>0</v>
      </c>
      <c r="I133" s="32" t="n">
        <v>0</v>
      </c>
      <c r="J133" s="25" t="s">
        <v>1579</v>
      </c>
      <c r="K133" s="25" t="s">
        <v>86</v>
      </c>
      <c r="L133" s="25" t="s">
        <v>1580</v>
      </c>
      <c r="M133" s="22" t="s">
        <v>1497</v>
      </c>
      <c r="N133" s="12" t="s">
        <v>1581</v>
      </c>
    </row>
    <row r="134" customFormat="false" ht="19.5" hidden="false" customHeight="true" outlineLevel="0" collapsed="false">
      <c r="A134" s="27" t="s">
        <v>1733</v>
      </c>
      <c r="B134" s="27" t="s">
        <v>392</v>
      </c>
      <c r="C134" s="9" t="s">
        <v>1605</v>
      </c>
      <c r="D134" s="9" t="s">
        <v>219</v>
      </c>
      <c r="E134" s="27" t="s">
        <v>1510</v>
      </c>
      <c r="F134" s="27" t="s">
        <v>1334</v>
      </c>
      <c r="G134" s="11" t="n">
        <v>0.1</v>
      </c>
      <c r="H134" s="11" t="n">
        <v>0.1</v>
      </c>
      <c r="I134" s="31" t="n">
        <v>0</v>
      </c>
      <c r="J134" s="27" t="s">
        <v>1579</v>
      </c>
      <c r="K134" s="27" t="s">
        <v>86</v>
      </c>
      <c r="L134" s="27" t="s">
        <v>1580</v>
      </c>
      <c r="M134" s="23" t="s">
        <v>1497</v>
      </c>
      <c r="N134" s="9" t="s">
        <v>1581</v>
      </c>
    </row>
    <row r="135" customFormat="false" ht="19.5" hidden="false" customHeight="true" outlineLevel="0" collapsed="false">
      <c r="A135" s="25" t="s">
        <v>1734</v>
      </c>
      <c r="B135" s="25" t="s">
        <v>399</v>
      </c>
      <c r="C135" s="12" t="s">
        <v>1607</v>
      </c>
      <c r="D135" s="12" t="s">
        <v>219</v>
      </c>
      <c r="E135" s="25" t="s">
        <v>1510</v>
      </c>
      <c r="F135" s="25" t="s">
        <v>1334</v>
      </c>
      <c r="G135" s="14" t="n">
        <v>0.1</v>
      </c>
      <c r="H135" s="14" t="n">
        <v>0.1</v>
      </c>
      <c r="I135" s="32" t="n">
        <v>0</v>
      </c>
      <c r="J135" s="25" t="s">
        <v>1579</v>
      </c>
      <c r="K135" s="25" t="s">
        <v>86</v>
      </c>
      <c r="L135" s="25" t="s">
        <v>1580</v>
      </c>
      <c r="M135" s="22" t="s">
        <v>1497</v>
      </c>
      <c r="N135" s="12" t="s">
        <v>1581</v>
      </c>
    </row>
    <row r="136" customFormat="false" ht="19.5" hidden="false" customHeight="true" outlineLevel="0" collapsed="false">
      <c r="A136" s="27" t="s">
        <v>1735</v>
      </c>
      <c r="B136" s="27" t="s">
        <v>433</v>
      </c>
      <c r="C136" s="9" t="s">
        <v>1609</v>
      </c>
      <c r="D136" s="9" t="s">
        <v>219</v>
      </c>
      <c r="E136" s="27" t="s">
        <v>1510</v>
      </c>
      <c r="F136" s="27" t="s">
        <v>1334</v>
      </c>
      <c r="G136" s="11" t="n">
        <v>0</v>
      </c>
      <c r="H136" s="11" t="n">
        <v>0</v>
      </c>
      <c r="I136" s="31" t="n">
        <v>0</v>
      </c>
      <c r="J136" s="27" t="s">
        <v>1579</v>
      </c>
      <c r="K136" s="27" t="s">
        <v>86</v>
      </c>
      <c r="L136" s="27" t="s">
        <v>1580</v>
      </c>
      <c r="M136" s="23" t="s">
        <v>1497</v>
      </c>
      <c r="N136" s="9" t="s">
        <v>1581</v>
      </c>
    </row>
    <row r="137" customFormat="false" ht="19.5" hidden="false" customHeight="true" outlineLevel="0" collapsed="false">
      <c r="A137" s="25" t="s">
        <v>1736</v>
      </c>
      <c r="B137" s="25" t="s">
        <v>405</v>
      </c>
      <c r="C137" s="12" t="s">
        <v>1611</v>
      </c>
      <c r="D137" s="12" t="s">
        <v>219</v>
      </c>
      <c r="E137" s="25" t="s">
        <v>1510</v>
      </c>
      <c r="F137" s="25" t="s">
        <v>1334</v>
      </c>
      <c r="G137" s="14" t="n">
        <v>0</v>
      </c>
      <c r="H137" s="14" t="n">
        <v>0</v>
      </c>
      <c r="I137" s="32" t="n">
        <v>0</v>
      </c>
      <c r="J137" s="25" t="s">
        <v>1579</v>
      </c>
      <c r="K137" s="25" t="s">
        <v>86</v>
      </c>
      <c r="L137" s="25" t="s">
        <v>1580</v>
      </c>
      <c r="M137" s="22" t="s">
        <v>1497</v>
      </c>
      <c r="N137" s="12" t="s">
        <v>1581</v>
      </c>
    </row>
    <row r="138" customFormat="false" ht="19.5" hidden="false" customHeight="true" outlineLevel="0" collapsed="false">
      <c r="A138" s="27" t="s">
        <v>1737</v>
      </c>
      <c r="B138" s="27" t="s">
        <v>411</v>
      </c>
      <c r="C138" s="9" t="s">
        <v>1613</v>
      </c>
      <c r="D138" s="9" t="s">
        <v>219</v>
      </c>
      <c r="E138" s="27" t="s">
        <v>1510</v>
      </c>
      <c r="F138" s="27" t="s">
        <v>1334</v>
      </c>
      <c r="G138" s="11" t="n">
        <v>0</v>
      </c>
      <c r="H138" s="11" t="n">
        <v>0</v>
      </c>
      <c r="I138" s="31" t="n">
        <v>0</v>
      </c>
      <c r="J138" s="27" t="s">
        <v>1579</v>
      </c>
      <c r="K138" s="27" t="s">
        <v>86</v>
      </c>
      <c r="L138" s="27" t="s">
        <v>1580</v>
      </c>
      <c r="M138" s="23" t="s">
        <v>1497</v>
      </c>
      <c r="N138" s="9" t="s">
        <v>1581</v>
      </c>
    </row>
    <row r="139" customFormat="false" ht="19.5" hidden="false" customHeight="true" outlineLevel="0" collapsed="false">
      <c r="A139" s="25" t="s">
        <v>1738</v>
      </c>
      <c r="B139" s="25" t="s">
        <v>416</v>
      </c>
      <c r="C139" s="12" t="s">
        <v>1615</v>
      </c>
      <c r="D139" s="12" t="s">
        <v>219</v>
      </c>
      <c r="E139" s="25" t="s">
        <v>1510</v>
      </c>
      <c r="F139" s="25" t="s">
        <v>1334</v>
      </c>
      <c r="G139" s="14" t="n">
        <v>0</v>
      </c>
      <c r="H139" s="14" t="n">
        <v>0</v>
      </c>
      <c r="I139" s="32" t="n">
        <v>0</v>
      </c>
      <c r="J139" s="25" t="s">
        <v>1579</v>
      </c>
      <c r="K139" s="25" t="s">
        <v>86</v>
      </c>
      <c r="L139" s="25" t="s">
        <v>1580</v>
      </c>
      <c r="M139" s="22" t="s">
        <v>1497</v>
      </c>
      <c r="N139" s="12" t="s">
        <v>1581</v>
      </c>
    </row>
    <row r="140" customFormat="false" ht="19.5" hidden="false" customHeight="true" outlineLevel="0" collapsed="false">
      <c r="A140" s="27" t="s">
        <v>1739</v>
      </c>
      <c r="B140" s="27" t="s">
        <v>377</v>
      </c>
      <c r="C140" s="9" t="s">
        <v>1617</v>
      </c>
      <c r="D140" s="9" t="s">
        <v>219</v>
      </c>
      <c r="E140" s="27" t="s">
        <v>1510</v>
      </c>
      <c r="F140" s="27" t="s">
        <v>1334</v>
      </c>
      <c r="G140" s="11" t="n">
        <v>0</v>
      </c>
      <c r="H140" s="11" t="n">
        <v>0</v>
      </c>
      <c r="I140" s="31" t="n">
        <v>0</v>
      </c>
      <c r="J140" s="27" t="s">
        <v>1579</v>
      </c>
      <c r="K140" s="27" t="s">
        <v>86</v>
      </c>
      <c r="L140" s="27" t="s">
        <v>1580</v>
      </c>
      <c r="M140" s="23" t="s">
        <v>1497</v>
      </c>
      <c r="N140" s="9" t="s">
        <v>1581</v>
      </c>
    </row>
    <row r="141" customFormat="false" ht="19.5" hidden="false" customHeight="true" outlineLevel="0" collapsed="false">
      <c r="A141" s="25" t="s">
        <v>1740</v>
      </c>
      <c r="B141" s="25" t="s">
        <v>420</v>
      </c>
      <c r="C141" s="12" t="s">
        <v>1619</v>
      </c>
      <c r="D141" s="12" t="s">
        <v>219</v>
      </c>
      <c r="E141" s="25" t="s">
        <v>1510</v>
      </c>
      <c r="F141" s="25" t="s">
        <v>1334</v>
      </c>
      <c r="G141" s="14" t="n">
        <v>0.1</v>
      </c>
      <c r="H141" s="14" t="n">
        <v>0.1</v>
      </c>
      <c r="I141" s="32" t="n">
        <v>0</v>
      </c>
      <c r="J141" s="25" t="s">
        <v>1579</v>
      </c>
      <c r="K141" s="25" t="s">
        <v>86</v>
      </c>
      <c r="L141" s="25" t="s">
        <v>1580</v>
      </c>
      <c r="M141" s="22" t="s">
        <v>1497</v>
      </c>
      <c r="N141" s="12" t="s">
        <v>1581</v>
      </c>
    </row>
    <row r="142" customFormat="false" ht="19.5" hidden="false" customHeight="true" outlineLevel="0" collapsed="false">
      <c r="A142" s="27" t="s">
        <v>1741</v>
      </c>
      <c r="B142" s="27" t="s">
        <v>250</v>
      </c>
      <c r="C142" s="9" t="s">
        <v>1621</v>
      </c>
      <c r="D142" s="9" t="s">
        <v>219</v>
      </c>
      <c r="E142" s="27" t="s">
        <v>1510</v>
      </c>
      <c r="F142" s="27" t="s">
        <v>1334</v>
      </c>
      <c r="G142" s="11" t="n">
        <v>0.05</v>
      </c>
      <c r="H142" s="11" t="n">
        <v>0</v>
      </c>
      <c r="I142" s="31" t="n">
        <v>0.05</v>
      </c>
      <c r="J142" s="27" t="s">
        <v>1579</v>
      </c>
      <c r="K142" s="27" t="s">
        <v>86</v>
      </c>
      <c r="L142" s="27" t="s">
        <v>1580</v>
      </c>
      <c r="M142" s="23" t="s">
        <v>1497</v>
      </c>
      <c r="N142" s="9" t="s">
        <v>1581</v>
      </c>
    </row>
    <row r="143" customFormat="false" ht="19.5" hidden="false" customHeight="true" outlineLevel="0" collapsed="false">
      <c r="A143" s="25" t="s">
        <v>1742</v>
      </c>
      <c r="B143" s="25" t="s">
        <v>226</v>
      </c>
      <c r="C143" s="12" t="s">
        <v>1623</v>
      </c>
      <c r="D143" s="12" t="s">
        <v>219</v>
      </c>
      <c r="E143" s="25" t="s">
        <v>1510</v>
      </c>
      <c r="F143" s="25" t="s">
        <v>1334</v>
      </c>
      <c r="G143" s="14" t="n">
        <v>0</v>
      </c>
      <c r="H143" s="14" t="n">
        <v>0</v>
      </c>
      <c r="I143" s="32" t="n">
        <v>0</v>
      </c>
      <c r="J143" s="25" t="s">
        <v>1579</v>
      </c>
      <c r="K143" s="25" t="s">
        <v>86</v>
      </c>
      <c r="L143" s="25" t="s">
        <v>1580</v>
      </c>
      <c r="M143" s="22" t="s">
        <v>1497</v>
      </c>
      <c r="N143" s="12" t="s">
        <v>1581</v>
      </c>
    </row>
    <row r="144" customFormat="false" ht="19.5" hidden="false" customHeight="true" outlineLevel="0" collapsed="false">
      <c r="A144" s="27" t="s">
        <v>1743</v>
      </c>
      <c r="B144" s="27" t="s">
        <v>215</v>
      </c>
      <c r="C144" s="9" t="s">
        <v>1625</v>
      </c>
      <c r="D144" s="9" t="s">
        <v>219</v>
      </c>
      <c r="E144" s="27" t="s">
        <v>1510</v>
      </c>
      <c r="F144" s="27" t="s">
        <v>1334</v>
      </c>
      <c r="G144" s="11" t="n">
        <v>0.4</v>
      </c>
      <c r="H144" s="11" t="n">
        <v>0.4</v>
      </c>
      <c r="I144" s="31" t="n">
        <v>0</v>
      </c>
      <c r="J144" s="27" t="s">
        <v>1579</v>
      </c>
      <c r="K144" s="27" t="s">
        <v>86</v>
      </c>
      <c r="L144" s="27" t="s">
        <v>1580</v>
      </c>
      <c r="M144" s="23" t="s">
        <v>1497</v>
      </c>
      <c r="N144" s="9" t="s">
        <v>1581</v>
      </c>
    </row>
    <row r="145" customFormat="false" ht="19.5" hidden="false" customHeight="true" outlineLevel="0" collapsed="false">
      <c r="A145" s="25" t="s">
        <v>1744</v>
      </c>
      <c r="B145" s="25" t="s">
        <v>257</v>
      </c>
      <c r="C145" s="12" t="s">
        <v>1627</v>
      </c>
      <c r="D145" s="12" t="s">
        <v>219</v>
      </c>
      <c r="E145" s="25" t="s">
        <v>1510</v>
      </c>
      <c r="F145" s="25" t="s">
        <v>1334</v>
      </c>
      <c r="G145" s="14" t="n">
        <v>0</v>
      </c>
      <c r="H145" s="14" t="n">
        <v>0</v>
      </c>
      <c r="I145" s="32" t="n">
        <v>0</v>
      </c>
      <c r="J145" s="25" t="s">
        <v>1579</v>
      </c>
      <c r="K145" s="25" t="s">
        <v>86</v>
      </c>
      <c r="L145" s="25" t="s">
        <v>1580</v>
      </c>
      <c r="M145" s="22" t="s">
        <v>1497</v>
      </c>
      <c r="N145" s="12" t="s">
        <v>1581</v>
      </c>
    </row>
    <row r="146" customFormat="false" ht="19.5" hidden="false" customHeight="true" outlineLevel="0" collapsed="false">
      <c r="A146" s="27" t="s">
        <v>1745</v>
      </c>
      <c r="B146" s="27" t="s">
        <v>466</v>
      </c>
      <c r="C146" s="9" t="s">
        <v>1578</v>
      </c>
      <c r="D146" s="9" t="s">
        <v>462</v>
      </c>
      <c r="E146" s="27" t="s">
        <v>1532</v>
      </c>
      <c r="F146" s="27" t="s">
        <v>1334</v>
      </c>
      <c r="G146" s="11" t="n">
        <v>0</v>
      </c>
      <c r="H146" s="11" t="n">
        <v>0</v>
      </c>
      <c r="I146" s="31" t="n">
        <v>0</v>
      </c>
      <c r="J146" s="27" t="s">
        <v>1579</v>
      </c>
      <c r="K146" s="27" t="s">
        <v>86</v>
      </c>
      <c r="L146" s="27" t="s">
        <v>1580</v>
      </c>
      <c r="M146" s="23" t="s">
        <v>1517</v>
      </c>
      <c r="N146" s="9" t="s">
        <v>1581</v>
      </c>
    </row>
    <row r="147" customFormat="false" ht="19.5" hidden="false" customHeight="true" outlineLevel="0" collapsed="false">
      <c r="A147" s="25" t="s">
        <v>1746</v>
      </c>
      <c r="B147" s="25" t="s">
        <v>492</v>
      </c>
      <c r="C147" s="12" t="s">
        <v>1583</v>
      </c>
      <c r="D147" s="12" t="s">
        <v>462</v>
      </c>
      <c r="E147" s="25" t="s">
        <v>1532</v>
      </c>
      <c r="F147" s="25" t="s">
        <v>1334</v>
      </c>
      <c r="G147" s="14" t="n">
        <v>0</v>
      </c>
      <c r="H147" s="14" t="n">
        <v>0</v>
      </c>
      <c r="I147" s="32" t="n">
        <v>0</v>
      </c>
      <c r="J147" s="25" t="s">
        <v>1579</v>
      </c>
      <c r="K147" s="25" t="s">
        <v>86</v>
      </c>
      <c r="L147" s="25" t="s">
        <v>1580</v>
      </c>
      <c r="M147" s="22" t="s">
        <v>1517</v>
      </c>
      <c r="N147" s="12" t="s">
        <v>1581</v>
      </c>
    </row>
    <row r="148" customFormat="false" ht="19.5" hidden="false" customHeight="true" outlineLevel="0" collapsed="false">
      <c r="A148" s="27" t="s">
        <v>1747</v>
      </c>
      <c r="B148" s="27" t="s">
        <v>473</v>
      </c>
      <c r="C148" s="9" t="s">
        <v>1585</v>
      </c>
      <c r="D148" s="9" t="s">
        <v>462</v>
      </c>
      <c r="E148" s="27" t="s">
        <v>1532</v>
      </c>
      <c r="F148" s="27" t="s">
        <v>1334</v>
      </c>
      <c r="G148" s="11" t="n">
        <v>0</v>
      </c>
      <c r="H148" s="11" t="n">
        <v>0</v>
      </c>
      <c r="I148" s="31" t="n">
        <v>0</v>
      </c>
      <c r="J148" s="27" t="s">
        <v>1579</v>
      </c>
      <c r="K148" s="27" t="s">
        <v>86</v>
      </c>
      <c r="L148" s="27" t="s">
        <v>1580</v>
      </c>
      <c r="M148" s="23" t="s">
        <v>1517</v>
      </c>
      <c r="N148" s="9" t="s">
        <v>1581</v>
      </c>
    </row>
    <row r="149" customFormat="false" ht="19.5" hidden="false" customHeight="true" outlineLevel="0" collapsed="false">
      <c r="A149" s="25" t="s">
        <v>1748</v>
      </c>
      <c r="B149" s="25" t="s">
        <v>459</v>
      </c>
      <c r="C149" s="12" t="s">
        <v>1587</v>
      </c>
      <c r="D149" s="12" t="s">
        <v>462</v>
      </c>
      <c r="E149" s="25" t="s">
        <v>1532</v>
      </c>
      <c r="F149" s="25" t="s">
        <v>1334</v>
      </c>
      <c r="G149" s="14" t="n">
        <v>0</v>
      </c>
      <c r="H149" s="14" t="n">
        <v>0</v>
      </c>
      <c r="I149" s="32" t="n">
        <v>0</v>
      </c>
      <c r="J149" s="25" t="s">
        <v>1579</v>
      </c>
      <c r="K149" s="25" t="s">
        <v>86</v>
      </c>
      <c r="L149" s="25" t="s">
        <v>1580</v>
      </c>
      <c r="M149" s="22" t="s">
        <v>1517</v>
      </c>
      <c r="N149" s="12" t="s">
        <v>1581</v>
      </c>
    </row>
    <row r="150" customFormat="false" ht="19.5" hidden="false" customHeight="true" outlineLevel="0" collapsed="false">
      <c r="A150" s="27" t="s">
        <v>1749</v>
      </c>
      <c r="B150" s="27" t="s">
        <v>486</v>
      </c>
      <c r="C150" s="9" t="s">
        <v>1589</v>
      </c>
      <c r="D150" s="9" t="s">
        <v>462</v>
      </c>
      <c r="E150" s="27" t="s">
        <v>1532</v>
      </c>
      <c r="F150" s="27" t="s">
        <v>1334</v>
      </c>
      <c r="G150" s="11" t="n">
        <v>0</v>
      </c>
      <c r="H150" s="11" t="n">
        <v>0</v>
      </c>
      <c r="I150" s="31" t="n">
        <v>0</v>
      </c>
      <c r="J150" s="27" t="s">
        <v>1579</v>
      </c>
      <c r="K150" s="27" t="s">
        <v>86</v>
      </c>
      <c r="L150" s="27" t="s">
        <v>1580</v>
      </c>
      <c r="M150" s="23" t="s">
        <v>1517</v>
      </c>
      <c r="N150" s="9" t="s">
        <v>1581</v>
      </c>
    </row>
    <row r="151" customFormat="false" ht="19.5" hidden="false" customHeight="true" outlineLevel="0" collapsed="false">
      <c r="A151" s="25" t="s">
        <v>1750</v>
      </c>
      <c r="B151" s="25" t="s">
        <v>479</v>
      </c>
      <c r="C151" s="12" t="s">
        <v>1591</v>
      </c>
      <c r="D151" s="12" t="s">
        <v>462</v>
      </c>
      <c r="E151" s="25" t="s">
        <v>1532</v>
      </c>
      <c r="F151" s="25" t="s">
        <v>1334</v>
      </c>
      <c r="G151" s="14" t="n">
        <v>0</v>
      </c>
      <c r="H151" s="14" t="n">
        <v>0</v>
      </c>
      <c r="I151" s="32" t="n">
        <v>0</v>
      </c>
      <c r="J151" s="25" t="s">
        <v>1579</v>
      </c>
      <c r="K151" s="25" t="s">
        <v>86</v>
      </c>
      <c r="L151" s="25" t="s">
        <v>1580</v>
      </c>
      <c r="M151" s="22" t="s">
        <v>1517</v>
      </c>
      <c r="N151" s="12" t="s">
        <v>1581</v>
      </c>
    </row>
    <row r="152" customFormat="false" ht="19.5" hidden="false" customHeight="true" outlineLevel="0" collapsed="false">
      <c r="A152" s="27" t="s">
        <v>1751</v>
      </c>
      <c r="B152" s="27" t="s">
        <v>233</v>
      </c>
      <c r="C152" s="9" t="s">
        <v>1593</v>
      </c>
      <c r="D152" s="9" t="s">
        <v>236</v>
      </c>
      <c r="E152" s="27" t="s">
        <v>1532</v>
      </c>
      <c r="F152" s="27" t="s">
        <v>1334</v>
      </c>
      <c r="G152" s="11" t="n">
        <v>0</v>
      </c>
      <c r="H152" s="11" t="n">
        <v>0</v>
      </c>
      <c r="I152" s="31" t="n">
        <v>0</v>
      </c>
      <c r="J152" s="27" t="s">
        <v>1579</v>
      </c>
      <c r="K152" s="27" t="s">
        <v>86</v>
      </c>
      <c r="L152" s="27" t="s">
        <v>1580</v>
      </c>
      <c r="M152" s="23" t="s">
        <v>1517</v>
      </c>
      <c r="N152" s="9" t="s">
        <v>1581</v>
      </c>
    </row>
    <row r="153" customFormat="false" ht="19.5" hidden="false" customHeight="true" outlineLevel="0" collapsed="false">
      <c r="A153" s="25" t="s">
        <v>1752</v>
      </c>
      <c r="B153" s="25" t="s">
        <v>448</v>
      </c>
      <c r="C153" s="12" t="s">
        <v>1595</v>
      </c>
      <c r="D153" s="12" t="s">
        <v>219</v>
      </c>
      <c r="E153" s="25" t="s">
        <v>1532</v>
      </c>
      <c r="F153" s="25" t="s">
        <v>1334</v>
      </c>
      <c r="G153" s="14" t="n">
        <v>0</v>
      </c>
      <c r="H153" s="29"/>
      <c r="I153" s="29"/>
      <c r="J153" s="25" t="s">
        <v>1579</v>
      </c>
      <c r="K153" s="25" t="s">
        <v>86</v>
      </c>
      <c r="L153" s="25" t="s">
        <v>1580</v>
      </c>
      <c r="M153" s="22" t="s">
        <v>1517</v>
      </c>
      <c r="N153" s="12" t="s">
        <v>1581</v>
      </c>
    </row>
    <row r="154" customFormat="false" ht="19.5" hidden="false" customHeight="true" outlineLevel="0" collapsed="false">
      <c r="A154" s="27" t="s">
        <v>1753</v>
      </c>
      <c r="B154" s="27" t="s">
        <v>455</v>
      </c>
      <c r="C154" s="9" t="s">
        <v>1597</v>
      </c>
      <c r="D154" s="9" t="s">
        <v>219</v>
      </c>
      <c r="E154" s="27" t="s">
        <v>1532</v>
      </c>
      <c r="F154" s="27" t="s">
        <v>1334</v>
      </c>
      <c r="G154" s="11" t="n">
        <v>0.3</v>
      </c>
      <c r="H154" s="30"/>
      <c r="I154" s="30"/>
      <c r="J154" s="27" t="s">
        <v>1579</v>
      </c>
      <c r="K154" s="27" t="s">
        <v>86</v>
      </c>
      <c r="L154" s="27" t="s">
        <v>1580</v>
      </c>
      <c r="M154" s="23" t="s">
        <v>1517</v>
      </c>
      <c r="N154" s="9" t="s">
        <v>1581</v>
      </c>
    </row>
    <row r="155" customFormat="false" ht="19.5" hidden="false" customHeight="true" outlineLevel="0" collapsed="false">
      <c r="A155" s="25" t="s">
        <v>1754</v>
      </c>
      <c r="B155" s="25" t="s">
        <v>439</v>
      </c>
      <c r="C155" s="12" t="s">
        <v>1599</v>
      </c>
      <c r="D155" s="12" t="s">
        <v>219</v>
      </c>
      <c r="E155" s="25" t="s">
        <v>1532</v>
      </c>
      <c r="F155" s="25" t="s">
        <v>1334</v>
      </c>
      <c r="G155" s="14" t="n">
        <v>0</v>
      </c>
      <c r="H155" s="29"/>
      <c r="I155" s="29"/>
      <c r="J155" s="25" t="s">
        <v>1579</v>
      </c>
      <c r="K155" s="25" t="s">
        <v>86</v>
      </c>
      <c r="L155" s="25" t="s">
        <v>1580</v>
      </c>
      <c r="M155" s="22" t="s">
        <v>1517</v>
      </c>
      <c r="N155" s="12" t="s">
        <v>1581</v>
      </c>
    </row>
    <row r="156" customFormat="false" ht="19.5" hidden="false" customHeight="true" outlineLevel="0" collapsed="false">
      <c r="A156" s="27" t="s">
        <v>1755</v>
      </c>
      <c r="B156" s="27" t="s">
        <v>426</v>
      </c>
      <c r="C156" s="9" t="s">
        <v>1601</v>
      </c>
      <c r="D156" s="9" t="s">
        <v>219</v>
      </c>
      <c r="E156" s="27" t="s">
        <v>1532</v>
      </c>
      <c r="F156" s="27" t="s">
        <v>1334</v>
      </c>
      <c r="G156" s="11" t="n">
        <v>0.07</v>
      </c>
      <c r="H156" s="11" t="n">
        <v>0.02</v>
      </c>
      <c r="I156" s="31" t="n">
        <v>0.05</v>
      </c>
      <c r="J156" s="27" t="s">
        <v>1579</v>
      </c>
      <c r="K156" s="27" t="s">
        <v>86</v>
      </c>
      <c r="L156" s="27" t="s">
        <v>1580</v>
      </c>
      <c r="M156" s="23" t="s">
        <v>1517</v>
      </c>
      <c r="N156" s="9" t="s">
        <v>1581</v>
      </c>
    </row>
    <row r="157" customFormat="false" ht="19.5" hidden="false" customHeight="true" outlineLevel="0" collapsed="false">
      <c r="A157" s="25" t="s">
        <v>1756</v>
      </c>
      <c r="B157" s="25" t="s">
        <v>385</v>
      </c>
      <c r="C157" s="12" t="s">
        <v>1603</v>
      </c>
      <c r="D157" s="12" t="s">
        <v>219</v>
      </c>
      <c r="E157" s="25" t="s">
        <v>1532</v>
      </c>
      <c r="F157" s="25" t="s">
        <v>1334</v>
      </c>
      <c r="G157" s="14" t="n">
        <v>0</v>
      </c>
      <c r="H157" s="14" t="n">
        <v>0</v>
      </c>
      <c r="I157" s="32" t="n">
        <v>0</v>
      </c>
      <c r="J157" s="25" t="s">
        <v>1579</v>
      </c>
      <c r="K157" s="25" t="s">
        <v>86</v>
      </c>
      <c r="L157" s="25" t="s">
        <v>1580</v>
      </c>
      <c r="M157" s="22" t="s">
        <v>1517</v>
      </c>
      <c r="N157" s="12" t="s">
        <v>1581</v>
      </c>
    </row>
    <row r="158" customFormat="false" ht="19.5" hidden="false" customHeight="true" outlineLevel="0" collapsed="false">
      <c r="A158" s="27" t="s">
        <v>1757</v>
      </c>
      <c r="B158" s="27" t="s">
        <v>392</v>
      </c>
      <c r="C158" s="9" t="s">
        <v>1605</v>
      </c>
      <c r="D158" s="9" t="s">
        <v>219</v>
      </c>
      <c r="E158" s="27" t="s">
        <v>1532</v>
      </c>
      <c r="F158" s="27" t="s">
        <v>1334</v>
      </c>
      <c r="G158" s="11" t="n">
        <v>0.1</v>
      </c>
      <c r="H158" s="11" t="n">
        <v>0.1</v>
      </c>
      <c r="I158" s="31" t="n">
        <v>0</v>
      </c>
      <c r="J158" s="27" t="s">
        <v>1579</v>
      </c>
      <c r="K158" s="27" t="s">
        <v>86</v>
      </c>
      <c r="L158" s="27" t="s">
        <v>1580</v>
      </c>
      <c r="M158" s="23" t="s">
        <v>1517</v>
      </c>
      <c r="N158" s="9" t="s">
        <v>1581</v>
      </c>
    </row>
    <row r="159" customFormat="false" ht="19.5" hidden="false" customHeight="true" outlineLevel="0" collapsed="false">
      <c r="A159" s="25" t="s">
        <v>1758</v>
      </c>
      <c r="B159" s="25" t="s">
        <v>399</v>
      </c>
      <c r="C159" s="12" t="s">
        <v>1607</v>
      </c>
      <c r="D159" s="12" t="s">
        <v>219</v>
      </c>
      <c r="E159" s="25" t="s">
        <v>1532</v>
      </c>
      <c r="F159" s="25" t="s">
        <v>1334</v>
      </c>
      <c r="G159" s="14" t="n">
        <v>0.1</v>
      </c>
      <c r="H159" s="14" t="n">
        <v>0.1</v>
      </c>
      <c r="I159" s="32" t="n">
        <v>0</v>
      </c>
      <c r="J159" s="25" t="s">
        <v>1579</v>
      </c>
      <c r="K159" s="25" t="s">
        <v>86</v>
      </c>
      <c r="L159" s="25" t="s">
        <v>1580</v>
      </c>
      <c r="M159" s="22" t="s">
        <v>1517</v>
      </c>
      <c r="N159" s="12" t="s">
        <v>1581</v>
      </c>
    </row>
    <row r="160" customFormat="false" ht="19.5" hidden="false" customHeight="true" outlineLevel="0" collapsed="false">
      <c r="A160" s="27" t="s">
        <v>1759</v>
      </c>
      <c r="B160" s="27" t="s">
        <v>433</v>
      </c>
      <c r="C160" s="9" t="s">
        <v>1609</v>
      </c>
      <c r="D160" s="9" t="s">
        <v>219</v>
      </c>
      <c r="E160" s="27" t="s">
        <v>1532</v>
      </c>
      <c r="F160" s="27" t="s">
        <v>1334</v>
      </c>
      <c r="G160" s="11" t="n">
        <v>0</v>
      </c>
      <c r="H160" s="11" t="n">
        <v>0</v>
      </c>
      <c r="I160" s="31" t="n">
        <v>0</v>
      </c>
      <c r="J160" s="27" t="s">
        <v>1579</v>
      </c>
      <c r="K160" s="27" t="s">
        <v>86</v>
      </c>
      <c r="L160" s="27" t="s">
        <v>1580</v>
      </c>
      <c r="M160" s="23" t="s">
        <v>1517</v>
      </c>
      <c r="N160" s="9" t="s">
        <v>1581</v>
      </c>
    </row>
    <row r="161" customFormat="false" ht="19.5" hidden="false" customHeight="true" outlineLevel="0" collapsed="false">
      <c r="A161" s="25" t="s">
        <v>1760</v>
      </c>
      <c r="B161" s="25" t="s">
        <v>405</v>
      </c>
      <c r="C161" s="12" t="s">
        <v>1611</v>
      </c>
      <c r="D161" s="12" t="s">
        <v>219</v>
      </c>
      <c r="E161" s="25" t="s">
        <v>1532</v>
      </c>
      <c r="F161" s="25" t="s">
        <v>1334</v>
      </c>
      <c r="G161" s="14" t="n">
        <v>0</v>
      </c>
      <c r="H161" s="14" t="n">
        <v>0</v>
      </c>
      <c r="I161" s="32" t="n">
        <v>0</v>
      </c>
      <c r="J161" s="25" t="s">
        <v>1579</v>
      </c>
      <c r="K161" s="25" t="s">
        <v>86</v>
      </c>
      <c r="L161" s="25" t="s">
        <v>1580</v>
      </c>
      <c r="M161" s="22" t="s">
        <v>1517</v>
      </c>
      <c r="N161" s="12" t="s">
        <v>1581</v>
      </c>
    </row>
    <row r="162" customFormat="false" ht="19.5" hidden="false" customHeight="true" outlineLevel="0" collapsed="false">
      <c r="A162" s="27" t="s">
        <v>1761</v>
      </c>
      <c r="B162" s="27" t="s">
        <v>411</v>
      </c>
      <c r="C162" s="9" t="s">
        <v>1613</v>
      </c>
      <c r="D162" s="9" t="s">
        <v>219</v>
      </c>
      <c r="E162" s="27" t="s">
        <v>1532</v>
      </c>
      <c r="F162" s="27" t="s">
        <v>1334</v>
      </c>
      <c r="G162" s="11" t="n">
        <v>0</v>
      </c>
      <c r="H162" s="11" t="n">
        <v>0</v>
      </c>
      <c r="I162" s="31" t="n">
        <v>0</v>
      </c>
      <c r="J162" s="27" t="s">
        <v>1579</v>
      </c>
      <c r="K162" s="27" t="s">
        <v>86</v>
      </c>
      <c r="L162" s="27" t="s">
        <v>1580</v>
      </c>
      <c r="M162" s="23" t="s">
        <v>1517</v>
      </c>
      <c r="N162" s="9" t="s">
        <v>1581</v>
      </c>
    </row>
    <row r="163" customFormat="false" ht="19.5" hidden="false" customHeight="true" outlineLevel="0" collapsed="false">
      <c r="A163" s="25" t="s">
        <v>1762</v>
      </c>
      <c r="B163" s="25" t="s">
        <v>416</v>
      </c>
      <c r="C163" s="12" t="s">
        <v>1615</v>
      </c>
      <c r="D163" s="12" t="s">
        <v>219</v>
      </c>
      <c r="E163" s="25" t="s">
        <v>1532</v>
      </c>
      <c r="F163" s="25" t="s">
        <v>1334</v>
      </c>
      <c r="G163" s="14" t="n">
        <v>0</v>
      </c>
      <c r="H163" s="14" t="n">
        <v>0</v>
      </c>
      <c r="I163" s="32" t="n">
        <v>0</v>
      </c>
      <c r="J163" s="25" t="s">
        <v>1579</v>
      </c>
      <c r="K163" s="25" t="s">
        <v>86</v>
      </c>
      <c r="L163" s="25" t="s">
        <v>1580</v>
      </c>
      <c r="M163" s="22" t="s">
        <v>1517</v>
      </c>
      <c r="N163" s="12" t="s">
        <v>1581</v>
      </c>
    </row>
    <row r="164" customFormat="false" ht="19.5" hidden="false" customHeight="true" outlineLevel="0" collapsed="false">
      <c r="A164" s="27" t="s">
        <v>1763</v>
      </c>
      <c r="B164" s="27" t="s">
        <v>377</v>
      </c>
      <c r="C164" s="9" t="s">
        <v>1617</v>
      </c>
      <c r="D164" s="9" t="s">
        <v>219</v>
      </c>
      <c r="E164" s="27" t="s">
        <v>1532</v>
      </c>
      <c r="F164" s="27" t="s">
        <v>1334</v>
      </c>
      <c r="G164" s="11" t="n">
        <v>0</v>
      </c>
      <c r="H164" s="11" t="n">
        <v>0</v>
      </c>
      <c r="I164" s="31" t="n">
        <v>0</v>
      </c>
      <c r="J164" s="27" t="s">
        <v>1579</v>
      </c>
      <c r="K164" s="27" t="s">
        <v>86</v>
      </c>
      <c r="L164" s="27" t="s">
        <v>1580</v>
      </c>
      <c r="M164" s="23" t="s">
        <v>1517</v>
      </c>
      <c r="N164" s="9" t="s">
        <v>1581</v>
      </c>
    </row>
    <row r="165" customFormat="false" ht="19.5" hidden="false" customHeight="true" outlineLevel="0" collapsed="false">
      <c r="A165" s="25" t="s">
        <v>1764</v>
      </c>
      <c r="B165" s="25" t="s">
        <v>420</v>
      </c>
      <c r="C165" s="12" t="s">
        <v>1619</v>
      </c>
      <c r="D165" s="12" t="s">
        <v>219</v>
      </c>
      <c r="E165" s="25" t="s">
        <v>1532</v>
      </c>
      <c r="F165" s="25" t="s">
        <v>1334</v>
      </c>
      <c r="G165" s="14" t="n">
        <v>0.1</v>
      </c>
      <c r="H165" s="14" t="n">
        <v>0.1</v>
      </c>
      <c r="I165" s="32" t="n">
        <v>0</v>
      </c>
      <c r="J165" s="25" t="s">
        <v>1579</v>
      </c>
      <c r="K165" s="25" t="s">
        <v>86</v>
      </c>
      <c r="L165" s="25" t="s">
        <v>1580</v>
      </c>
      <c r="M165" s="22" t="s">
        <v>1517</v>
      </c>
      <c r="N165" s="12" t="s">
        <v>1581</v>
      </c>
    </row>
    <row r="166" customFormat="false" ht="19.5" hidden="false" customHeight="true" outlineLevel="0" collapsed="false">
      <c r="A166" s="27" t="s">
        <v>1765</v>
      </c>
      <c r="B166" s="27" t="s">
        <v>250</v>
      </c>
      <c r="C166" s="9" t="s">
        <v>1621</v>
      </c>
      <c r="D166" s="9" t="s">
        <v>219</v>
      </c>
      <c r="E166" s="27" t="s">
        <v>1532</v>
      </c>
      <c r="F166" s="27" t="s">
        <v>1334</v>
      </c>
      <c r="G166" s="11" t="n">
        <v>0.05</v>
      </c>
      <c r="H166" s="11" t="n">
        <v>0</v>
      </c>
      <c r="I166" s="31" t="n">
        <v>0.05</v>
      </c>
      <c r="J166" s="27" t="s">
        <v>1579</v>
      </c>
      <c r="K166" s="27" t="s">
        <v>86</v>
      </c>
      <c r="L166" s="27" t="s">
        <v>1580</v>
      </c>
      <c r="M166" s="23" t="s">
        <v>1517</v>
      </c>
      <c r="N166" s="9" t="s">
        <v>1581</v>
      </c>
    </row>
    <row r="167" customFormat="false" ht="19.5" hidden="false" customHeight="true" outlineLevel="0" collapsed="false">
      <c r="A167" s="25" t="s">
        <v>1766</v>
      </c>
      <c r="B167" s="25" t="s">
        <v>226</v>
      </c>
      <c r="C167" s="12" t="s">
        <v>1623</v>
      </c>
      <c r="D167" s="12" t="s">
        <v>219</v>
      </c>
      <c r="E167" s="25" t="s">
        <v>1532</v>
      </c>
      <c r="F167" s="25" t="s">
        <v>1334</v>
      </c>
      <c r="G167" s="14" t="n">
        <v>0</v>
      </c>
      <c r="H167" s="14" t="n">
        <v>0</v>
      </c>
      <c r="I167" s="32" t="n">
        <v>0</v>
      </c>
      <c r="J167" s="25" t="s">
        <v>1579</v>
      </c>
      <c r="K167" s="25" t="s">
        <v>86</v>
      </c>
      <c r="L167" s="25" t="s">
        <v>1580</v>
      </c>
      <c r="M167" s="22" t="s">
        <v>1517</v>
      </c>
      <c r="N167" s="12" t="s">
        <v>1581</v>
      </c>
    </row>
    <row r="168" customFormat="false" ht="19.5" hidden="false" customHeight="true" outlineLevel="0" collapsed="false">
      <c r="A168" s="27" t="s">
        <v>1767</v>
      </c>
      <c r="B168" s="27" t="s">
        <v>215</v>
      </c>
      <c r="C168" s="9" t="s">
        <v>1625</v>
      </c>
      <c r="D168" s="9" t="s">
        <v>219</v>
      </c>
      <c r="E168" s="27" t="s">
        <v>1532</v>
      </c>
      <c r="F168" s="27" t="s">
        <v>1334</v>
      </c>
      <c r="G168" s="11" t="n">
        <v>0.4</v>
      </c>
      <c r="H168" s="11" t="n">
        <v>0.4</v>
      </c>
      <c r="I168" s="31" t="n">
        <v>0</v>
      </c>
      <c r="J168" s="27" t="s">
        <v>1579</v>
      </c>
      <c r="K168" s="27" t="s">
        <v>86</v>
      </c>
      <c r="L168" s="27" t="s">
        <v>1580</v>
      </c>
      <c r="M168" s="23" t="s">
        <v>1517</v>
      </c>
      <c r="N168" s="9" t="s">
        <v>1581</v>
      </c>
    </row>
    <row r="169" customFormat="false" ht="19.5" hidden="false" customHeight="true" outlineLevel="0" collapsed="false">
      <c r="A169" s="25" t="s">
        <v>1768</v>
      </c>
      <c r="B169" s="25" t="s">
        <v>257</v>
      </c>
      <c r="C169" s="12" t="s">
        <v>1627</v>
      </c>
      <c r="D169" s="12" t="s">
        <v>219</v>
      </c>
      <c r="E169" s="25" t="s">
        <v>1532</v>
      </c>
      <c r="F169" s="25" t="s">
        <v>1334</v>
      </c>
      <c r="G169" s="14" t="n">
        <v>0</v>
      </c>
      <c r="H169" s="14" t="n">
        <v>0</v>
      </c>
      <c r="I169" s="32" t="n">
        <v>0</v>
      </c>
      <c r="J169" s="25" t="s">
        <v>1579</v>
      </c>
      <c r="K169" s="25" t="s">
        <v>86</v>
      </c>
      <c r="L169" s="25" t="s">
        <v>1580</v>
      </c>
      <c r="M169" s="22" t="s">
        <v>1517</v>
      </c>
      <c r="N169" s="12" t="s">
        <v>1581</v>
      </c>
    </row>
    <row r="170" customFormat="false" ht="19.5" hidden="false" customHeight="true" outlineLevel="0" collapsed="false">
      <c r="A170" s="27" t="s">
        <v>1769</v>
      </c>
      <c r="B170" s="27" t="s">
        <v>466</v>
      </c>
      <c r="C170" s="9" t="s">
        <v>1578</v>
      </c>
      <c r="D170" s="9" t="s">
        <v>462</v>
      </c>
      <c r="E170" s="27" t="s">
        <v>1555</v>
      </c>
      <c r="F170" s="27" t="s">
        <v>1334</v>
      </c>
      <c r="G170" s="11" t="n">
        <v>0</v>
      </c>
      <c r="H170" s="11" t="n">
        <v>0</v>
      </c>
      <c r="I170" s="31" t="n">
        <v>0</v>
      </c>
      <c r="J170" s="27" t="s">
        <v>1579</v>
      </c>
      <c r="K170" s="27" t="s">
        <v>86</v>
      </c>
      <c r="L170" s="27" t="s">
        <v>1580</v>
      </c>
      <c r="M170" s="23" t="s">
        <v>93</v>
      </c>
      <c r="N170" s="9" t="s">
        <v>1581</v>
      </c>
    </row>
    <row r="171" customFormat="false" ht="19.5" hidden="false" customHeight="true" outlineLevel="0" collapsed="false">
      <c r="A171" s="25" t="s">
        <v>1770</v>
      </c>
      <c r="B171" s="25" t="s">
        <v>492</v>
      </c>
      <c r="C171" s="12" t="s">
        <v>1583</v>
      </c>
      <c r="D171" s="12" t="s">
        <v>462</v>
      </c>
      <c r="E171" s="25" t="s">
        <v>1555</v>
      </c>
      <c r="F171" s="25" t="s">
        <v>1334</v>
      </c>
      <c r="G171" s="14" t="n">
        <v>0</v>
      </c>
      <c r="H171" s="14" t="n">
        <v>0</v>
      </c>
      <c r="I171" s="32" t="n">
        <v>0</v>
      </c>
      <c r="J171" s="25" t="s">
        <v>1579</v>
      </c>
      <c r="K171" s="25" t="s">
        <v>86</v>
      </c>
      <c r="L171" s="25" t="s">
        <v>1580</v>
      </c>
      <c r="M171" s="22" t="s">
        <v>93</v>
      </c>
      <c r="N171" s="12" t="s">
        <v>1581</v>
      </c>
    </row>
    <row r="172" customFormat="false" ht="19.5" hidden="false" customHeight="true" outlineLevel="0" collapsed="false">
      <c r="A172" s="27" t="s">
        <v>1771</v>
      </c>
      <c r="B172" s="27" t="s">
        <v>473</v>
      </c>
      <c r="C172" s="9" t="s">
        <v>1585</v>
      </c>
      <c r="D172" s="9" t="s">
        <v>462</v>
      </c>
      <c r="E172" s="27" t="s">
        <v>1555</v>
      </c>
      <c r="F172" s="27" t="s">
        <v>1334</v>
      </c>
      <c r="G172" s="11" t="n">
        <v>0</v>
      </c>
      <c r="H172" s="11" t="n">
        <v>0</v>
      </c>
      <c r="I172" s="31" t="n">
        <v>0</v>
      </c>
      <c r="J172" s="27" t="s">
        <v>1579</v>
      </c>
      <c r="K172" s="27" t="s">
        <v>86</v>
      </c>
      <c r="L172" s="27" t="s">
        <v>1580</v>
      </c>
      <c r="M172" s="23" t="s">
        <v>93</v>
      </c>
      <c r="N172" s="9" t="s">
        <v>1581</v>
      </c>
    </row>
    <row r="173" customFormat="false" ht="19.5" hidden="false" customHeight="true" outlineLevel="0" collapsed="false">
      <c r="A173" s="25" t="s">
        <v>1772</v>
      </c>
      <c r="B173" s="25" t="s">
        <v>459</v>
      </c>
      <c r="C173" s="12" t="s">
        <v>1587</v>
      </c>
      <c r="D173" s="12" t="s">
        <v>462</v>
      </c>
      <c r="E173" s="25" t="s">
        <v>1555</v>
      </c>
      <c r="F173" s="25" t="s">
        <v>1334</v>
      </c>
      <c r="G173" s="14" t="n">
        <v>0</v>
      </c>
      <c r="H173" s="14" t="n">
        <v>0</v>
      </c>
      <c r="I173" s="32" t="n">
        <v>0</v>
      </c>
      <c r="J173" s="25" t="s">
        <v>1579</v>
      </c>
      <c r="K173" s="25" t="s">
        <v>86</v>
      </c>
      <c r="L173" s="25" t="s">
        <v>1580</v>
      </c>
      <c r="M173" s="22" t="s">
        <v>93</v>
      </c>
      <c r="N173" s="12" t="s">
        <v>1581</v>
      </c>
    </row>
    <row r="174" customFormat="false" ht="19.5" hidden="false" customHeight="true" outlineLevel="0" collapsed="false">
      <c r="A174" s="27" t="s">
        <v>1773</v>
      </c>
      <c r="B174" s="27" t="s">
        <v>486</v>
      </c>
      <c r="C174" s="9" t="s">
        <v>1589</v>
      </c>
      <c r="D174" s="9" t="s">
        <v>462</v>
      </c>
      <c r="E174" s="27" t="s">
        <v>1555</v>
      </c>
      <c r="F174" s="27" t="s">
        <v>1334</v>
      </c>
      <c r="G174" s="11" t="n">
        <v>0</v>
      </c>
      <c r="H174" s="11" t="n">
        <v>0</v>
      </c>
      <c r="I174" s="31" t="n">
        <v>0</v>
      </c>
      <c r="J174" s="27" t="s">
        <v>1579</v>
      </c>
      <c r="K174" s="27" t="s">
        <v>86</v>
      </c>
      <c r="L174" s="27" t="s">
        <v>1580</v>
      </c>
      <c r="M174" s="23" t="s">
        <v>93</v>
      </c>
      <c r="N174" s="9" t="s">
        <v>1581</v>
      </c>
    </row>
    <row r="175" customFormat="false" ht="19.5" hidden="false" customHeight="true" outlineLevel="0" collapsed="false">
      <c r="A175" s="25" t="s">
        <v>1774</v>
      </c>
      <c r="B175" s="25" t="s">
        <v>479</v>
      </c>
      <c r="C175" s="12" t="s">
        <v>1591</v>
      </c>
      <c r="D175" s="12" t="s">
        <v>462</v>
      </c>
      <c r="E175" s="25" t="s">
        <v>1555</v>
      </c>
      <c r="F175" s="25" t="s">
        <v>1334</v>
      </c>
      <c r="G175" s="14" t="n">
        <v>0</v>
      </c>
      <c r="H175" s="14" t="n">
        <v>0</v>
      </c>
      <c r="I175" s="32" t="n">
        <v>0</v>
      </c>
      <c r="J175" s="25" t="s">
        <v>1579</v>
      </c>
      <c r="K175" s="25" t="s">
        <v>86</v>
      </c>
      <c r="L175" s="25" t="s">
        <v>1580</v>
      </c>
      <c r="M175" s="22" t="s">
        <v>93</v>
      </c>
      <c r="N175" s="12" t="s">
        <v>1581</v>
      </c>
    </row>
    <row r="176" customFormat="false" ht="19.5" hidden="false" customHeight="true" outlineLevel="0" collapsed="false">
      <c r="A176" s="27" t="s">
        <v>1775</v>
      </c>
      <c r="B176" s="27" t="s">
        <v>233</v>
      </c>
      <c r="C176" s="9" t="s">
        <v>1593</v>
      </c>
      <c r="D176" s="9" t="s">
        <v>236</v>
      </c>
      <c r="E176" s="27" t="s">
        <v>1555</v>
      </c>
      <c r="F176" s="27" t="s">
        <v>1334</v>
      </c>
      <c r="G176" s="11" t="n">
        <v>0</v>
      </c>
      <c r="H176" s="11" t="n">
        <v>0</v>
      </c>
      <c r="I176" s="31" t="n">
        <v>0</v>
      </c>
      <c r="J176" s="27" t="s">
        <v>1579</v>
      </c>
      <c r="K176" s="27" t="s">
        <v>86</v>
      </c>
      <c r="L176" s="27" t="s">
        <v>1580</v>
      </c>
      <c r="M176" s="23" t="s">
        <v>93</v>
      </c>
      <c r="N176" s="9" t="s">
        <v>1581</v>
      </c>
    </row>
    <row r="177" customFormat="false" ht="19.5" hidden="false" customHeight="true" outlineLevel="0" collapsed="false">
      <c r="A177" s="25" t="s">
        <v>1776</v>
      </c>
      <c r="B177" s="25" t="s">
        <v>448</v>
      </c>
      <c r="C177" s="12" t="s">
        <v>1595</v>
      </c>
      <c r="D177" s="12" t="s">
        <v>219</v>
      </c>
      <c r="E177" s="25" t="s">
        <v>1555</v>
      </c>
      <c r="F177" s="25" t="s">
        <v>1334</v>
      </c>
      <c r="G177" s="14" t="n">
        <v>0</v>
      </c>
      <c r="H177" s="29"/>
      <c r="I177" s="29"/>
      <c r="J177" s="25" t="s">
        <v>1579</v>
      </c>
      <c r="K177" s="25" t="s">
        <v>86</v>
      </c>
      <c r="L177" s="25" t="s">
        <v>1580</v>
      </c>
      <c r="M177" s="22" t="s">
        <v>93</v>
      </c>
      <c r="N177" s="12" t="s">
        <v>1581</v>
      </c>
    </row>
    <row r="178" customFormat="false" ht="19.5" hidden="false" customHeight="true" outlineLevel="0" collapsed="false">
      <c r="A178" s="27" t="s">
        <v>1777</v>
      </c>
      <c r="B178" s="27" t="s">
        <v>455</v>
      </c>
      <c r="C178" s="9" t="s">
        <v>1597</v>
      </c>
      <c r="D178" s="9" t="s">
        <v>219</v>
      </c>
      <c r="E178" s="27" t="s">
        <v>1555</v>
      </c>
      <c r="F178" s="27" t="s">
        <v>1334</v>
      </c>
      <c r="G178" s="11" t="n">
        <v>0.3</v>
      </c>
      <c r="H178" s="30"/>
      <c r="I178" s="30"/>
      <c r="J178" s="27" t="s">
        <v>1579</v>
      </c>
      <c r="K178" s="27" t="s">
        <v>86</v>
      </c>
      <c r="L178" s="27" t="s">
        <v>1580</v>
      </c>
      <c r="M178" s="23" t="s">
        <v>93</v>
      </c>
      <c r="N178" s="9" t="s">
        <v>1581</v>
      </c>
    </row>
    <row r="179" customFormat="false" ht="19.5" hidden="false" customHeight="true" outlineLevel="0" collapsed="false">
      <c r="A179" s="25" t="s">
        <v>1778</v>
      </c>
      <c r="B179" s="25" t="s">
        <v>439</v>
      </c>
      <c r="C179" s="12" t="s">
        <v>1599</v>
      </c>
      <c r="D179" s="12" t="s">
        <v>219</v>
      </c>
      <c r="E179" s="25" t="s">
        <v>1555</v>
      </c>
      <c r="F179" s="25" t="s">
        <v>1334</v>
      </c>
      <c r="G179" s="14" t="n">
        <v>0</v>
      </c>
      <c r="H179" s="29"/>
      <c r="I179" s="29"/>
      <c r="J179" s="25" t="s">
        <v>1579</v>
      </c>
      <c r="K179" s="25" t="s">
        <v>86</v>
      </c>
      <c r="L179" s="25" t="s">
        <v>1580</v>
      </c>
      <c r="M179" s="22" t="s">
        <v>93</v>
      </c>
      <c r="N179" s="12" t="s">
        <v>1581</v>
      </c>
    </row>
    <row r="180" customFormat="false" ht="19.5" hidden="false" customHeight="true" outlineLevel="0" collapsed="false">
      <c r="A180" s="27" t="s">
        <v>1779</v>
      </c>
      <c r="B180" s="27" t="s">
        <v>426</v>
      </c>
      <c r="C180" s="9" t="s">
        <v>1601</v>
      </c>
      <c r="D180" s="9" t="s">
        <v>219</v>
      </c>
      <c r="E180" s="27" t="s">
        <v>1555</v>
      </c>
      <c r="F180" s="27" t="s">
        <v>1334</v>
      </c>
      <c r="G180" s="11" t="n">
        <v>0.06</v>
      </c>
      <c r="H180" s="11" t="n">
        <v>0.02</v>
      </c>
      <c r="I180" s="31" t="n">
        <v>0.04</v>
      </c>
      <c r="J180" s="27" t="s">
        <v>1579</v>
      </c>
      <c r="K180" s="27" t="s">
        <v>86</v>
      </c>
      <c r="L180" s="27" t="s">
        <v>1580</v>
      </c>
      <c r="M180" s="23" t="s">
        <v>93</v>
      </c>
      <c r="N180" s="9" t="s">
        <v>1581</v>
      </c>
    </row>
    <row r="181" customFormat="false" ht="19.5" hidden="false" customHeight="true" outlineLevel="0" collapsed="false">
      <c r="A181" s="25" t="s">
        <v>1780</v>
      </c>
      <c r="B181" s="25" t="s">
        <v>385</v>
      </c>
      <c r="C181" s="12" t="s">
        <v>1603</v>
      </c>
      <c r="D181" s="12" t="s">
        <v>219</v>
      </c>
      <c r="E181" s="25" t="s">
        <v>1555</v>
      </c>
      <c r="F181" s="25" t="s">
        <v>1334</v>
      </c>
      <c r="G181" s="14" t="n">
        <v>0</v>
      </c>
      <c r="H181" s="14" t="n">
        <v>0</v>
      </c>
      <c r="I181" s="32" t="n">
        <v>0</v>
      </c>
      <c r="J181" s="25" t="s">
        <v>1579</v>
      </c>
      <c r="K181" s="25" t="s">
        <v>86</v>
      </c>
      <c r="L181" s="25" t="s">
        <v>1580</v>
      </c>
      <c r="M181" s="22" t="s">
        <v>93</v>
      </c>
      <c r="N181" s="12" t="s">
        <v>1581</v>
      </c>
    </row>
    <row r="182" customFormat="false" ht="19.5" hidden="false" customHeight="true" outlineLevel="0" collapsed="false">
      <c r="A182" s="27" t="s">
        <v>1781</v>
      </c>
      <c r="B182" s="27" t="s">
        <v>392</v>
      </c>
      <c r="C182" s="9" t="s">
        <v>1605</v>
      </c>
      <c r="D182" s="9" t="s">
        <v>219</v>
      </c>
      <c r="E182" s="27" t="s">
        <v>1555</v>
      </c>
      <c r="F182" s="27" t="s">
        <v>1334</v>
      </c>
      <c r="G182" s="11" t="n">
        <v>0.1</v>
      </c>
      <c r="H182" s="11" t="n">
        <v>0.1</v>
      </c>
      <c r="I182" s="31" t="n">
        <v>0</v>
      </c>
      <c r="J182" s="27" t="s">
        <v>1579</v>
      </c>
      <c r="K182" s="27" t="s">
        <v>86</v>
      </c>
      <c r="L182" s="27" t="s">
        <v>1580</v>
      </c>
      <c r="M182" s="23" t="s">
        <v>93</v>
      </c>
      <c r="N182" s="9" t="s">
        <v>1581</v>
      </c>
    </row>
    <row r="183" customFormat="false" ht="19.5" hidden="false" customHeight="true" outlineLevel="0" collapsed="false">
      <c r="A183" s="25" t="s">
        <v>1782</v>
      </c>
      <c r="B183" s="25" t="s">
        <v>399</v>
      </c>
      <c r="C183" s="12" t="s">
        <v>1607</v>
      </c>
      <c r="D183" s="12" t="s">
        <v>219</v>
      </c>
      <c r="E183" s="25" t="s">
        <v>1555</v>
      </c>
      <c r="F183" s="25" t="s">
        <v>1334</v>
      </c>
      <c r="G183" s="14" t="n">
        <v>0.1</v>
      </c>
      <c r="H183" s="14" t="n">
        <v>0.1</v>
      </c>
      <c r="I183" s="32" t="n">
        <v>0</v>
      </c>
      <c r="J183" s="25" t="s">
        <v>1579</v>
      </c>
      <c r="K183" s="25" t="s">
        <v>86</v>
      </c>
      <c r="L183" s="25" t="s">
        <v>1580</v>
      </c>
      <c r="M183" s="22" t="s">
        <v>93</v>
      </c>
      <c r="N183" s="12" t="s">
        <v>1581</v>
      </c>
    </row>
    <row r="184" customFormat="false" ht="19.5" hidden="false" customHeight="true" outlineLevel="0" collapsed="false">
      <c r="A184" s="27" t="s">
        <v>1783</v>
      </c>
      <c r="B184" s="27" t="s">
        <v>433</v>
      </c>
      <c r="C184" s="9" t="s">
        <v>1609</v>
      </c>
      <c r="D184" s="9" t="s">
        <v>219</v>
      </c>
      <c r="E184" s="27" t="s">
        <v>1555</v>
      </c>
      <c r="F184" s="27" t="s">
        <v>1334</v>
      </c>
      <c r="G184" s="11" t="n">
        <v>0</v>
      </c>
      <c r="H184" s="11" t="n">
        <v>0</v>
      </c>
      <c r="I184" s="31" t="n">
        <v>0</v>
      </c>
      <c r="J184" s="27" t="s">
        <v>1579</v>
      </c>
      <c r="K184" s="27" t="s">
        <v>86</v>
      </c>
      <c r="L184" s="27" t="s">
        <v>1580</v>
      </c>
      <c r="M184" s="23" t="s">
        <v>93</v>
      </c>
      <c r="N184" s="9" t="s">
        <v>1581</v>
      </c>
    </row>
    <row r="185" customFormat="false" ht="19.5" hidden="false" customHeight="true" outlineLevel="0" collapsed="false">
      <c r="A185" s="25" t="s">
        <v>1784</v>
      </c>
      <c r="B185" s="25" t="s">
        <v>405</v>
      </c>
      <c r="C185" s="12" t="s">
        <v>1611</v>
      </c>
      <c r="D185" s="12" t="s">
        <v>219</v>
      </c>
      <c r="E185" s="25" t="s">
        <v>1555</v>
      </c>
      <c r="F185" s="25" t="s">
        <v>1334</v>
      </c>
      <c r="G185" s="14" t="n">
        <v>0</v>
      </c>
      <c r="H185" s="14" t="n">
        <v>0</v>
      </c>
      <c r="I185" s="32" t="n">
        <v>0</v>
      </c>
      <c r="J185" s="25" t="s">
        <v>1579</v>
      </c>
      <c r="K185" s="25" t="s">
        <v>86</v>
      </c>
      <c r="L185" s="25" t="s">
        <v>1580</v>
      </c>
      <c r="M185" s="22" t="s">
        <v>93</v>
      </c>
      <c r="N185" s="12" t="s">
        <v>1581</v>
      </c>
    </row>
    <row r="186" customFormat="false" ht="19.5" hidden="false" customHeight="true" outlineLevel="0" collapsed="false">
      <c r="A186" s="27" t="s">
        <v>1785</v>
      </c>
      <c r="B186" s="27" t="s">
        <v>411</v>
      </c>
      <c r="C186" s="9" t="s">
        <v>1613</v>
      </c>
      <c r="D186" s="9" t="s">
        <v>219</v>
      </c>
      <c r="E186" s="27" t="s">
        <v>1555</v>
      </c>
      <c r="F186" s="27" t="s">
        <v>1334</v>
      </c>
      <c r="G186" s="11" t="n">
        <v>0</v>
      </c>
      <c r="H186" s="11" t="n">
        <v>0</v>
      </c>
      <c r="I186" s="31" t="n">
        <v>0</v>
      </c>
      <c r="J186" s="27" t="s">
        <v>1579</v>
      </c>
      <c r="K186" s="27" t="s">
        <v>86</v>
      </c>
      <c r="L186" s="27" t="s">
        <v>1580</v>
      </c>
      <c r="M186" s="23" t="s">
        <v>93</v>
      </c>
      <c r="N186" s="9" t="s">
        <v>1581</v>
      </c>
    </row>
    <row r="187" customFormat="false" ht="19.5" hidden="false" customHeight="true" outlineLevel="0" collapsed="false">
      <c r="A187" s="25" t="s">
        <v>1786</v>
      </c>
      <c r="B187" s="25" t="s">
        <v>416</v>
      </c>
      <c r="C187" s="12" t="s">
        <v>1615</v>
      </c>
      <c r="D187" s="12" t="s">
        <v>219</v>
      </c>
      <c r="E187" s="25" t="s">
        <v>1555</v>
      </c>
      <c r="F187" s="25" t="s">
        <v>1334</v>
      </c>
      <c r="G187" s="14" t="n">
        <v>0</v>
      </c>
      <c r="H187" s="14" t="n">
        <v>0</v>
      </c>
      <c r="I187" s="32" t="n">
        <v>0</v>
      </c>
      <c r="J187" s="25" t="s">
        <v>1579</v>
      </c>
      <c r="K187" s="25" t="s">
        <v>86</v>
      </c>
      <c r="L187" s="25" t="s">
        <v>1580</v>
      </c>
      <c r="M187" s="22" t="s">
        <v>93</v>
      </c>
      <c r="N187" s="12" t="s">
        <v>1581</v>
      </c>
    </row>
    <row r="188" customFormat="false" ht="19.5" hidden="false" customHeight="true" outlineLevel="0" collapsed="false">
      <c r="A188" s="27" t="s">
        <v>1787</v>
      </c>
      <c r="B188" s="27" t="s">
        <v>377</v>
      </c>
      <c r="C188" s="9" t="s">
        <v>1617</v>
      </c>
      <c r="D188" s="9" t="s">
        <v>219</v>
      </c>
      <c r="E188" s="27" t="s">
        <v>1555</v>
      </c>
      <c r="F188" s="27" t="s">
        <v>1334</v>
      </c>
      <c r="G188" s="11" t="n">
        <v>0</v>
      </c>
      <c r="H188" s="11" t="n">
        <v>0</v>
      </c>
      <c r="I188" s="31" t="n">
        <v>0</v>
      </c>
      <c r="J188" s="27" t="s">
        <v>1579</v>
      </c>
      <c r="K188" s="27" t="s">
        <v>86</v>
      </c>
      <c r="L188" s="27" t="s">
        <v>1580</v>
      </c>
      <c r="M188" s="23" t="s">
        <v>93</v>
      </c>
      <c r="N188" s="9" t="s">
        <v>1581</v>
      </c>
    </row>
    <row r="189" customFormat="false" ht="19.5" hidden="false" customHeight="true" outlineLevel="0" collapsed="false">
      <c r="A189" s="25" t="s">
        <v>1788</v>
      </c>
      <c r="B189" s="25" t="s">
        <v>420</v>
      </c>
      <c r="C189" s="12" t="s">
        <v>1619</v>
      </c>
      <c r="D189" s="12" t="s">
        <v>219</v>
      </c>
      <c r="E189" s="25" t="s">
        <v>1555</v>
      </c>
      <c r="F189" s="25" t="s">
        <v>1334</v>
      </c>
      <c r="G189" s="14" t="n">
        <v>0.1</v>
      </c>
      <c r="H189" s="14" t="n">
        <v>0.1</v>
      </c>
      <c r="I189" s="32" t="n">
        <v>0</v>
      </c>
      <c r="J189" s="25" t="s">
        <v>1579</v>
      </c>
      <c r="K189" s="25" t="s">
        <v>86</v>
      </c>
      <c r="L189" s="25" t="s">
        <v>1580</v>
      </c>
      <c r="M189" s="22" t="s">
        <v>93</v>
      </c>
      <c r="N189" s="12" t="s">
        <v>1581</v>
      </c>
    </row>
    <row r="190" customFormat="false" ht="19.5" hidden="false" customHeight="true" outlineLevel="0" collapsed="false">
      <c r="A190" s="27" t="s">
        <v>1789</v>
      </c>
      <c r="B190" s="27" t="s">
        <v>250</v>
      </c>
      <c r="C190" s="9" t="s">
        <v>1621</v>
      </c>
      <c r="D190" s="9" t="s">
        <v>219</v>
      </c>
      <c r="E190" s="27" t="s">
        <v>1555</v>
      </c>
      <c r="F190" s="27" t="s">
        <v>1334</v>
      </c>
      <c r="G190" s="11" t="n">
        <v>0.05</v>
      </c>
      <c r="H190" s="11" t="n">
        <v>0</v>
      </c>
      <c r="I190" s="31" t="n">
        <v>0.05</v>
      </c>
      <c r="J190" s="27" t="s">
        <v>1579</v>
      </c>
      <c r="K190" s="27" t="s">
        <v>86</v>
      </c>
      <c r="L190" s="27" t="s">
        <v>1580</v>
      </c>
      <c r="M190" s="23" t="s">
        <v>93</v>
      </c>
      <c r="N190" s="9" t="s">
        <v>1581</v>
      </c>
    </row>
    <row r="191" customFormat="false" ht="19.5" hidden="false" customHeight="true" outlineLevel="0" collapsed="false">
      <c r="A191" s="25" t="s">
        <v>1790</v>
      </c>
      <c r="B191" s="25" t="s">
        <v>226</v>
      </c>
      <c r="C191" s="12" t="s">
        <v>1623</v>
      </c>
      <c r="D191" s="12" t="s">
        <v>219</v>
      </c>
      <c r="E191" s="25" t="s">
        <v>1555</v>
      </c>
      <c r="F191" s="25" t="s">
        <v>1334</v>
      </c>
      <c r="G191" s="14" t="n">
        <v>0</v>
      </c>
      <c r="H191" s="14" t="n">
        <v>0</v>
      </c>
      <c r="I191" s="32" t="n">
        <v>0</v>
      </c>
      <c r="J191" s="25" t="s">
        <v>1579</v>
      </c>
      <c r="K191" s="25" t="s">
        <v>86</v>
      </c>
      <c r="L191" s="25" t="s">
        <v>1580</v>
      </c>
      <c r="M191" s="22" t="s">
        <v>93</v>
      </c>
      <c r="N191" s="12" t="s">
        <v>1581</v>
      </c>
    </row>
    <row r="192" customFormat="false" ht="19.5" hidden="false" customHeight="true" outlineLevel="0" collapsed="false">
      <c r="A192" s="27" t="s">
        <v>1791</v>
      </c>
      <c r="B192" s="27" t="s">
        <v>215</v>
      </c>
      <c r="C192" s="9" t="s">
        <v>1625</v>
      </c>
      <c r="D192" s="9" t="s">
        <v>219</v>
      </c>
      <c r="E192" s="27" t="s">
        <v>1555</v>
      </c>
      <c r="F192" s="27" t="s">
        <v>1334</v>
      </c>
      <c r="G192" s="11" t="n">
        <v>0.5</v>
      </c>
      <c r="H192" s="11" t="n">
        <v>0.5</v>
      </c>
      <c r="I192" s="31" t="n">
        <v>0</v>
      </c>
      <c r="J192" s="27" t="s">
        <v>1579</v>
      </c>
      <c r="K192" s="27" t="s">
        <v>86</v>
      </c>
      <c r="L192" s="27" t="s">
        <v>1580</v>
      </c>
      <c r="M192" s="23" t="s">
        <v>93</v>
      </c>
      <c r="N192" s="9" t="s">
        <v>1581</v>
      </c>
    </row>
    <row r="193" customFormat="false" ht="19.5" hidden="false" customHeight="true" outlineLevel="0" collapsed="false">
      <c r="A193" s="25" t="s">
        <v>1792</v>
      </c>
      <c r="B193" s="25" t="s">
        <v>257</v>
      </c>
      <c r="C193" s="12" t="s">
        <v>1627</v>
      </c>
      <c r="D193" s="12" t="s">
        <v>219</v>
      </c>
      <c r="E193" s="25" t="s">
        <v>1555</v>
      </c>
      <c r="F193" s="25" t="s">
        <v>1334</v>
      </c>
      <c r="G193" s="14" t="n">
        <v>0</v>
      </c>
      <c r="H193" s="14" t="n">
        <v>0</v>
      </c>
      <c r="I193" s="32" t="n">
        <v>0</v>
      </c>
      <c r="J193" s="25" t="s">
        <v>1579</v>
      </c>
      <c r="K193" s="25" t="s">
        <v>86</v>
      </c>
      <c r="L193" s="25" t="s">
        <v>1580</v>
      </c>
      <c r="M193" s="22" t="s">
        <v>93</v>
      </c>
      <c r="N193" s="12" t="s">
        <v>1581</v>
      </c>
    </row>
  </sheetData>
  <mergeCells count="2">
    <mergeCell ref="A1:N1"/>
    <mergeCell ref="A2:N2"/>
  </mergeCells>
  <hyperlinks>
    <hyperlink ref="M5" r:id="rId1" display="http://thuyloitiengiang.vn/web/thuyloitiengiang/chi-tiet-tin-tuc?id=464847"/>
    <hyperlink ref="M6" r:id="rId2" display="http://thuyloitiengiang.vn/web/thuyloitiengiang/chi-tiet-tin-tuc?id=464847"/>
    <hyperlink ref="M7" r:id="rId3" display="http://thuyloitiengiang.vn/web/thuyloitiengiang/chi-tiet-tin-tuc?id=464847"/>
    <hyperlink ref="M8" r:id="rId4" display="http://thuyloitiengiang.vn/web/thuyloitiengiang/chi-tiet-tin-tuc?id=464847"/>
    <hyperlink ref="M9" r:id="rId5" display="http://thuyloitiengiang.vn/web/thuyloitiengiang/chi-tiet-tin-tuc?id=464847"/>
    <hyperlink ref="M10" r:id="rId6" display="http://thuyloitiengiang.vn/web/thuyloitiengiang/chi-tiet-tin-tuc?id=464847"/>
    <hyperlink ref="M11" r:id="rId7" display="http://thuyloitiengiang.vn/web/thuyloitiengiang/chi-tiet-tin-tuc?id=464847"/>
    <hyperlink ref="M12" r:id="rId8" display="http://thuyloitiengiang.vn/web/thuyloitiengiang/chi-tiet-tin-tuc?id=464847"/>
    <hyperlink ref="M13" r:id="rId9" display="http://thuyloitiengiang.vn/web/thuyloitiengiang/chi-tiet-tin-tuc?id=464847"/>
    <hyperlink ref="M14" r:id="rId10" display="http://thuyloitiengiang.vn/web/thuyloitiengiang/chi-tiet-tin-tuc?id=464847"/>
    <hyperlink ref="M15" r:id="rId11" display="http://thuyloitiengiang.vn/web/thuyloitiengiang/chi-tiet-tin-tuc?id=464847"/>
    <hyperlink ref="M16" r:id="rId12" display="http://thuyloitiengiang.vn/web/thuyloitiengiang/chi-tiet-tin-tuc?id=464847"/>
    <hyperlink ref="M17" r:id="rId13" display="http://thuyloitiengiang.vn/web/thuyloitiengiang/chi-tiet-tin-tuc?id=464847"/>
    <hyperlink ref="M18" r:id="rId14" display="http://thuyloitiengiang.vn/web/thuyloitiengiang/chi-tiet-tin-tuc?id=464847"/>
    <hyperlink ref="M19" r:id="rId15" display="http://thuyloitiengiang.vn/web/thuyloitiengiang/chi-tiet-tin-tuc?id=464847"/>
    <hyperlink ref="M20" r:id="rId16" display="http://thuyloitiengiang.vn/web/thuyloitiengiang/chi-tiet-tin-tuc?id=464847"/>
    <hyperlink ref="M21" r:id="rId17" display="http://thuyloitiengiang.vn/web/thuyloitiengiang/chi-tiet-tin-tuc?id=464847"/>
    <hyperlink ref="M22" r:id="rId18" display="http://thuyloitiengiang.vn/web/thuyloitiengiang/chi-tiet-tin-tuc?id=464847"/>
    <hyperlink ref="M23" r:id="rId19" display="http://thuyloitiengiang.vn/web/thuyloitiengiang/chi-tiet-tin-tuc?id=464847"/>
    <hyperlink ref="M24" r:id="rId20" display="http://thuyloitiengiang.vn/web/thuyloitiengiang/chi-tiet-tin-tuc?id=464847"/>
    <hyperlink ref="M25" r:id="rId21" display="http://thuyloitiengiang.vn/web/thuyloitiengiang/chi-tiet-tin-tuc?id=464847"/>
    <hyperlink ref="M26" r:id="rId22" display="http://thuyloitiengiang.vn/web/thuyloitiengiang/chi-tiet-tin-tuc?id=464847"/>
    <hyperlink ref="M27" r:id="rId23" display="http://thuyloitiengiang.vn/web/thuyloitiengiang/chi-tiet-tin-tuc?id=464847"/>
    <hyperlink ref="M28" r:id="rId24" display="http://thuyloitiengiang.vn/web/thuyloitiengiang/chi-tiet-tin-tuc?id=464847"/>
    <hyperlink ref="M29" r:id="rId25" display="http://thuyloitiengiang.vn/web/thuyloitiengiang/chi-tiet-tin-tuc?id=464851"/>
    <hyperlink ref="M30" r:id="rId26" display="http://thuyloitiengiang.vn/web/thuyloitiengiang/chi-tiet-tin-tuc?id=464851"/>
    <hyperlink ref="M31" r:id="rId27" display="http://thuyloitiengiang.vn/web/thuyloitiengiang/chi-tiet-tin-tuc?id=464851"/>
    <hyperlink ref="M32" r:id="rId28" display="http://thuyloitiengiang.vn/web/thuyloitiengiang/chi-tiet-tin-tuc?id=464851"/>
    <hyperlink ref="M33" r:id="rId29" display="http://thuyloitiengiang.vn/web/thuyloitiengiang/chi-tiet-tin-tuc?id=464851"/>
    <hyperlink ref="M34" r:id="rId30" display="http://thuyloitiengiang.vn/web/thuyloitiengiang/chi-tiet-tin-tuc?id=464851"/>
    <hyperlink ref="M35" r:id="rId31" display="http://thuyloitiengiang.vn/web/thuyloitiengiang/chi-tiet-tin-tuc?id=464851"/>
    <hyperlink ref="M36" r:id="rId32" display="http://thuyloitiengiang.vn/web/thuyloitiengiang/chi-tiet-tin-tuc?id=464851"/>
    <hyperlink ref="M37" r:id="rId33" display="http://thuyloitiengiang.vn/web/thuyloitiengiang/chi-tiet-tin-tuc?id=464851"/>
    <hyperlink ref="M38" r:id="rId34" display="http://thuyloitiengiang.vn/web/thuyloitiengiang/chi-tiet-tin-tuc?id=464851"/>
    <hyperlink ref="M39" r:id="rId35" display="http://thuyloitiengiang.vn/web/thuyloitiengiang/chi-tiet-tin-tuc?id=464851"/>
    <hyperlink ref="M40" r:id="rId36" display="http://thuyloitiengiang.vn/web/thuyloitiengiang/chi-tiet-tin-tuc?id=464851"/>
    <hyperlink ref="M41" r:id="rId37" display="http://thuyloitiengiang.vn/web/thuyloitiengiang/chi-tiet-tin-tuc?id=464851"/>
    <hyperlink ref="M42" r:id="rId38" display="http://thuyloitiengiang.vn/web/thuyloitiengiang/chi-tiet-tin-tuc?id=464851"/>
    <hyperlink ref="M43" r:id="rId39" display="http://thuyloitiengiang.vn/web/thuyloitiengiang/chi-tiet-tin-tuc?id=464851"/>
    <hyperlink ref="M44" r:id="rId40" display="http://thuyloitiengiang.vn/web/thuyloitiengiang/chi-tiet-tin-tuc?id=464851"/>
    <hyperlink ref="M45" r:id="rId41" display="http://thuyloitiengiang.vn/web/thuyloitiengiang/chi-tiet-tin-tuc?id=464851"/>
    <hyperlink ref="M46" r:id="rId42" display="http://thuyloitiengiang.vn/web/thuyloitiengiang/chi-tiet-tin-tuc?id=464851"/>
    <hyperlink ref="M47" r:id="rId43" display="http://thuyloitiengiang.vn/web/thuyloitiengiang/chi-tiet-tin-tuc?id=464851"/>
    <hyperlink ref="M48" r:id="rId44" display="http://thuyloitiengiang.vn/web/thuyloitiengiang/chi-tiet-tin-tuc?id=464851"/>
    <hyperlink ref="M49" r:id="rId45" display="http://thuyloitiengiang.vn/web/thuyloitiengiang/chi-tiet-tin-tuc?id=464851"/>
    <hyperlink ref="M50" r:id="rId46" display="http://thuyloitiengiang.vn/web/thuyloitiengiang/chi-tiet-tin-tuc?id=464851"/>
    <hyperlink ref="M51" r:id="rId47" display="http://thuyloitiengiang.vn/web/thuyloitiengiang/chi-tiet-tin-tuc?id=464851"/>
    <hyperlink ref="M52" r:id="rId48" display="http://thuyloitiengiang.vn/web/thuyloitiengiang/chi-tiet-tin-tuc?id=464851"/>
    <hyperlink ref="M53" r:id="rId49" display="http://thuyloitiengiang.vn/web/thuyloitiengiang/chi-tiet-tin-tuc?id=464854"/>
    <hyperlink ref="M54" r:id="rId50" display="http://thuyloitiengiang.vn/web/thuyloitiengiang/chi-tiet-tin-tuc?id=464854"/>
    <hyperlink ref="M55" r:id="rId51" display="http://thuyloitiengiang.vn/web/thuyloitiengiang/chi-tiet-tin-tuc?id=464854"/>
    <hyperlink ref="M56" r:id="rId52" display="http://thuyloitiengiang.vn/web/thuyloitiengiang/chi-tiet-tin-tuc?id=464854"/>
    <hyperlink ref="M57" r:id="rId53" display="http://thuyloitiengiang.vn/web/thuyloitiengiang/chi-tiet-tin-tuc?id=464854"/>
    <hyperlink ref="M58" r:id="rId54" display="http://thuyloitiengiang.vn/web/thuyloitiengiang/chi-tiet-tin-tuc?id=464854"/>
    <hyperlink ref="M59" r:id="rId55" display="http://thuyloitiengiang.vn/web/thuyloitiengiang/chi-tiet-tin-tuc?id=464854"/>
    <hyperlink ref="M60" r:id="rId56" display="http://thuyloitiengiang.vn/web/thuyloitiengiang/chi-tiet-tin-tuc?id=464854"/>
    <hyperlink ref="M61" r:id="rId57" display="http://thuyloitiengiang.vn/web/thuyloitiengiang/chi-tiet-tin-tuc?id=464854"/>
    <hyperlink ref="M62" r:id="rId58" display="http://thuyloitiengiang.vn/web/thuyloitiengiang/chi-tiet-tin-tuc?id=464854"/>
    <hyperlink ref="M63" r:id="rId59" display="http://thuyloitiengiang.vn/web/thuyloitiengiang/chi-tiet-tin-tuc?id=464854"/>
    <hyperlink ref="M64" r:id="rId60" display="http://thuyloitiengiang.vn/web/thuyloitiengiang/chi-tiet-tin-tuc?id=464854"/>
    <hyperlink ref="M65" r:id="rId61" display="http://thuyloitiengiang.vn/web/thuyloitiengiang/chi-tiet-tin-tuc?id=464854"/>
    <hyperlink ref="M66" r:id="rId62" display="http://thuyloitiengiang.vn/web/thuyloitiengiang/chi-tiet-tin-tuc?id=464854"/>
    <hyperlink ref="M67" r:id="rId63" display="http://thuyloitiengiang.vn/web/thuyloitiengiang/chi-tiet-tin-tuc?id=464854"/>
    <hyperlink ref="M68" r:id="rId64" display="http://thuyloitiengiang.vn/web/thuyloitiengiang/chi-tiet-tin-tuc?id=464854"/>
    <hyperlink ref="M69" r:id="rId65" display="http://thuyloitiengiang.vn/web/thuyloitiengiang/chi-tiet-tin-tuc?id=464854"/>
    <hyperlink ref="M70" r:id="rId66" display="http://thuyloitiengiang.vn/web/thuyloitiengiang/chi-tiet-tin-tuc?id=464854"/>
    <hyperlink ref="M71" r:id="rId67" display="http://thuyloitiengiang.vn/web/thuyloitiengiang/chi-tiet-tin-tuc?id=464854"/>
    <hyperlink ref="M72" r:id="rId68" display="http://thuyloitiengiang.vn/web/thuyloitiengiang/chi-tiet-tin-tuc?id=464854"/>
    <hyperlink ref="M73" r:id="rId69" display="http://thuyloitiengiang.vn/web/thuyloitiengiang/chi-tiet-tin-tuc?id=464854"/>
    <hyperlink ref="M74" r:id="rId70" display="http://thuyloitiengiang.vn/web/thuyloitiengiang/chi-tiet-tin-tuc?id=464854"/>
    <hyperlink ref="M75" r:id="rId71" display="http://thuyloitiengiang.vn/web/thuyloitiengiang/chi-tiet-tin-tuc?id=464854"/>
    <hyperlink ref="M76" r:id="rId72" display="http://thuyloitiengiang.vn/web/thuyloitiengiang/chi-tiet-tin-tuc?id=464854"/>
    <hyperlink ref="M77" r:id="rId73" display="http://thuyloitiengiang.vn/ja/web/thuyloitiengiang/chi-tiet-tin-tuc?id=520619"/>
    <hyperlink ref="M78" r:id="rId74" display="http://thuyloitiengiang.vn/ja/web/thuyloitiengiang/chi-tiet-tin-tuc?id=520619"/>
    <hyperlink ref="M79" r:id="rId75" display="http://thuyloitiengiang.vn/ja/web/thuyloitiengiang/chi-tiet-tin-tuc?id=520619"/>
    <hyperlink ref="M80" r:id="rId76" display="http://thuyloitiengiang.vn/ja/web/thuyloitiengiang/chi-tiet-tin-tuc?id=520619"/>
    <hyperlink ref="M81" r:id="rId77" display="http://thuyloitiengiang.vn/ja/web/thuyloitiengiang/chi-tiet-tin-tuc?id=520619"/>
    <hyperlink ref="M82" r:id="rId78" display="http://thuyloitiengiang.vn/ja/web/thuyloitiengiang/chi-tiet-tin-tuc?id=520619"/>
    <hyperlink ref="M83" r:id="rId79" display="http://thuyloitiengiang.vn/ja/web/thuyloitiengiang/chi-tiet-tin-tuc?id=520619"/>
    <hyperlink ref="M84" r:id="rId80" display="http://thuyloitiengiang.vn/ja/web/thuyloitiengiang/chi-tiet-tin-tuc?id=520619"/>
    <hyperlink ref="M85" r:id="rId81" display="http://thuyloitiengiang.vn/ja/web/thuyloitiengiang/chi-tiet-tin-tuc?id=520619"/>
    <hyperlink ref="M86" r:id="rId82" display="http://thuyloitiengiang.vn/ja/web/thuyloitiengiang/chi-tiet-tin-tuc?id=520619"/>
    <hyperlink ref="M87" r:id="rId83" display="http://thuyloitiengiang.vn/ja/web/thuyloitiengiang/chi-tiet-tin-tuc?id=520619"/>
    <hyperlink ref="M88" r:id="rId84" display="http://thuyloitiengiang.vn/ja/web/thuyloitiengiang/chi-tiet-tin-tuc?id=520619"/>
    <hyperlink ref="M89" r:id="rId85" display="http://thuyloitiengiang.vn/ja/web/thuyloitiengiang/chi-tiet-tin-tuc?id=520619"/>
    <hyperlink ref="M90" r:id="rId86" display="http://thuyloitiengiang.vn/ja/web/thuyloitiengiang/chi-tiet-tin-tuc?id=520619"/>
    <hyperlink ref="M91" r:id="rId87" display="http://thuyloitiengiang.vn/ja/web/thuyloitiengiang/chi-tiet-tin-tuc?id=520619"/>
    <hyperlink ref="M92" r:id="rId88" display="http://thuyloitiengiang.vn/ja/web/thuyloitiengiang/chi-tiet-tin-tuc?id=520619"/>
    <hyperlink ref="M93" r:id="rId89" display="http://thuyloitiengiang.vn/ja/web/thuyloitiengiang/chi-tiet-tin-tuc?id=520619"/>
    <hyperlink ref="M94" r:id="rId90" display="http://thuyloitiengiang.vn/ja/web/thuyloitiengiang/chi-tiet-tin-tuc?id=520619"/>
    <hyperlink ref="M95" r:id="rId91" display="http://thuyloitiengiang.vn/ja/web/thuyloitiengiang/chi-tiet-tin-tuc?id=520619"/>
    <hyperlink ref="M96" r:id="rId92" display="http://thuyloitiengiang.vn/ja/web/thuyloitiengiang/chi-tiet-tin-tuc?id=520619"/>
    <hyperlink ref="M97" r:id="rId93" display="http://thuyloitiengiang.vn/ja/web/thuyloitiengiang/chi-tiet-tin-tuc?id=520619"/>
    <hyperlink ref="M98" r:id="rId94" display="http://thuyloitiengiang.vn/ja/web/thuyloitiengiang/chi-tiet-tin-tuc?id=520619"/>
    <hyperlink ref="M99" r:id="rId95" display="http://thuyloitiengiang.vn/ja/web/thuyloitiengiang/chi-tiet-tin-tuc?id=520619"/>
    <hyperlink ref="M100" r:id="rId96" display="http://thuyloitiengiang.vn/ja/web/thuyloitiengiang/chi-tiet-tin-tuc?id=520619"/>
    <hyperlink ref="M101" r:id="rId97" display="http://thuyloitiengiang.vn/ja/web/thuyloitiengiang/chi-tiet-tin-tuc?id=520621"/>
    <hyperlink ref="M102" r:id="rId98" display="http://thuyloitiengiang.vn/ja/web/thuyloitiengiang/chi-tiet-tin-tuc?id=520621"/>
    <hyperlink ref="M103" r:id="rId99" display="http://thuyloitiengiang.vn/ja/web/thuyloitiengiang/chi-tiet-tin-tuc?id=520621"/>
    <hyperlink ref="M104" r:id="rId100" display="http://thuyloitiengiang.vn/ja/web/thuyloitiengiang/chi-tiet-tin-tuc?id=520621"/>
    <hyperlink ref="M105" r:id="rId101" display="http://thuyloitiengiang.vn/ja/web/thuyloitiengiang/chi-tiet-tin-tuc?id=520621"/>
    <hyperlink ref="M106" r:id="rId102" display="http://thuyloitiengiang.vn/ja/web/thuyloitiengiang/chi-tiet-tin-tuc?id=520621"/>
    <hyperlink ref="M107" r:id="rId103" display="http://thuyloitiengiang.vn/ja/web/thuyloitiengiang/chi-tiet-tin-tuc?id=520621"/>
    <hyperlink ref="M108" r:id="rId104" display="http://thuyloitiengiang.vn/ja/web/thuyloitiengiang/chi-tiet-tin-tuc?id=520621"/>
    <hyperlink ref="M109" r:id="rId105" display="http://thuyloitiengiang.vn/ja/web/thuyloitiengiang/chi-tiet-tin-tuc?id=520621"/>
    <hyperlink ref="M110" r:id="rId106" display="http://thuyloitiengiang.vn/ja/web/thuyloitiengiang/chi-tiet-tin-tuc?id=520621"/>
    <hyperlink ref="M111" r:id="rId107" display="http://thuyloitiengiang.vn/ja/web/thuyloitiengiang/chi-tiet-tin-tuc?id=520621"/>
    <hyperlink ref="M112" r:id="rId108" display="http://thuyloitiengiang.vn/ja/web/thuyloitiengiang/chi-tiet-tin-tuc?id=520621"/>
    <hyperlink ref="M113" r:id="rId109" display="http://thuyloitiengiang.vn/ja/web/thuyloitiengiang/chi-tiet-tin-tuc?id=520621"/>
    <hyperlink ref="M114" r:id="rId110" display="http://thuyloitiengiang.vn/ja/web/thuyloitiengiang/chi-tiet-tin-tuc?id=520621"/>
    <hyperlink ref="M115" r:id="rId111" display="http://thuyloitiengiang.vn/ja/web/thuyloitiengiang/chi-tiet-tin-tuc?id=520621"/>
    <hyperlink ref="M116" r:id="rId112" display="http://thuyloitiengiang.vn/ja/web/thuyloitiengiang/chi-tiet-tin-tuc?id=520621"/>
    <hyperlink ref="M117" r:id="rId113" display="http://thuyloitiengiang.vn/ja/web/thuyloitiengiang/chi-tiet-tin-tuc?id=520621"/>
    <hyperlink ref="M118" r:id="rId114" display="http://thuyloitiengiang.vn/ja/web/thuyloitiengiang/chi-tiet-tin-tuc?id=520621"/>
    <hyperlink ref="M119" r:id="rId115" display="http://thuyloitiengiang.vn/ja/web/thuyloitiengiang/chi-tiet-tin-tuc?id=520621"/>
    <hyperlink ref="M120" r:id="rId116" display="http://thuyloitiengiang.vn/ja/web/thuyloitiengiang/chi-tiet-tin-tuc?id=520621"/>
    <hyperlink ref="M121" r:id="rId117" display="http://thuyloitiengiang.vn/ja/web/thuyloitiengiang/chi-tiet-tin-tuc?id=520621"/>
    <hyperlink ref="M122" r:id="rId118" display="http://thuyloitiengiang.vn/ja/web/thuyloitiengiang/chi-tiet-tin-tuc?id=520621"/>
    <hyperlink ref="M123" r:id="rId119" display="http://thuyloitiengiang.vn/ja/web/thuyloitiengiang/chi-tiet-tin-tuc?id=520621"/>
    <hyperlink ref="M124" r:id="rId120" display="http://thuyloitiengiang.vn/ja/web/thuyloitiengiang/chi-tiet-tin-tuc?id=520621"/>
    <hyperlink ref="M125" r:id="rId121" display="http://thuyloitiengiang.vn/ja/web/thuyloitiengiang/chi-tiet-tin-tuc?id=520623"/>
    <hyperlink ref="M126" r:id="rId122" display="http://thuyloitiengiang.vn/ja/web/thuyloitiengiang/chi-tiet-tin-tuc?id=520623"/>
    <hyperlink ref="M127" r:id="rId123" display="http://thuyloitiengiang.vn/ja/web/thuyloitiengiang/chi-tiet-tin-tuc?id=520623"/>
    <hyperlink ref="M128" r:id="rId124" display="http://thuyloitiengiang.vn/ja/web/thuyloitiengiang/chi-tiet-tin-tuc?id=520623"/>
    <hyperlink ref="M129" r:id="rId125" display="http://thuyloitiengiang.vn/ja/web/thuyloitiengiang/chi-tiet-tin-tuc?id=520623"/>
    <hyperlink ref="M130" r:id="rId126" display="http://thuyloitiengiang.vn/ja/web/thuyloitiengiang/chi-tiet-tin-tuc?id=520623"/>
    <hyperlink ref="M131" r:id="rId127" display="http://thuyloitiengiang.vn/ja/web/thuyloitiengiang/chi-tiet-tin-tuc?id=520623"/>
    <hyperlink ref="M132" r:id="rId128" display="http://thuyloitiengiang.vn/ja/web/thuyloitiengiang/chi-tiet-tin-tuc?id=520623"/>
    <hyperlink ref="M133" r:id="rId129" display="http://thuyloitiengiang.vn/ja/web/thuyloitiengiang/chi-tiet-tin-tuc?id=520623"/>
    <hyperlink ref="M134" r:id="rId130" display="http://thuyloitiengiang.vn/ja/web/thuyloitiengiang/chi-tiet-tin-tuc?id=520623"/>
    <hyperlink ref="M135" r:id="rId131" display="http://thuyloitiengiang.vn/ja/web/thuyloitiengiang/chi-tiet-tin-tuc?id=520623"/>
    <hyperlink ref="M136" r:id="rId132" display="http://thuyloitiengiang.vn/ja/web/thuyloitiengiang/chi-tiet-tin-tuc?id=520623"/>
    <hyperlink ref="M137" r:id="rId133" display="http://thuyloitiengiang.vn/ja/web/thuyloitiengiang/chi-tiet-tin-tuc?id=520623"/>
    <hyperlink ref="M138" r:id="rId134" display="http://thuyloitiengiang.vn/ja/web/thuyloitiengiang/chi-tiet-tin-tuc?id=520623"/>
    <hyperlink ref="M139" r:id="rId135" display="http://thuyloitiengiang.vn/ja/web/thuyloitiengiang/chi-tiet-tin-tuc?id=520623"/>
    <hyperlink ref="M140" r:id="rId136" display="http://thuyloitiengiang.vn/ja/web/thuyloitiengiang/chi-tiet-tin-tuc?id=520623"/>
    <hyperlink ref="M141" r:id="rId137" display="http://thuyloitiengiang.vn/ja/web/thuyloitiengiang/chi-tiet-tin-tuc?id=520623"/>
    <hyperlink ref="M142" r:id="rId138" display="http://thuyloitiengiang.vn/ja/web/thuyloitiengiang/chi-tiet-tin-tuc?id=520623"/>
    <hyperlink ref="M143" r:id="rId139" display="http://thuyloitiengiang.vn/ja/web/thuyloitiengiang/chi-tiet-tin-tuc?id=520623"/>
    <hyperlink ref="M144" r:id="rId140" display="http://thuyloitiengiang.vn/ja/web/thuyloitiengiang/chi-tiet-tin-tuc?id=520623"/>
    <hyperlink ref="M145" r:id="rId141" display="http://thuyloitiengiang.vn/ja/web/thuyloitiengiang/chi-tiet-tin-tuc?id=520623"/>
    <hyperlink ref="M146" r:id="rId142" display="http://thuyloitiengiang.vn/en/web/thuyloitiengiang/chi-tiet-tin-tuc?id=520630"/>
    <hyperlink ref="M147" r:id="rId143" display="http://thuyloitiengiang.vn/en/web/thuyloitiengiang/chi-tiet-tin-tuc?id=520630"/>
    <hyperlink ref="M148" r:id="rId144" display="http://thuyloitiengiang.vn/en/web/thuyloitiengiang/chi-tiet-tin-tuc?id=520630"/>
    <hyperlink ref="M149" r:id="rId145" display="http://thuyloitiengiang.vn/en/web/thuyloitiengiang/chi-tiet-tin-tuc?id=520630"/>
    <hyperlink ref="M150" r:id="rId146" display="http://thuyloitiengiang.vn/en/web/thuyloitiengiang/chi-tiet-tin-tuc?id=520630"/>
    <hyperlink ref="M151" r:id="rId147" display="http://thuyloitiengiang.vn/en/web/thuyloitiengiang/chi-tiet-tin-tuc?id=520630"/>
    <hyperlink ref="M152" r:id="rId148" display="http://thuyloitiengiang.vn/en/web/thuyloitiengiang/chi-tiet-tin-tuc?id=520630"/>
    <hyperlink ref="M153" r:id="rId149" display="http://thuyloitiengiang.vn/en/web/thuyloitiengiang/chi-tiet-tin-tuc?id=520630"/>
    <hyperlink ref="M154" r:id="rId150" display="http://thuyloitiengiang.vn/en/web/thuyloitiengiang/chi-tiet-tin-tuc?id=520630"/>
    <hyperlink ref="M155" r:id="rId151" display="http://thuyloitiengiang.vn/en/web/thuyloitiengiang/chi-tiet-tin-tuc?id=520630"/>
    <hyperlink ref="M156" r:id="rId152" display="http://thuyloitiengiang.vn/en/web/thuyloitiengiang/chi-tiet-tin-tuc?id=520630"/>
    <hyperlink ref="M157" r:id="rId153" display="http://thuyloitiengiang.vn/en/web/thuyloitiengiang/chi-tiet-tin-tuc?id=520630"/>
    <hyperlink ref="M158" r:id="rId154" display="http://thuyloitiengiang.vn/en/web/thuyloitiengiang/chi-tiet-tin-tuc?id=520630"/>
    <hyperlink ref="M159" r:id="rId155" display="http://thuyloitiengiang.vn/en/web/thuyloitiengiang/chi-tiet-tin-tuc?id=520630"/>
    <hyperlink ref="M160" r:id="rId156" display="http://thuyloitiengiang.vn/en/web/thuyloitiengiang/chi-tiet-tin-tuc?id=520630"/>
    <hyperlink ref="M161" r:id="rId157" display="http://thuyloitiengiang.vn/en/web/thuyloitiengiang/chi-tiet-tin-tuc?id=520630"/>
    <hyperlink ref="M162" r:id="rId158" display="http://thuyloitiengiang.vn/en/web/thuyloitiengiang/chi-tiet-tin-tuc?id=520630"/>
    <hyperlink ref="M163" r:id="rId159" display="http://thuyloitiengiang.vn/en/web/thuyloitiengiang/chi-tiet-tin-tuc?id=520630"/>
    <hyperlink ref="M164" r:id="rId160" display="http://thuyloitiengiang.vn/en/web/thuyloitiengiang/chi-tiet-tin-tuc?id=520630"/>
    <hyperlink ref="M165" r:id="rId161" display="http://thuyloitiengiang.vn/en/web/thuyloitiengiang/chi-tiet-tin-tuc?id=520630"/>
    <hyperlink ref="M166" r:id="rId162" display="http://thuyloitiengiang.vn/en/web/thuyloitiengiang/chi-tiet-tin-tuc?id=520630"/>
    <hyperlink ref="M167" r:id="rId163" display="http://thuyloitiengiang.vn/en/web/thuyloitiengiang/chi-tiet-tin-tuc?id=520630"/>
    <hyperlink ref="M168" r:id="rId164" display="http://thuyloitiengiang.vn/en/web/thuyloitiengiang/chi-tiet-tin-tuc?id=520630"/>
    <hyperlink ref="M169" r:id="rId165" display="http://thuyloitiengiang.vn/en/web/thuyloitiengiang/chi-tiet-tin-tuc?id=520630"/>
    <hyperlink ref="M170" r:id="rId166" display="http://thuyloitiengiang.vn/en/web/thuyloitiengiang/chi-tiet-tin-tuc?id=522066"/>
    <hyperlink ref="M171" r:id="rId167" display="http://thuyloitiengiang.vn/en/web/thuyloitiengiang/chi-tiet-tin-tuc?id=522066"/>
    <hyperlink ref="M172" r:id="rId168" display="http://thuyloitiengiang.vn/en/web/thuyloitiengiang/chi-tiet-tin-tuc?id=522066"/>
    <hyperlink ref="M173" r:id="rId169" display="http://thuyloitiengiang.vn/en/web/thuyloitiengiang/chi-tiet-tin-tuc?id=522066"/>
    <hyperlink ref="M174" r:id="rId170" display="http://thuyloitiengiang.vn/en/web/thuyloitiengiang/chi-tiet-tin-tuc?id=522066"/>
    <hyperlink ref="M175" r:id="rId171" display="http://thuyloitiengiang.vn/en/web/thuyloitiengiang/chi-tiet-tin-tuc?id=522066"/>
    <hyperlink ref="M176" r:id="rId172" display="http://thuyloitiengiang.vn/en/web/thuyloitiengiang/chi-tiet-tin-tuc?id=522066"/>
    <hyperlink ref="M177" r:id="rId173" display="http://thuyloitiengiang.vn/en/web/thuyloitiengiang/chi-tiet-tin-tuc?id=522066"/>
    <hyperlink ref="M178" r:id="rId174" display="http://thuyloitiengiang.vn/en/web/thuyloitiengiang/chi-tiet-tin-tuc?id=522066"/>
    <hyperlink ref="M179" r:id="rId175" display="http://thuyloitiengiang.vn/en/web/thuyloitiengiang/chi-tiet-tin-tuc?id=522066"/>
    <hyperlink ref="M180" r:id="rId176" display="http://thuyloitiengiang.vn/en/web/thuyloitiengiang/chi-tiet-tin-tuc?id=522066"/>
    <hyperlink ref="M181" r:id="rId177" display="http://thuyloitiengiang.vn/en/web/thuyloitiengiang/chi-tiet-tin-tuc?id=522066"/>
    <hyperlink ref="M182" r:id="rId178" display="http://thuyloitiengiang.vn/en/web/thuyloitiengiang/chi-tiet-tin-tuc?id=522066"/>
    <hyperlink ref="M183" r:id="rId179" display="http://thuyloitiengiang.vn/en/web/thuyloitiengiang/chi-tiet-tin-tuc?id=522066"/>
    <hyperlink ref="M184" r:id="rId180" display="http://thuyloitiengiang.vn/en/web/thuyloitiengiang/chi-tiet-tin-tuc?id=522066"/>
    <hyperlink ref="M185" r:id="rId181" display="http://thuyloitiengiang.vn/en/web/thuyloitiengiang/chi-tiet-tin-tuc?id=522066"/>
    <hyperlink ref="M186" r:id="rId182" display="http://thuyloitiengiang.vn/en/web/thuyloitiengiang/chi-tiet-tin-tuc?id=522066"/>
    <hyperlink ref="M187" r:id="rId183" display="http://thuyloitiengiang.vn/en/web/thuyloitiengiang/chi-tiet-tin-tuc?id=522066"/>
    <hyperlink ref="M188" r:id="rId184" display="http://thuyloitiengiang.vn/en/web/thuyloitiengiang/chi-tiet-tin-tuc?id=522066"/>
    <hyperlink ref="M189" r:id="rId185" display="http://thuyloitiengiang.vn/en/web/thuyloitiengiang/chi-tiet-tin-tuc?id=522066"/>
    <hyperlink ref="M190" r:id="rId186" display="http://thuyloitiengiang.vn/en/web/thuyloitiengiang/chi-tiet-tin-tuc?id=522066"/>
    <hyperlink ref="M191" r:id="rId187" display="http://thuyloitiengiang.vn/en/web/thuyloitiengiang/chi-tiet-tin-tuc?id=522066"/>
    <hyperlink ref="M192" r:id="rId188" display="http://thuyloitiengiang.vn/en/web/thuyloitiengiang/chi-tiet-tin-tuc?id=522066"/>
    <hyperlink ref="M193" r:id="rId189" display="http://thuyloitiengiang.vn/en/web/thuyloitiengiang/chi-tiet-tin-tuc?id=522066"/>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42"/>
    <col collapsed="false" customWidth="true" hidden="false" outlineLevel="0" max="4" min="4" style="0" width="28"/>
    <col collapsed="false" customWidth="true" hidden="false" outlineLevel="0" max="5" min="5" style="0" width="40"/>
    <col collapsed="false" customWidth="true" hidden="false" outlineLevel="0" max="6" min="6" style="0" width="23"/>
    <col collapsed="false" customWidth="true" hidden="false" outlineLevel="0" max="7" min="7" style="0" width="13"/>
    <col collapsed="false" customWidth="true" hidden="false" outlineLevel="0" max="9" min="8" style="0" width="14"/>
    <col collapsed="false" customWidth="true" hidden="false" outlineLevel="0" max="10" min="10" style="0" width="12"/>
    <col collapsed="false" customWidth="true" hidden="false" outlineLevel="0" max="11" min="11" style="0" width="13"/>
    <col collapsed="false" customWidth="true" hidden="false" outlineLevel="0" max="12" min="12" style="0" width="21"/>
    <col collapsed="false" customWidth="true" hidden="false" outlineLevel="0" max="13" min="13" style="0" width="17"/>
    <col collapsed="false" customWidth="true" hidden="false" outlineLevel="0" max="14" min="14" style="0" width="14"/>
    <col collapsed="false" customWidth="true" hidden="false" outlineLevel="0" max="15" min="15" style="0" width="23"/>
    <col collapsed="false" customWidth="true" hidden="false" outlineLevel="0" max="17" min="16" style="0" width="42"/>
  </cols>
  <sheetData>
    <row r="1" customFormat="false" ht="27.75" hidden="false" customHeight="true" outlineLevel="0" collapsed="false">
      <c r="A1" s="1" t="s">
        <v>1793</v>
      </c>
      <c r="B1" s="1"/>
      <c r="C1" s="1"/>
      <c r="D1" s="1"/>
      <c r="E1" s="1"/>
      <c r="F1" s="1"/>
      <c r="G1" s="1"/>
      <c r="H1" s="1"/>
      <c r="I1" s="1"/>
      <c r="J1" s="1"/>
      <c r="K1" s="1"/>
      <c r="L1" s="1"/>
      <c r="M1" s="1"/>
      <c r="N1" s="1"/>
      <c r="O1" s="1"/>
      <c r="P1" s="1"/>
      <c r="Q1" s="1"/>
    </row>
    <row r="2" customFormat="false" ht="19.5" hidden="false" customHeight="true" outlineLevel="0" collapsed="false">
      <c r="A2" s="2" t="s">
        <v>1794</v>
      </c>
      <c r="B2" s="2"/>
      <c r="C2" s="2"/>
      <c r="D2" s="2"/>
      <c r="E2" s="2"/>
      <c r="F2" s="2"/>
      <c r="G2" s="2"/>
      <c r="H2" s="2"/>
      <c r="I2" s="2"/>
      <c r="J2" s="2"/>
      <c r="K2" s="2"/>
      <c r="L2" s="2"/>
      <c r="M2" s="2"/>
      <c r="N2" s="2"/>
      <c r="O2" s="2"/>
      <c r="P2" s="2"/>
      <c r="Q2" s="2"/>
    </row>
    <row r="4" customFormat="false" ht="24" hidden="false" customHeight="true" outlineLevel="0" collapsed="false">
      <c r="A4" s="24" t="s">
        <v>613</v>
      </c>
      <c r="B4" s="24" t="s">
        <v>201</v>
      </c>
      <c r="C4" s="7" t="s">
        <v>1795</v>
      </c>
      <c r="D4" s="24" t="s">
        <v>1796</v>
      </c>
      <c r="E4" s="7" t="s">
        <v>1797</v>
      </c>
      <c r="F4" s="24" t="s">
        <v>1575</v>
      </c>
      <c r="G4" s="8" t="s">
        <v>1798</v>
      </c>
      <c r="H4" s="8" t="s">
        <v>1799</v>
      </c>
      <c r="I4" s="8" t="s">
        <v>1800</v>
      </c>
      <c r="J4" s="8" t="s">
        <v>1801</v>
      </c>
      <c r="K4" s="8" t="s">
        <v>1802</v>
      </c>
      <c r="L4" s="8" t="s">
        <v>1803</v>
      </c>
      <c r="M4" s="8" t="s">
        <v>1804</v>
      </c>
      <c r="N4" s="8" t="s">
        <v>1805</v>
      </c>
      <c r="O4" s="24" t="s">
        <v>213</v>
      </c>
      <c r="P4" s="7" t="s">
        <v>621</v>
      </c>
      <c r="Q4" s="7" t="s">
        <v>1806</v>
      </c>
    </row>
    <row r="5" customFormat="false" ht="19.5" hidden="false" customHeight="true" outlineLevel="0" collapsed="false">
      <c r="A5" s="25" t="s">
        <v>1807</v>
      </c>
      <c r="B5" s="25" t="s">
        <v>362</v>
      </c>
      <c r="C5" s="12" t="s">
        <v>363</v>
      </c>
      <c r="D5" s="25" t="s">
        <v>1808</v>
      </c>
      <c r="E5" s="12" t="s">
        <v>1809</v>
      </c>
      <c r="F5" s="25" t="s">
        <v>1580</v>
      </c>
      <c r="G5" s="14" t="n">
        <v>19.3</v>
      </c>
      <c r="H5" s="13" t="n">
        <v>193</v>
      </c>
      <c r="I5" s="29"/>
      <c r="J5" s="14" t="n">
        <v>7.35</v>
      </c>
      <c r="K5" s="14" t="n">
        <v>6.8</v>
      </c>
      <c r="L5" s="29"/>
      <c r="M5" s="29"/>
      <c r="N5" s="29"/>
      <c r="O5" s="25" t="s">
        <v>148</v>
      </c>
      <c r="P5" s="22" t="s">
        <v>1810</v>
      </c>
      <c r="Q5" s="12" t="s">
        <v>1811</v>
      </c>
    </row>
    <row r="6" customFormat="false" ht="19.5" hidden="false" customHeight="true" outlineLevel="0" collapsed="false">
      <c r="A6" s="27" t="s">
        <v>1812</v>
      </c>
      <c r="B6" s="27" t="s">
        <v>371</v>
      </c>
      <c r="C6" s="9" t="s">
        <v>372</v>
      </c>
      <c r="D6" s="27" t="s">
        <v>1808</v>
      </c>
      <c r="E6" s="9" t="s">
        <v>1813</v>
      </c>
      <c r="F6" s="27" t="s">
        <v>1580</v>
      </c>
      <c r="G6" s="11" t="n">
        <v>85.4</v>
      </c>
      <c r="H6" s="10" t="n">
        <v>854</v>
      </c>
      <c r="I6" s="30"/>
      <c r="J6" s="11" t="n">
        <v>7.42</v>
      </c>
      <c r="K6" s="11" t="n">
        <v>6.5</v>
      </c>
      <c r="L6" s="30"/>
      <c r="M6" s="30"/>
      <c r="N6" s="30"/>
      <c r="O6" s="27" t="s">
        <v>148</v>
      </c>
      <c r="P6" s="23" t="s">
        <v>1810</v>
      </c>
      <c r="Q6" s="9" t="s">
        <v>1814</v>
      </c>
    </row>
    <row r="7" customFormat="false" ht="19.5" hidden="false" customHeight="true" outlineLevel="0" collapsed="false">
      <c r="A7" s="25" t="s">
        <v>1815</v>
      </c>
      <c r="B7" s="25" t="s">
        <v>519</v>
      </c>
      <c r="C7" s="12" t="s">
        <v>1816</v>
      </c>
      <c r="D7" s="25" t="s">
        <v>1817</v>
      </c>
      <c r="E7" s="12" t="s">
        <v>1818</v>
      </c>
      <c r="F7" s="25" t="s">
        <v>1580</v>
      </c>
      <c r="G7" s="14" t="n">
        <v>18.5</v>
      </c>
      <c r="H7" s="13" t="n">
        <v>185</v>
      </c>
      <c r="I7" s="14" t="n">
        <v>0.05</v>
      </c>
      <c r="J7" s="14" t="n">
        <v>7.2</v>
      </c>
      <c r="K7" s="14" t="n">
        <v>5.1</v>
      </c>
      <c r="L7" s="13" t="n">
        <v>62</v>
      </c>
      <c r="M7" s="14" t="n">
        <v>0.18</v>
      </c>
      <c r="N7" s="13" t="n">
        <v>16</v>
      </c>
      <c r="O7" s="25" t="s">
        <v>95</v>
      </c>
      <c r="P7" s="22" t="s">
        <v>102</v>
      </c>
      <c r="Q7" s="12" t="s">
        <v>1819</v>
      </c>
    </row>
    <row r="8" customFormat="false" ht="19.5" hidden="false" customHeight="true" outlineLevel="0" collapsed="false">
      <c r="A8" s="27" t="s">
        <v>1820</v>
      </c>
      <c r="B8" s="27" t="s">
        <v>498</v>
      </c>
      <c r="C8" s="9" t="s">
        <v>1821</v>
      </c>
      <c r="D8" s="27" t="s">
        <v>1822</v>
      </c>
      <c r="E8" s="9" t="s">
        <v>1823</v>
      </c>
      <c r="F8" s="27" t="s">
        <v>1580</v>
      </c>
      <c r="G8" s="30"/>
      <c r="H8" s="30"/>
      <c r="I8" s="11" t="n">
        <v>0.07</v>
      </c>
      <c r="J8" s="30"/>
      <c r="K8" s="11" t="n">
        <v>3.8</v>
      </c>
      <c r="L8" s="10" t="n">
        <v>55</v>
      </c>
      <c r="M8" s="11" t="n">
        <v>0.25</v>
      </c>
      <c r="N8" s="10" t="n">
        <v>22</v>
      </c>
      <c r="O8" s="27" t="s">
        <v>104</v>
      </c>
      <c r="P8" s="23" t="s">
        <v>1824</v>
      </c>
      <c r="Q8" s="9" t="s">
        <v>1825</v>
      </c>
    </row>
    <row r="9" customFormat="false" ht="19.5" hidden="false" customHeight="true" outlineLevel="0" collapsed="false">
      <c r="A9" s="25" t="s">
        <v>1826</v>
      </c>
      <c r="B9" s="25" t="s">
        <v>512</v>
      </c>
      <c r="C9" s="12" t="s">
        <v>1827</v>
      </c>
      <c r="D9" s="25" t="s">
        <v>1822</v>
      </c>
      <c r="E9" s="12" t="s">
        <v>1823</v>
      </c>
      <c r="F9" s="25" t="s">
        <v>1580</v>
      </c>
      <c r="G9" s="29"/>
      <c r="H9" s="29"/>
      <c r="I9" s="14" t="n">
        <v>0.19</v>
      </c>
      <c r="J9" s="29"/>
      <c r="K9" s="14" t="n">
        <v>3.5</v>
      </c>
      <c r="L9" s="13" t="n">
        <v>50</v>
      </c>
      <c r="M9" s="14" t="n">
        <v>0.25</v>
      </c>
      <c r="N9" s="13" t="n">
        <v>24</v>
      </c>
      <c r="O9" s="25" t="s">
        <v>104</v>
      </c>
      <c r="P9" s="22" t="s">
        <v>1824</v>
      </c>
      <c r="Q9" s="12" t="s">
        <v>1828</v>
      </c>
    </row>
    <row r="10" customFormat="false" ht="19.5" hidden="false" customHeight="true" outlineLevel="0" collapsed="false">
      <c r="A10" s="27" t="s">
        <v>1829</v>
      </c>
      <c r="B10" s="27" t="s">
        <v>498</v>
      </c>
      <c r="C10" s="9" t="s">
        <v>1821</v>
      </c>
      <c r="D10" s="27" t="s">
        <v>1830</v>
      </c>
      <c r="E10" s="9" t="s">
        <v>1831</v>
      </c>
      <c r="F10" s="27" t="s">
        <v>1580</v>
      </c>
      <c r="G10" s="30"/>
      <c r="H10" s="30"/>
      <c r="I10" s="11" t="n">
        <v>0.07</v>
      </c>
      <c r="J10" s="30"/>
      <c r="K10" s="11" t="n">
        <v>3.8</v>
      </c>
      <c r="L10" s="10" t="n">
        <v>55</v>
      </c>
      <c r="M10" s="11" t="n">
        <v>0.24</v>
      </c>
      <c r="N10" s="10" t="n">
        <v>22</v>
      </c>
      <c r="O10" s="27" t="s">
        <v>104</v>
      </c>
      <c r="P10" s="23" t="s">
        <v>1832</v>
      </c>
      <c r="Q10" s="9" t="s">
        <v>1833</v>
      </c>
    </row>
    <row r="11" customFormat="false" ht="19.5" hidden="false" customHeight="true" outlineLevel="0" collapsed="false">
      <c r="A11" s="25" t="s">
        <v>1834</v>
      </c>
      <c r="B11" s="25" t="s">
        <v>512</v>
      </c>
      <c r="C11" s="12" t="s">
        <v>1827</v>
      </c>
      <c r="D11" s="25" t="s">
        <v>1830</v>
      </c>
      <c r="E11" s="12" t="s">
        <v>1831</v>
      </c>
      <c r="F11" s="25" t="s">
        <v>1580</v>
      </c>
      <c r="G11" s="29"/>
      <c r="H11" s="29"/>
      <c r="I11" s="14" t="n">
        <v>0.21</v>
      </c>
      <c r="J11" s="29"/>
      <c r="K11" s="14" t="n">
        <v>3.5</v>
      </c>
      <c r="L11" s="13" t="n">
        <v>50</v>
      </c>
      <c r="M11" s="14" t="n">
        <v>0.24</v>
      </c>
      <c r="N11" s="13" t="n">
        <v>26</v>
      </c>
      <c r="O11" s="25" t="s">
        <v>104</v>
      </c>
      <c r="P11" s="22" t="s">
        <v>1832</v>
      </c>
      <c r="Q11" s="12" t="s">
        <v>1835</v>
      </c>
    </row>
    <row r="12" customFormat="false" ht="19.5" hidden="false" customHeight="true" outlineLevel="0" collapsed="false">
      <c r="A12" s="27" t="s">
        <v>1836</v>
      </c>
      <c r="B12" s="27" t="s">
        <v>498</v>
      </c>
      <c r="C12" s="9" t="s">
        <v>1821</v>
      </c>
      <c r="D12" s="27" t="s">
        <v>1837</v>
      </c>
      <c r="E12" s="9" t="s">
        <v>1838</v>
      </c>
      <c r="F12" s="27" t="s">
        <v>1580</v>
      </c>
      <c r="G12" s="30"/>
      <c r="H12" s="30"/>
      <c r="I12" s="11" t="n">
        <v>0.08</v>
      </c>
      <c r="J12" s="30"/>
      <c r="K12" s="11" t="n">
        <v>4</v>
      </c>
      <c r="L12" s="10" t="n">
        <v>60</v>
      </c>
      <c r="M12" s="11" t="n">
        <v>0.3</v>
      </c>
      <c r="N12" s="10" t="n">
        <v>16</v>
      </c>
      <c r="O12" s="27" t="s">
        <v>104</v>
      </c>
      <c r="P12" s="23" t="s">
        <v>1839</v>
      </c>
      <c r="Q12" s="9" t="s">
        <v>1840</v>
      </c>
    </row>
    <row r="13" customFormat="false" ht="19.5" hidden="false" customHeight="true" outlineLevel="0" collapsed="false">
      <c r="A13" s="25" t="s">
        <v>1841</v>
      </c>
      <c r="B13" s="25" t="s">
        <v>512</v>
      </c>
      <c r="C13" s="12" t="s">
        <v>1842</v>
      </c>
      <c r="D13" s="25" t="s">
        <v>1837</v>
      </c>
      <c r="E13" s="12" t="s">
        <v>1838</v>
      </c>
      <c r="F13" s="25" t="s">
        <v>1580</v>
      </c>
      <c r="G13" s="29"/>
      <c r="H13" s="29"/>
      <c r="I13" s="14" t="n">
        <v>0.14</v>
      </c>
      <c r="J13" s="29"/>
      <c r="K13" s="14" t="n">
        <v>3.6</v>
      </c>
      <c r="L13" s="13" t="n">
        <v>54</v>
      </c>
      <c r="M13" s="14" t="n">
        <v>0.35</v>
      </c>
      <c r="N13" s="13" t="n">
        <v>16</v>
      </c>
      <c r="O13" s="25" t="s">
        <v>104</v>
      </c>
      <c r="P13" s="22" t="s">
        <v>1839</v>
      </c>
      <c r="Q13" s="12" t="s">
        <v>1843</v>
      </c>
    </row>
    <row r="14" customFormat="false" ht="19.5" hidden="false" customHeight="true" outlineLevel="0" collapsed="false">
      <c r="A14" s="27" t="s">
        <v>1844</v>
      </c>
      <c r="B14" s="27" t="s">
        <v>498</v>
      </c>
      <c r="C14" s="9" t="s">
        <v>1821</v>
      </c>
      <c r="D14" s="27" t="s">
        <v>1845</v>
      </c>
      <c r="E14" s="9" t="s">
        <v>1846</v>
      </c>
      <c r="F14" s="27" t="s">
        <v>1580</v>
      </c>
      <c r="G14" s="30"/>
      <c r="H14" s="30"/>
      <c r="I14" s="11" t="n">
        <v>0.08</v>
      </c>
      <c r="J14" s="30"/>
      <c r="K14" s="11" t="n">
        <v>4</v>
      </c>
      <c r="L14" s="10" t="n">
        <v>60</v>
      </c>
      <c r="M14" s="11" t="n">
        <v>0.32</v>
      </c>
      <c r="N14" s="10" t="n">
        <v>23</v>
      </c>
      <c r="O14" s="27" t="s">
        <v>104</v>
      </c>
      <c r="P14" s="23" t="s">
        <v>111</v>
      </c>
      <c r="Q14" s="9" t="s">
        <v>1847</v>
      </c>
    </row>
    <row r="15" customFormat="false" ht="19.5" hidden="false" customHeight="true" outlineLevel="0" collapsed="false">
      <c r="A15" s="25" t="s">
        <v>1848</v>
      </c>
      <c r="B15" s="25" t="s">
        <v>512</v>
      </c>
      <c r="C15" s="12" t="s">
        <v>1842</v>
      </c>
      <c r="D15" s="25" t="s">
        <v>1845</v>
      </c>
      <c r="E15" s="12" t="s">
        <v>1846</v>
      </c>
      <c r="F15" s="25" t="s">
        <v>1580</v>
      </c>
      <c r="G15" s="29"/>
      <c r="H15" s="29"/>
      <c r="I15" s="14" t="n">
        <v>0.13</v>
      </c>
      <c r="J15" s="29"/>
      <c r="K15" s="14" t="n">
        <v>3.6</v>
      </c>
      <c r="L15" s="13" t="n">
        <v>54</v>
      </c>
      <c r="M15" s="14" t="n">
        <v>0.56</v>
      </c>
      <c r="N15" s="13" t="n">
        <v>20</v>
      </c>
      <c r="O15" s="25" t="s">
        <v>104</v>
      </c>
      <c r="P15" s="22" t="s">
        <v>111</v>
      </c>
      <c r="Q15" s="12" t="s">
        <v>1849</v>
      </c>
    </row>
    <row r="16" customFormat="false" ht="19.5" hidden="false" customHeight="true" outlineLevel="0" collapsed="false">
      <c r="A16" s="27" t="s">
        <v>1850</v>
      </c>
      <c r="B16" s="27" t="s">
        <v>519</v>
      </c>
      <c r="C16" s="9" t="s">
        <v>1851</v>
      </c>
      <c r="D16" s="27" t="s">
        <v>1532</v>
      </c>
      <c r="E16" s="9" t="s">
        <v>1852</v>
      </c>
      <c r="F16" s="27" t="s">
        <v>1853</v>
      </c>
      <c r="G16" s="30"/>
      <c r="H16" s="30"/>
      <c r="I16" s="30"/>
      <c r="J16" s="11" t="n">
        <v>7.5</v>
      </c>
      <c r="K16" s="11" t="n">
        <v>5</v>
      </c>
      <c r="L16" s="10" t="n">
        <v>80</v>
      </c>
      <c r="M16" s="11" t="n">
        <v>0.2</v>
      </c>
      <c r="N16" s="10" t="n">
        <v>15</v>
      </c>
      <c r="O16" s="27" t="s">
        <v>104</v>
      </c>
      <c r="P16" s="23" t="s">
        <v>1854</v>
      </c>
      <c r="Q16" s="9" t="s">
        <v>1855</v>
      </c>
    </row>
    <row r="17" customFormat="false" ht="19.5" hidden="false" customHeight="true" outlineLevel="0" collapsed="false">
      <c r="A17" s="25" t="s">
        <v>1856</v>
      </c>
      <c r="B17" s="25" t="s">
        <v>498</v>
      </c>
      <c r="C17" s="12" t="s">
        <v>1821</v>
      </c>
      <c r="D17" s="25" t="s">
        <v>1857</v>
      </c>
      <c r="E17" s="12" t="s">
        <v>1858</v>
      </c>
      <c r="F17" s="25" t="s">
        <v>1580</v>
      </c>
      <c r="G17" s="29"/>
      <c r="H17" s="29"/>
      <c r="I17" s="14" t="n">
        <v>0.05</v>
      </c>
      <c r="J17" s="29"/>
      <c r="K17" s="14" t="n">
        <v>5.2</v>
      </c>
      <c r="L17" s="13" t="n">
        <v>62</v>
      </c>
      <c r="M17" s="14" t="n">
        <v>0.42</v>
      </c>
      <c r="N17" s="13" t="n">
        <v>22</v>
      </c>
      <c r="O17" s="25" t="s">
        <v>104</v>
      </c>
      <c r="P17" s="22" t="s">
        <v>1859</v>
      </c>
      <c r="Q17" s="12" t="s">
        <v>1860</v>
      </c>
    </row>
    <row r="18" customFormat="false" ht="19.5" hidden="false" customHeight="true" outlineLevel="0" collapsed="false">
      <c r="A18" s="27" t="s">
        <v>1861</v>
      </c>
      <c r="B18" s="27" t="s">
        <v>512</v>
      </c>
      <c r="C18" s="9" t="s">
        <v>1862</v>
      </c>
      <c r="D18" s="27" t="s">
        <v>1857</v>
      </c>
      <c r="E18" s="9" t="s">
        <v>1858</v>
      </c>
      <c r="F18" s="27" t="s">
        <v>1580</v>
      </c>
      <c r="G18" s="30"/>
      <c r="H18" s="30"/>
      <c r="I18" s="11" t="n">
        <v>0.08</v>
      </c>
      <c r="J18" s="30"/>
      <c r="K18" s="11" t="n">
        <v>3.6</v>
      </c>
      <c r="L18" s="10" t="n">
        <v>50</v>
      </c>
      <c r="M18" s="11" t="n">
        <v>0.35</v>
      </c>
      <c r="N18" s="10" t="n">
        <v>25</v>
      </c>
      <c r="O18" s="27" t="s">
        <v>104</v>
      </c>
      <c r="P18" s="23" t="s">
        <v>1859</v>
      </c>
      <c r="Q18" s="9" t="s">
        <v>1863</v>
      </c>
    </row>
    <row r="19" customFormat="false" ht="19.5" hidden="false" customHeight="true" outlineLevel="0" collapsed="false">
      <c r="A19" s="25" t="s">
        <v>1864</v>
      </c>
      <c r="B19" s="25" t="s">
        <v>498</v>
      </c>
      <c r="C19" s="12" t="s">
        <v>1865</v>
      </c>
      <c r="D19" s="25" t="s">
        <v>1866</v>
      </c>
      <c r="E19" s="12" t="s">
        <v>1867</v>
      </c>
      <c r="F19" s="25" t="s">
        <v>1580</v>
      </c>
      <c r="G19" s="29"/>
      <c r="H19" s="29"/>
      <c r="I19" s="14" t="n">
        <v>0.04</v>
      </c>
      <c r="J19" s="29"/>
      <c r="K19" s="14" t="n">
        <v>5.4</v>
      </c>
      <c r="L19" s="13" t="n">
        <v>65</v>
      </c>
      <c r="M19" s="14" t="n">
        <v>0.38</v>
      </c>
      <c r="N19" s="13" t="n">
        <v>21</v>
      </c>
      <c r="O19" s="25" t="s">
        <v>104</v>
      </c>
      <c r="P19" s="22" t="s">
        <v>1868</v>
      </c>
      <c r="Q19" s="12" t="s">
        <v>1869</v>
      </c>
    </row>
    <row r="20" customFormat="false" ht="19.5" hidden="false" customHeight="true" outlineLevel="0" collapsed="false">
      <c r="A20" s="27" t="s">
        <v>1870</v>
      </c>
      <c r="B20" s="27" t="s">
        <v>498</v>
      </c>
      <c r="C20" s="9" t="s">
        <v>1871</v>
      </c>
      <c r="D20" s="27" t="s">
        <v>1872</v>
      </c>
      <c r="E20" s="9" t="s">
        <v>1873</v>
      </c>
      <c r="F20" s="27" t="s">
        <v>1580</v>
      </c>
      <c r="G20" s="30"/>
      <c r="H20" s="30"/>
      <c r="I20" s="11" t="n">
        <v>0.05</v>
      </c>
      <c r="J20" s="30"/>
      <c r="K20" s="11" t="n">
        <v>5.1</v>
      </c>
      <c r="L20" s="10" t="n">
        <v>64</v>
      </c>
      <c r="M20" s="11" t="n">
        <v>0.36</v>
      </c>
      <c r="N20" s="10" t="n">
        <v>20</v>
      </c>
      <c r="O20" s="27" t="s">
        <v>104</v>
      </c>
      <c r="P20" s="23" t="s">
        <v>1874</v>
      </c>
      <c r="Q20" s="9" t="s">
        <v>1875</v>
      </c>
    </row>
    <row r="21" customFormat="false" ht="19.5" hidden="false" customHeight="true" outlineLevel="0" collapsed="false">
      <c r="A21" s="25" t="s">
        <v>1876</v>
      </c>
      <c r="B21" s="25" t="s">
        <v>498</v>
      </c>
      <c r="C21" s="12" t="s">
        <v>1871</v>
      </c>
      <c r="D21" s="25" t="s">
        <v>1877</v>
      </c>
      <c r="E21" s="12" t="s">
        <v>1878</v>
      </c>
      <c r="F21" s="25" t="s">
        <v>1580</v>
      </c>
      <c r="G21" s="29"/>
      <c r="H21" s="29"/>
      <c r="I21" s="14" t="n">
        <v>0.05</v>
      </c>
      <c r="J21" s="29"/>
      <c r="K21" s="14" t="n">
        <v>5</v>
      </c>
      <c r="L21" s="13" t="n">
        <v>60</v>
      </c>
      <c r="M21" s="14" t="n">
        <v>0.34</v>
      </c>
      <c r="N21" s="13" t="n">
        <v>19</v>
      </c>
      <c r="O21" s="25" t="s">
        <v>104</v>
      </c>
      <c r="P21" s="22" t="s">
        <v>1879</v>
      </c>
      <c r="Q21" s="12" t="s">
        <v>1880</v>
      </c>
    </row>
    <row r="22" customFormat="false" ht="19.5" hidden="false" customHeight="true" outlineLevel="0" collapsed="false">
      <c r="A22" s="27" t="s">
        <v>1881</v>
      </c>
      <c r="B22" s="27" t="s">
        <v>498</v>
      </c>
      <c r="C22" s="9" t="s">
        <v>1871</v>
      </c>
      <c r="D22" s="27" t="s">
        <v>1882</v>
      </c>
      <c r="E22" s="9" t="s">
        <v>1883</v>
      </c>
      <c r="F22" s="27" t="s">
        <v>1580</v>
      </c>
      <c r="G22" s="30"/>
      <c r="H22" s="30"/>
      <c r="I22" s="11" t="n">
        <v>0.06</v>
      </c>
      <c r="J22" s="30"/>
      <c r="K22" s="11" t="n">
        <v>4.8</v>
      </c>
      <c r="L22" s="10" t="n">
        <v>58</v>
      </c>
      <c r="M22" s="11" t="n">
        <v>0.31</v>
      </c>
      <c r="N22" s="10" t="n">
        <v>20</v>
      </c>
      <c r="O22" s="27" t="s">
        <v>104</v>
      </c>
      <c r="P22" s="23" t="s">
        <v>1884</v>
      </c>
      <c r="Q22" s="9" t="s">
        <v>1885</v>
      </c>
    </row>
    <row r="23" customFormat="false" ht="19.5" hidden="false" customHeight="true" outlineLevel="0" collapsed="false">
      <c r="A23" s="25" t="s">
        <v>1886</v>
      </c>
      <c r="B23" s="25" t="s">
        <v>498</v>
      </c>
      <c r="C23" s="12" t="s">
        <v>1821</v>
      </c>
      <c r="D23" s="25" t="s">
        <v>1887</v>
      </c>
      <c r="E23" s="12" t="s">
        <v>1888</v>
      </c>
      <c r="F23" s="25" t="s">
        <v>1580</v>
      </c>
      <c r="G23" s="29"/>
      <c r="H23" s="29"/>
      <c r="I23" s="14" t="n">
        <v>0.08</v>
      </c>
      <c r="J23" s="29"/>
      <c r="K23" s="14" t="n">
        <v>4.1</v>
      </c>
      <c r="L23" s="13" t="n">
        <v>62</v>
      </c>
      <c r="M23" s="14" t="n">
        <v>0.29</v>
      </c>
      <c r="N23" s="13" t="n">
        <v>18</v>
      </c>
      <c r="O23" s="25" t="s">
        <v>104</v>
      </c>
      <c r="P23" s="22" t="s">
        <v>1889</v>
      </c>
      <c r="Q23" s="12" t="s">
        <v>1890</v>
      </c>
    </row>
    <row r="24" customFormat="false" ht="19.5" hidden="false" customHeight="true" outlineLevel="0" collapsed="false">
      <c r="A24" s="27" t="s">
        <v>1891</v>
      </c>
      <c r="B24" s="27" t="s">
        <v>512</v>
      </c>
      <c r="C24" s="9" t="s">
        <v>1892</v>
      </c>
      <c r="D24" s="27" t="s">
        <v>1887</v>
      </c>
      <c r="E24" s="9" t="s">
        <v>1888</v>
      </c>
      <c r="F24" s="27" t="s">
        <v>1580</v>
      </c>
      <c r="G24" s="30"/>
      <c r="H24" s="30"/>
      <c r="I24" s="11" t="n">
        <v>0.12</v>
      </c>
      <c r="J24" s="30"/>
      <c r="K24" s="11" t="n">
        <v>3.7</v>
      </c>
      <c r="L24" s="10" t="n">
        <v>55</v>
      </c>
      <c r="M24" s="11" t="n">
        <v>0.38</v>
      </c>
      <c r="N24" s="10" t="n">
        <v>19</v>
      </c>
      <c r="O24" s="27" t="s">
        <v>104</v>
      </c>
      <c r="P24" s="23" t="s">
        <v>1889</v>
      </c>
      <c r="Q24" s="9" t="s">
        <v>1893</v>
      </c>
    </row>
    <row r="25" customFormat="false" ht="19.5" hidden="false" customHeight="true" outlineLevel="0" collapsed="false">
      <c r="A25" s="25" t="s">
        <v>1894</v>
      </c>
      <c r="B25" s="25" t="s">
        <v>498</v>
      </c>
      <c r="C25" s="12" t="s">
        <v>1821</v>
      </c>
      <c r="D25" s="25" t="s">
        <v>1895</v>
      </c>
      <c r="E25" s="12" t="s">
        <v>1896</v>
      </c>
      <c r="F25" s="25" t="s">
        <v>1580</v>
      </c>
      <c r="G25" s="29"/>
      <c r="H25" s="29"/>
      <c r="I25" s="14" t="n">
        <v>0.07</v>
      </c>
      <c r="J25" s="29"/>
      <c r="K25" s="14" t="n">
        <v>4.3</v>
      </c>
      <c r="L25" s="13" t="n">
        <v>64</v>
      </c>
      <c r="M25" s="14" t="n">
        <v>0.26</v>
      </c>
      <c r="N25" s="13" t="n">
        <v>17</v>
      </c>
      <c r="O25" s="25" t="s">
        <v>104</v>
      </c>
      <c r="P25" s="22" t="s">
        <v>1897</v>
      </c>
      <c r="Q25" s="12" t="s">
        <v>1898</v>
      </c>
    </row>
  </sheetData>
  <mergeCells count="2">
    <mergeCell ref="A1:Q1"/>
    <mergeCell ref="A2:Q2"/>
  </mergeCells>
  <hyperlinks>
    <hyperlink ref="P5" r:id="rId1" display="https://drive.google.com/file/d/1jy4qNGTUyO5zFyLGqwi0B16K1XHlZehY/view?usp=drivesdk"/>
    <hyperlink ref="P6" r:id="rId2" display="https://drive.google.com/file/d/1jy4qNGTUyO5zFyLGqwi0B16K1XHlZehY/view?usp=drivesdk"/>
    <hyperlink ref="P7" r:id="rId3" display="https://vienthuysan2.org.vn/wp-content/uploads/2023/07/Xem-tai-day-10.pdf"/>
    <hyperlink ref="P8" r:id="rId4" display="https://dongthapxanh.vn/bai-viet/quan-trac-nguon-nuoc/ket-qua-quan-trac-chat-luong-nuoc-phuc-vu-nuoi-thuy-san-dot-1-nam-2024.html"/>
    <hyperlink ref="P9" r:id="rId5" display="https://dongthapxanh.vn/bai-viet/quan-trac-nguon-nuoc/ket-qua-quan-trac-chat-luong-nuoc-phuc-vu-nuoi-thuy-san-dot-1-nam-2024.html"/>
    <hyperlink ref="P10" r:id="rId6" display="https://dongthapxanh.vn/bai-viet/quan-trac-nguon-nuoc/ket-qua-quan-trac-chat-luong-nuoc-phuc-vu-nuoi-thuy-san-dot-2-nam-2024.html"/>
    <hyperlink ref="P11" r:id="rId7" display="https://dongthapxanh.vn/bai-viet/quan-trac-nguon-nuoc/ket-qua-quan-trac-chat-luong-nuoc-phuc-vu-nuoi-thuy-san-dot-2-nam-2024.html"/>
    <hyperlink ref="P12" r:id="rId8" display="https://dongthapxanh.vn/bai-viet/du-bao-thuy-van/ket-qua-quan-trac-chat-luong-nuoc-phuc-vu-nuoi-thuy-san-dot-1-nam-2025.html"/>
    <hyperlink ref="P13" r:id="rId9" display="https://dongthapxanh.vn/bai-viet/du-bao-thuy-van/ket-qua-quan-trac-chat-luong-nuoc-phuc-vu-nuoi-thuy-san-dot-1-nam-2025.html"/>
    <hyperlink ref="P14" r:id="rId10" display="https://dongthapxanh.vn/bai-viet/du-bao-thuy-van/ket-qua-quan-trac-chat-luong-nuoc-phuc-vu-nuoi-thuy-san-dot-2-nam-2025.html"/>
    <hyperlink ref="P15" r:id="rId11" display="https://dongthapxanh.vn/bai-viet/du-bao-thuy-van/ket-qua-quan-trac-chat-luong-nuoc-phuc-vu-nuoi-thuy-san-dot-2-nam-2025.html"/>
    <hyperlink ref="P16" r:id="rId12" display="https://luatvietnam.vn/tai-nguyen/ke-hoach-1548-kh-ubnd-dong-thap-quan-trac-canh-bao-moi-truong-nuoi-trong-thuy-san-2026-2030-450753-d2.html"/>
    <hyperlink ref="P17" r:id="rId13" display="https://dongthapxanh.vn/bai-viet/du-bao-thuy-van/ket-qua-quan-trac-chat-luong-nuoc-phuc-vu-nuoi-thuy-san-dot-14-nam-2023.html"/>
    <hyperlink ref="P18" r:id="rId14" display="https://dongthapxanh.vn/bai-viet/du-bao-thuy-van/ket-qua-quan-trac-chat-luong-nuoc-phuc-vu-nuoi-thuy-san-dot-14-nam-2023.html"/>
    <hyperlink ref="P19" r:id="rId15" display="https://dongthapxanh.vn/bai-viet/quan-trac-nguon-nuoc/ket-qua-quan-trac-chat-luong-nuoc-phuc-vu-nuoi-thuy-san-tu-01-15-10-2023.html"/>
    <hyperlink ref="P20" r:id="rId16" display="https://dongthapxanh.vn/bai-viet/quan-trac-nguon-nuoc/ket-qua-quan-trac-chat-luong-nuoc-phuc-vu-nuoi-thuy-san-tu-01-15-11-2023.html"/>
    <hyperlink ref="P21" r:id="rId17" display="https://dongthapxanh.vn/bai-viet/quan-trac-nguon-nuoc/ket-qua-quan-trac-chat-luong-nuoc-phuc-vu-nuoi-thuy-san-tu-16-30-11-2023.html"/>
    <hyperlink ref="P22" r:id="rId18" display="https://dongthapxanh.vn/bai-viet/du-bao-thuy-van/ket-qua-quan-trac-chat-luong-nuoc-phuc-vu-nuoi-thuy-san-tu-16-31-12-2023.html"/>
    <hyperlink ref="P23" r:id="rId19" display="https://dongthapxanh.vn/bai-viet/quan-trac-nguon-nuoc/ket-qua-quan-trac-chat-luong-nuoc-phuc-vu-nuoi-thuy-san-dot-3-nam-2025.html"/>
    <hyperlink ref="P24" r:id="rId20" display="https://dongthapxanh.vn/bai-viet/quan-trac-nguon-nuoc/ket-qua-quan-trac-chat-luong-nuoc-phuc-vu-nuoi-thuy-san-dot-3-nam-2025.html"/>
    <hyperlink ref="P25" r:id="rId21" display="https://dongthapxanh.vn/bai-viet/du-bao-thuy-van/ket-qua-quan-trac-chat-luong-nuoc-phuc-vu-nuoi-thuy-san-dot-4-nam-2025.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9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9"/>
    <col collapsed="false" customWidth="true" hidden="false" outlineLevel="0" max="2" min="2" style="0" width="32"/>
    <col collapsed="false" customWidth="true" hidden="false" outlineLevel="0" max="3" min="3" style="0" width="29"/>
    <col collapsed="false" customWidth="true" hidden="false" outlineLevel="0" max="4" min="4" style="0" width="18"/>
    <col collapsed="false" customWidth="true" hidden="false" outlineLevel="0" max="6" min="5" style="0" width="42"/>
    <col collapsed="false" customWidth="true" hidden="false" outlineLevel="0" max="7" min="7" style="0" width="20"/>
    <col collapsed="false" customWidth="true" hidden="false" outlineLevel="0" max="8" min="8" style="0" width="19"/>
    <col collapsed="false" customWidth="true" hidden="false" outlineLevel="0" max="9" min="9" style="0" width="20"/>
    <col collapsed="false" customWidth="true" hidden="false" outlineLevel="0" max="10" min="10" style="0" width="23"/>
    <col collapsed="false" customWidth="true" hidden="false" outlineLevel="0" max="11" min="11" style="0" width="26"/>
    <col collapsed="false" customWidth="true" hidden="false" outlineLevel="0" max="12" min="12" style="0" width="16"/>
    <col collapsed="false" customWidth="true" hidden="false" outlineLevel="0" max="13" min="13" style="0" width="21"/>
    <col collapsed="false" customWidth="true" hidden="false" outlineLevel="0" max="14" min="14" style="0" width="23"/>
    <col collapsed="false" customWidth="true" hidden="false" outlineLevel="0" max="15" min="15" style="0" width="16"/>
    <col collapsed="false" customWidth="true" hidden="false" outlineLevel="0" max="16" min="16" style="0" width="39"/>
    <col collapsed="false" customWidth="true" hidden="false" outlineLevel="0" max="17" min="17" style="0" width="42"/>
  </cols>
  <sheetData>
    <row r="1" customFormat="false" ht="27.75" hidden="false" customHeight="true" outlineLevel="0" collapsed="false">
      <c r="A1" s="1" t="s">
        <v>1899</v>
      </c>
      <c r="B1" s="1"/>
      <c r="C1" s="1"/>
      <c r="D1" s="1"/>
      <c r="E1" s="1"/>
      <c r="F1" s="1"/>
      <c r="G1" s="1"/>
      <c r="H1" s="1"/>
      <c r="I1" s="1"/>
      <c r="J1" s="1"/>
      <c r="K1" s="1"/>
      <c r="L1" s="1"/>
      <c r="M1" s="1"/>
      <c r="N1" s="1"/>
      <c r="O1" s="1"/>
      <c r="P1" s="1"/>
      <c r="Q1" s="1"/>
    </row>
    <row r="2" customFormat="false" ht="19.5" hidden="false" customHeight="true" outlineLevel="0" collapsed="false">
      <c r="A2" s="2" t="s">
        <v>1900</v>
      </c>
      <c r="B2" s="2"/>
      <c r="C2" s="2"/>
      <c r="D2" s="2"/>
      <c r="E2" s="2"/>
      <c r="F2" s="2"/>
      <c r="G2" s="2"/>
      <c r="H2" s="2"/>
      <c r="I2" s="2"/>
      <c r="J2" s="2"/>
      <c r="K2" s="2"/>
      <c r="L2" s="2"/>
      <c r="M2" s="2"/>
      <c r="N2" s="2"/>
      <c r="O2" s="2"/>
      <c r="P2" s="2"/>
      <c r="Q2" s="2"/>
    </row>
    <row r="4" customFormat="false" ht="24" hidden="false" customHeight="true" outlineLevel="0" collapsed="false">
      <c r="A4" s="24" t="s">
        <v>1901</v>
      </c>
      <c r="B4" s="7" t="s">
        <v>1902</v>
      </c>
      <c r="C4" s="24" t="s">
        <v>1903</v>
      </c>
      <c r="D4" s="24" t="s">
        <v>1904</v>
      </c>
      <c r="E4" s="7" t="s">
        <v>1905</v>
      </c>
      <c r="F4" s="7" t="s">
        <v>205</v>
      </c>
      <c r="G4" s="24" t="s">
        <v>1906</v>
      </c>
      <c r="H4" s="8" t="s">
        <v>1907</v>
      </c>
      <c r="I4" s="24" t="s">
        <v>1908</v>
      </c>
      <c r="J4" s="8" t="s">
        <v>1909</v>
      </c>
      <c r="K4" s="8" t="s">
        <v>1910</v>
      </c>
      <c r="L4" s="24" t="s">
        <v>1911</v>
      </c>
      <c r="M4" s="8" t="s">
        <v>207</v>
      </c>
      <c r="N4" s="8" t="s">
        <v>208</v>
      </c>
      <c r="O4" s="24" t="s">
        <v>1912</v>
      </c>
      <c r="P4" s="24" t="s">
        <v>211</v>
      </c>
      <c r="Q4" s="7" t="s">
        <v>1913</v>
      </c>
    </row>
    <row r="5" customFormat="false" ht="19.5" hidden="false" customHeight="true" outlineLevel="0" collapsed="false">
      <c r="A5" s="25" t="s">
        <v>1914</v>
      </c>
      <c r="B5" s="12" t="s">
        <v>1915</v>
      </c>
      <c r="C5" s="25" t="s">
        <v>1916</v>
      </c>
      <c r="D5" s="25" t="n">
        <v>0</v>
      </c>
      <c r="E5" s="12" t="s">
        <v>1917</v>
      </c>
      <c r="F5" s="12" t="s">
        <v>1918</v>
      </c>
      <c r="G5" s="25" t="s">
        <v>1919</v>
      </c>
      <c r="H5" s="29" t="n">
        <v>2</v>
      </c>
      <c r="I5" s="25" t="s">
        <v>1920</v>
      </c>
      <c r="J5" s="14" t="n">
        <v>-5.5</v>
      </c>
      <c r="K5" s="18" t="n">
        <v>128000</v>
      </c>
      <c r="L5" s="25" t="s">
        <v>1921</v>
      </c>
      <c r="M5" s="26" t="n">
        <v>10.340563</v>
      </c>
      <c r="N5" s="26" t="n">
        <v>106.284438</v>
      </c>
      <c r="O5" s="25" t="s">
        <v>297</v>
      </c>
      <c r="P5" s="25" t="s">
        <v>223</v>
      </c>
      <c r="Q5" s="12" t="s">
        <v>1922</v>
      </c>
    </row>
    <row r="6" customFormat="false" ht="19.5" hidden="false" customHeight="true" outlineLevel="0" collapsed="false">
      <c r="A6" s="27" t="s">
        <v>1923</v>
      </c>
      <c r="B6" s="9" t="s">
        <v>1924</v>
      </c>
      <c r="C6" s="27" t="s">
        <v>1925</v>
      </c>
      <c r="D6" s="27" t="n">
        <v>1</v>
      </c>
      <c r="E6" s="9" t="s">
        <v>1926</v>
      </c>
      <c r="F6" s="9" t="s">
        <v>1927</v>
      </c>
      <c r="G6" s="27" t="s">
        <v>1928</v>
      </c>
      <c r="H6" s="30" t="n">
        <v>4</v>
      </c>
      <c r="I6" s="27" t="s">
        <v>1929</v>
      </c>
      <c r="J6" s="11" t="n">
        <v>-3.5</v>
      </c>
      <c r="K6" s="20" t="n">
        <v>34000</v>
      </c>
      <c r="L6" s="27" t="s">
        <v>1930</v>
      </c>
      <c r="M6" s="28" t="n">
        <v>10.332862</v>
      </c>
      <c r="N6" s="28" t="n">
        <v>106.444016</v>
      </c>
      <c r="O6" s="27" t="s">
        <v>262</v>
      </c>
      <c r="P6" s="27" t="s">
        <v>223</v>
      </c>
      <c r="Q6" s="9" t="s">
        <v>1931</v>
      </c>
    </row>
    <row r="7" customFormat="false" ht="19.5" hidden="false" customHeight="true" outlineLevel="0" collapsed="false">
      <c r="A7" s="25" t="s">
        <v>1932</v>
      </c>
      <c r="B7" s="12" t="s">
        <v>1578</v>
      </c>
      <c r="C7" s="25" t="s">
        <v>1925</v>
      </c>
      <c r="D7" s="25" t="n">
        <v>2</v>
      </c>
      <c r="E7" s="12" t="s">
        <v>1933</v>
      </c>
      <c r="F7" s="12" t="s">
        <v>462</v>
      </c>
      <c r="G7" s="25" t="s">
        <v>1928</v>
      </c>
      <c r="H7" s="29" t="n">
        <v>3</v>
      </c>
      <c r="I7" s="25" t="s">
        <v>1934</v>
      </c>
      <c r="J7" s="14" t="n">
        <v>-4.2</v>
      </c>
      <c r="K7" s="18" t="n">
        <v>10300</v>
      </c>
      <c r="L7" s="25" t="s">
        <v>1935</v>
      </c>
      <c r="M7" s="26" t="n">
        <v>10.376638</v>
      </c>
      <c r="N7" s="26" t="n">
        <v>106.344297</v>
      </c>
      <c r="O7" s="25" t="s">
        <v>470</v>
      </c>
      <c r="P7" s="25" t="s">
        <v>223</v>
      </c>
      <c r="Q7" s="12" t="s">
        <v>1931</v>
      </c>
    </row>
    <row r="8" customFormat="false" ht="19.5" hidden="false" customHeight="true" outlineLevel="0" collapsed="false">
      <c r="A8" s="27" t="s">
        <v>1936</v>
      </c>
      <c r="B8" s="9" t="s">
        <v>1937</v>
      </c>
      <c r="C8" s="27" t="s">
        <v>1925</v>
      </c>
      <c r="D8" s="27" t="n">
        <v>3</v>
      </c>
      <c r="E8" s="9" t="s">
        <v>1938</v>
      </c>
      <c r="F8" s="9" t="s">
        <v>1939</v>
      </c>
      <c r="G8" s="27" t="s">
        <v>1928</v>
      </c>
      <c r="H8" s="30" t="n">
        <v>2</v>
      </c>
      <c r="I8" s="27" t="s">
        <v>1940</v>
      </c>
      <c r="J8" s="11" t="n">
        <v>-5.5</v>
      </c>
      <c r="K8" s="20" t="n">
        <v>10000</v>
      </c>
      <c r="L8" s="27" t="s">
        <v>1941</v>
      </c>
      <c r="M8" s="28" t="n">
        <v>10.326713</v>
      </c>
      <c r="N8" s="28" t="n">
        <v>106.244484</v>
      </c>
      <c r="O8" s="27" t="s">
        <v>309</v>
      </c>
      <c r="P8" s="27" t="s">
        <v>223</v>
      </c>
      <c r="Q8" s="9" t="s">
        <v>1931</v>
      </c>
    </row>
    <row r="9" customFormat="false" ht="19.5" hidden="false" customHeight="true" outlineLevel="0" collapsed="false">
      <c r="A9" s="25" t="s">
        <v>1942</v>
      </c>
      <c r="B9" s="12" t="s">
        <v>1943</v>
      </c>
      <c r="C9" s="25" t="s">
        <v>1925</v>
      </c>
      <c r="D9" s="25" t="n">
        <v>4</v>
      </c>
      <c r="E9" s="12" t="s">
        <v>1944</v>
      </c>
      <c r="F9" s="12" t="s">
        <v>1939</v>
      </c>
      <c r="G9" s="25" t="s">
        <v>1928</v>
      </c>
      <c r="H9" s="29" t="n">
        <v>2</v>
      </c>
      <c r="I9" s="25" t="s">
        <v>1940</v>
      </c>
      <c r="J9" s="14" t="n">
        <v>-5.5</v>
      </c>
      <c r="K9" s="18" t="n">
        <v>10000</v>
      </c>
      <c r="L9" s="25" t="s">
        <v>1941</v>
      </c>
      <c r="M9" s="26" t="n">
        <v>10.322812</v>
      </c>
      <c r="N9" s="26" t="n">
        <v>106.207266</v>
      </c>
      <c r="O9" s="25" t="s">
        <v>316</v>
      </c>
      <c r="P9" s="25" t="s">
        <v>223</v>
      </c>
      <c r="Q9" s="12" t="s">
        <v>1931</v>
      </c>
    </row>
    <row r="10" customFormat="false" ht="19.5" hidden="false" customHeight="true" outlineLevel="0" collapsed="false">
      <c r="A10" s="27" t="s">
        <v>1945</v>
      </c>
      <c r="B10" s="9" t="s">
        <v>1617</v>
      </c>
      <c r="C10" s="27" t="s">
        <v>1946</v>
      </c>
      <c r="D10" s="27" t="n">
        <v>1</v>
      </c>
      <c r="E10" s="9" t="s">
        <v>1947</v>
      </c>
      <c r="F10" s="9" t="s">
        <v>1927</v>
      </c>
      <c r="G10" s="27" t="s">
        <v>1928</v>
      </c>
      <c r="H10" s="30" t="n">
        <v>2</v>
      </c>
      <c r="I10" s="27" t="s">
        <v>1929</v>
      </c>
      <c r="J10" s="11" t="n">
        <v>-3.5</v>
      </c>
      <c r="K10" s="20" t="n">
        <v>17000</v>
      </c>
      <c r="L10" s="27" t="s">
        <v>1948</v>
      </c>
      <c r="M10" s="28" t="n">
        <v>10.300887</v>
      </c>
      <c r="N10" s="28" t="n">
        <v>106.548484</v>
      </c>
      <c r="O10" s="27" t="s">
        <v>381</v>
      </c>
      <c r="P10" s="27" t="s">
        <v>223</v>
      </c>
      <c r="Q10" s="9" t="s">
        <v>1931</v>
      </c>
    </row>
    <row r="11" customFormat="false" ht="19.5" hidden="false" customHeight="true" outlineLevel="0" collapsed="false">
      <c r="A11" s="25" t="s">
        <v>1949</v>
      </c>
      <c r="B11" s="12" t="s">
        <v>1603</v>
      </c>
      <c r="C11" s="25" t="s">
        <v>1946</v>
      </c>
      <c r="D11" s="25" t="n">
        <v>2</v>
      </c>
      <c r="E11" s="12" t="s">
        <v>1950</v>
      </c>
      <c r="F11" s="12" t="s">
        <v>1927</v>
      </c>
      <c r="G11" s="25" t="s">
        <v>1928</v>
      </c>
      <c r="H11" s="29" t="n">
        <v>2</v>
      </c>
      <c r="I11" s="25" t="s">
        <v>1929</v>
      </c>
      <c r="J11" s="14" t="n">
        <v>-3.5</v>
      </c>
      <c r="K11" s="18" t="n">
        <v>6000</v>
      </c>
      <c r="L11" s="25" t="s">
        <v>1951</v>
      </c>
      <c r="M11" s="26" t="n">
        <v>10.385387</v>
      </c>
      <c r="N11" s="26" t="n">
        <v>106.657922</v>
      </c>
      <c r="O11" s="25" t="s">
        <v>389</v>
      </c>
      <c r="P11" s="25" t="s">
        <v>223</v>
      </c>
      <c r="Q11" s="12" t="s">
        <v>1931</v>
      </c>
    </row>
    <row r="12" customFormat="false" ht="19.5" hidden="false" customHeight="true" outlineLevel="0" collapsed="false">
      <c r="A12" s="27" t="s">
        <v>1952</v>
      </c>
      <c r="B12" s="9" t="s">
        <v>1953</v>
      </c>
      <c r="C12" s="27" t="s">
        <v>1946</v>
      </c>
      <c r="D12" s="27" t="n">
        <v>3</v>
      </c>
      <c r="E12" s="9" t="s">
        <v>1954</v>
      </c>
      <c r="F12" s="9" t="s">
        <v>1927</v>
      </c>
      <c r="G12" s="27" t="s">
        <v>1928</v>
      </c>
      <c r="H12" s="30" t="n">
        <v>5</v>
      </c>
      <c r="I12" s="27" t="s">
        <v>1955</v>
      </c>
      <c r="J12" s="11" t="n">
        <v>-2.12</v>
      </c>
      <c r="K12" s="20" t="n">
        <v>1425</v>
      </c>
      <c r="L12" s="27" t="s">
        <v>1956</v>
      </c>
      <c r="M12" s="30"/>
      <c r="N12" s="30"/>
      <c r="O12" s="27"/>
      <c r="P12" s="27" t="s">
        <v>1957</v>
      </c>
      <c r="Q12" s="9" t="s">
        <v>1931</v>
      </c>
    </row>
    <row r="13" customFormat="false" ht="19.5" hidden="false" customHeight="true" outlineLevel="0" collapsed="false">
      <c r="A13" s="25" t="s">
        <v>1958</v>
      </c>
      <c r="B13" s="12" t="s">
        <v>1959</v>
      </c>
      <c r="C13" s="25" t="s">
        <v>1946</v>
      </c>
      <c r="D13" s="25" t="n">
        <v>4</v>
      </c>
      <c r="E13" s="12" t="s">
        <v>1926</v>
      </c>
      <c r="F13" s="12" t="s">
        <v>1927</v>
      </c>
      <c r="G13" s="25" t="s">
        <v>1928</v>
      </c>
      <c r="H13" s="29" t="n">
        <v>1</v>
      </c>
      <c r="I13" s="25" t="s">
        <v>1960</v>
      </c>
      <c r="J13" s="14" t="n">
        <v>-3.2</v>
      </c>
      <c r="K13" s="18" t="n">
        <v>368</v>
      </c>
      <c r="L13" s="25" t="s">
        <v>1961</v>
      </c>
      <c r="M13" s="26" t="n">
        <v>10.332862</v>
      </c>
      <c r="N13" s="26" t="n">
        <v>106.444016</v>
      </c>
      <c r="O13" s="25" t="s">
        <v>262</v>
      </c>
      <c r="P13" s="25" t="s">
        <v>223</v>
      </c>
      <c r="Q13" s="12" t="s">
        <v>1931</v>
      </c>
    </row>
    <row r="14" customFormat="false" ht="19.5" hidden="false" customHeight="true" outlineLevel="0" collapsed="false">
      <c r="A14" s="27" t="s">
        <v>1962</v>
      </c>
      <c r="B14" s="9" t="s">
        <v>1963</v>
      </c>
      <c r="C14" s="27" t="s">
        <v>1946</v>
      </c>
      <c r="D14" s="27" t="n">
        <v>5</v>
      </c>
      <c r="E14" s="9" t="s">
        <v>1964</v>
      </c>
      <c r="F14" s="9" t="s">
        <v>1927</v>
      </c>
      <c r="G14" s="27" t="s">
        <v>1928</v>
      </c>
      <c r="H14" s="30" t="n">
        <v>2</v>
      </c>
      <c r="I14" s="27" t="s">
        <v>1960</v>
      </c>
      <c r="J14" s="11" t="n">
        <v>-3</v>
      </c>
      <c r="K14" s="30"/>
      <c r="L14" s="27" t="s">
        <v>1965</v>
      </c>
      <c r="M14" s="30"/>
      <c r="N14" s="30"/>
      <c r="O14" s="27"/>
      <c r="P14" s="27" t="s">
        <v>1957</v>
      </c>
      <c r="Q14" s="9" t="s">
        <v>1931</v>
      </c>
    </row>
    <row r="15" customFormat="false" ht="19.5" hidden="false" customHeight="true" outlineLevel="0" collapsed="false">
      <c r="A15" s="25" t="s">
        <v>1966</v>
      </c>
      <c r="B15" s="12" t="s">
        <v>1967</v>
      </c>
      <c r="C15" s="25" t="s">
        <v>1946</v>
      </c>
      <c r="D15" s="25" t="n">
        <v>6</v>
      </c>
      <c r="E15" s="12" t="s">
        <v>1968</v>
      </c>
      <c r="F15" s="12" t="s">
        <v>1927</v>
      </c>
      <c r="G15" s="25" t="s">
        <v>1928</v>
      </c>
      <c r="H15" s="29" t="n">
        <v>2</v>
      </c>
      <c r="I15" s="25" t="s">
        <v>1969</v>
      </c>
      <c r="J15" s="14" t="n">
        <v>-3</v>
      </c>
      <c r="K15" s="29"/>
      <c r="L15" s="25" t="s">
        <v>1970</v>
      </c>
      <c r="M15" s="29"/>
      <c r="N15" s="29"/>
      <c r="O15" s="25"/>
      <c r="P15" s="25" t="s">
        <v>1957</v>
      </c>
      <c r="Q15" s="12" t="s">
        <v>1931</v>
      </c>
    </row>
    <row r="16" customFormat="false" ht="19.5" hidden="false" customHeight="true" outlineLevel="0" collapsed="false">
      <c r="A16" s="27" t="s">
        <v>1971</v>
      </c>
      <c r="B16" s="9" t="s">
        <v>1972</v>
      </c>
      <c r="C16" s="27" t="s">
        <v>1946</v>
      </c>
      <c r="D16" s="27" t="n">
        <v>7</v>
      </c>
      <c r="E16" s="9" t="s">
        <v>1973</v>
      </c>
      <c r="F16" s="9" t="s">
        <v>1927</v>
      </c>
      <c r="G16" s="27" t="s">
        <v>1928</v>
      </c>
      <c r="H16" s="30" t="n">
        <v>1</v>
      </c>
      <c r="I16" s="27" t="s">
        <v>1960</v>
      </c>
      <c r="J16" s="11" t="n">
        <v>-3</v>
      </c>
      <c r="K16" s="30"/>
      <c r="L16" s="27" t="s">
        <v>1970</v>
      </c>
      <c r="M16" s="30"/>
      <c r="N16" s="30"/>
      <c r="O16" s="27"/>
      <c r="P16" s="27" t="s">
        <v>1957</v>
      </c>
      <c r="Q16" s="9" t="s">
        <v>1931</v>
      </c>
    </row>
    <row r="17" customFormat="false" ht="19.5" hidden="false" customHeight="true" outlineLevel="0" collapsed="false">
      <c r="A17" s="25" t="s">
        <v>1974</v>
      </c>
      <c r="B17" s="12" t="s">
        <v>1975</v>
      </c>
      <c r="C17" s="25" t="s">
        <v>1946</v>
      </c>
      <c r="D17" s="25" t="n">
        <v>8</v>
      </c>
      <c r="E17" s="12" t="s">
        <v>1976</v>
      </c>
      <c r="F17" s="12" t="s">
        <v>1977</v>
      </c>
      <c r="G17" s="25" t="s">
        <v>1928</v>
      </c>
      <c r="H17" s="29" t="n">
        <v>2</v>
      </c>
      <c r="I17" s="25" t="s">
        <v>1929</v>
      </c>
      <c r="J17" s="14" t="n">
        <v>-2.7</v>
      </c>
      <c r="K17" s="18" t="n">
        <v>507</v>
      </c>
      <c r="L17" s="25" t="s">
        <v>1978</v>
      </c>
      <c r="M17" s="29"/>
      <c r="N17" s="29"/>
      <c r="O17" s="25"/>
      <c r="P17" s="25" t="s">
        <v>1957</v>
      </c>
      <c r="Q17" s="12" t="s">
        <v>1931</v>
      </c>
    </row>
    <row r="18" customFormat="false" ht="19.5" hidden="false" customHeight="true" outlineLevel="0" collapsed="false">
      <c r="A18" s="27" t="s">
        <v>1979</v>
      </c>
      <c r="B18" s="9" t="s">
        <v>1980</v>
      </c>
      <c r="C18" s="27" t="s">
        <v>1946</v>
      </c>
      <c r="D18" s="27" t="n">
        <v>9</v>
      </c>
      <c r="E18" s="9" t="s">
        <v>1981</v>
      </c>
      <c r="F18" s="9" t="s">
        <v>1977</v>
      </c>
      <c r="G18" s="27" t="s">
        <v>1928</v>
      </c>
      <c r="H18" s="30" t="n">
        <v>2</v>
      </c>
      <c r="I18" s="27" t="s">
        <v>1929</v>
      </c>
      <c r="J18" s="11" t="n">
        <v>-2.8</v>
      </c>
      <c r="K18" s="20" t="n">
        <v>300</v>
      </c>
      <c r="L18" s="27" t="s">
        <v>1978</v>
      </c>
      <c r="M18" s="30"/>
      <c r="N18" s="30"/>
      <c r="O18" s="27"/>
      <c r="P18" s="27" t="s">
        <v>1957</v>
      </c>
      <c r="Q18" s="9" t="s">
        <v>1931</v>
      </c>
    </row>
    <row r="19" customFormat="false" ht="19.5" hidden="false" customHeight="true" outlineLevel="0" collapsed="false">
      <c r="A19" s="25" t="s">
        <v>1982</v>
      </c>
      <c r="B19" s="12" t="s">
        <v>1983</v>
      </c>
      <c r="C19" s="25" t="s">
        <v>1946</v>
      </c>
      <c r="D19" s="25" t="n">
        <v>10</v>
      </c>
      <c r="E19" s="12" t="s">
        <v>1984</v>
      </c>
      <c r="F19" s="12" t="s">
        <v>1977</v>
      </c>
      <c r="G19" s="25" t="s">
        <v>1928</v>
      </c>
      <c r="H19" s="29" t="n">
        <v>2</v>
      </c>
      <c r="I19" s="25" t="s">
        <v>1960</v>
      </c>
      <c r="J19" s="14" t="n">
        <v>-2.5</v>
      </c>
      <c r="K19" s="18" t="n">
        <v>800</v>
      </c>
      <c r="L19" s="25" t="s">
        <v>1978</v>
      </c>
      <c r="M19" s="29"/>
      <c r="N19" s="29"/>
      <c r="O19" s="25"/>
      <c r="P19" s="25" t="s">
        <v>1957</v>
      </c>
      <c r="Q19" s="12" t="s">
        <v>1931</v>
      </c>
    </row>
    <row r="20" customFormat="false" ht="19.5" hidden="false" customHeight="true" outlineLevel="0" collapsed="false">
      <c r="A20" s="27" t="s">
        <v>1985</v>
      </c>
      <c r="B20" s="9" t="s">
        <v>1986</v>
      </c>
      <c r="C20" s="27" t="s">
        <v>1946</v>
      </c>
      <c r="D20" s="27" t="n">
        <v>11</v>
      </c>
      <c r="E20" s="9" t="s">
        <v>1987</v>
      </c>
      <c r="F20" s="9" t="s">
        <v>1977</v>
      </c>
      <c r="G20" s="27" t="s">
        <v>1928</v>
      </c>
      <c r="H20" s="30" t="n">
        <v>1</v>
      </c>
      <c r="I20" s="27" t="s">
        <v>1960</v>
      </c>
      <c r="J20" s="11" t="n">
        <v>-2.5</v>
      </c>
      <c r="K20" s="20" t="n">
        <v>456</v>
      </c>
      <c r="L20" s="27" t="s">
        <v>1988</v>
      </c>
      <c r="M20" s="30"/>
      <c r="N20" s="30"/>
      <c r="O20" s="27"/>
      <c r="P20" s="27" t="s">
        <v>1957</v>
      </c>
      <c r="Q20" s="9" t="s">
        <v>1931</v>
      </c>
    </row>
    <row r="21" customFormat="false" ht="19.5" hidden="false" customHeight="true" outlineLevel="0" collapsed="false">
      <c r="A21" s="25" t="s">
        <v>1989</v>
      </c>
      <c r="B21" s="12" t="s">
        <v>1990</v>
      </c>
      <c r="C21" s="25" t="s">
        <v>1946</v>
      </c>
      <c r="D21" s="25" t="n">
        <v>12</v>
      </c>
      <c r="E21" s="12" t="s">
        <v>1991</v>
      </c>
      <c r="F21" s="12" t="s">
        <v>1977</v>
      </c>
      <c r="G21" s="25" t="s">
        <v>1928</v>
      </c>
      <c r="H21" s="29" t="n">
        <v>2</v>
      </c>
      <c r="I21" s="25" t="s">
        <v>1969</v>
      </c>
      <c r="J21" s="14" t="n">
        <v>-3.3</v>
      </c>
      <c r="K21" s="18" t="n">
        <v>223</v>
      </c>
      <c r="L21" s="25" t="s">
        <v>1965</v>
      </c>
      <c r="M21" s="26" t="n">
        <v>10.330488</v>
      </c>
      <c r="N21" s="26" t="n">
        <v>106.058328</v>
      </c>
      <c r="O21" s="25" t="s">
        <v>339</v>
      </c>
      <c r="P21" s="25" t="s">
        <v>223</v>
      </c>
      <c r="Q21" s="12" t="s">
        <v>1931</v>
      </c>
    </row>
    <row r="22" customFormat="false" ht="19.5" hidden="false" customHeight="true" outlineLevel="0" collapsed="false">
      <c r="A22" s="27" t="s">
        <v>1992</v>
      </c>
      <c r="B22" s="9" t="s">
        <v>1993</v>
      </c>
      <c r="C22" s="27" t="s">
        <v>1946</v>
      </c>
      <c r="D22" s="27" t="n">
        <v>13</v>
      </c>
      <c r="E22" s="9" t="s">
        <v>1994</v>
      </c>
      <c r="F22" s="9" t="s">
        <v>1977</v>
      </c>
      <c r="G22" s="27" t="s">
        <v>1928</v>
      </c>
      <c r="H22" s="30" t="n">
        <v>1</v>
      </c>
      <c r="I22" s="27" t="s">
        <v>1960</v>
      </c>
      <c r="J22" s="11" t="n">
        <v>-2.7</v>
      </c>
      <c r="K22" s="20" t="n">
        <v>174</v>
      </c>
      <c r="L22" s="27" t="s">
        <v>1965</v>
      </c>
      <c r="M22" s="30"/>
      <c r="N22" s="30"/>
      <c r="O22" s="27"/>
      <c r="P22" s="27" t="s">
        <v>1957</v>
      </c>
      <c r="Q22" s="9" t="s">
        <v>1931</v>
      </c>
    </row>
    <row r="23" customFormat="false" ht="19.5" hidden="false" customHeight="true" outlineLevel="0" collapsed="false">
      <c r="A23" s="25" t="s">
        <v>1995</v>
      </c>
      <c r="B23" s="12" t="s">
        <v>1996</v>
      </c>
      <c r="C23" s="25" t="s">
        <v>1946</v>
      </c>
      <c r="D23" s="25" t="n">
        <v>14</v>
      </c>
      <c r="E23" s="12" t="s">
        <v>1997</v>
      </c>
      <c r="F23" s="12" t="s">
        <v>1977</v>
      </c>
      <c r="G23" s="25" t="s">
        <v>1928</v>
      </c>
      <c r="H23" s="29" t="n">
        <v>1</v>
      </c>
      <c r="I23" s="25" t="s">
        <v>1960</v>
      </c>
      <c r="J23" s="14" t="n">
        <v>-2</v>
      </c>
      <c r="K23" s="18" t="n">
        <v>184</v>
      </c>
      <c r="L23" s="25" t="s">
        <v>1998</v>
      </c>
      <c r="M23" s="29"/>
      <c r="N23" s="29"/>
      <c r="O23" s="25"/>
      <c r="P23" s="25" t="s">
        <v>1957</v>
      </c>
      <c r="Q23" s="12" t="s">
        <v>1931</v>
      </c>
    </row>
    <row r="24" customFormat="false" ht="19.5" hidden="false" customHeight="true" outlineLevel="0" collapsed="false">
      <c r="A24" s="27" t="s">
        <v>1999</v>
      </c>
      <c r="B24" s="9" t="s">
        <v>2000</v>
      </c>
      <c r="C24" s="27" t="s">
        <v>1946</v>
      </c>
      <c r="D24" s="27" t="n">
        <v>15</v>
      </c>
      <c r="E24" s="9" t="s">
        <v>1991</v>
      </c>
      <c r="F24" s="9" t="s">
        <v>1977</v>
      </c>
      <c r="G24" s="27" t="s">
        <v>1928</v>
      </c>
      <c r="H24" s="30" t="n">
        <v>1</v>
      </c>
      <c r="I24" s="27" t="s">
        <v>1960</v>
      </c>
      <c r="J24" s="11" t="n">
        <v>-3</v>
      </c>
      <c r="K24" s="20" t="n">
        <v>228</v>
      </c>
      <c r="L24" s="27" t="s">
        <v>1998</v>
      </c>
      <c r="M24" s="30"/>
      <c r="N24" s="30"/>
      <c r="O24" s="27"/>
      <c r="P24" s="27" t="s">
        <v>1957</v>
      </c>
      <c r="Q24" s="9" t="s">
        <v>1931</v>
      </c>
    </row>
    <row r="25" customFormat="false" ht="19.5" hidden="false" customHeight="true" outlineLevel="0" collapsed="false">
      <c r="A25" s="25" t="s">
        <v>2001</v>
      </c>
      <c r="B25" s="12" t="s">
        <v>2002</v>
      </c>
      <c r="C25" s="25" t="s">
        <v>1946</v>
      </c>
      <c r="D25" s="25" t="n">
        <v>16</v>
      </c>
      <c r="E25" s="12" t="s">
        <v>2003</v>
      </c>
      <c r="F25" s="12" t="s">
        <v>462</v>
      </c>
      <c r="G25" s="25" t="s">
        <v>1928</v>
      </c>
      <c r="H25" s="29" t="n">
        <v>1</v>
      </c>
      <c r="I25" s="25" t="s">
        <v>1960</v>
      </c>
      <c r="J25" s="14" t="n">
        <v>-3.5</v>
      </c>
      <c r="K25" s="18" t="n">
        <v>7300</v>
      </c>
      <c r="L25" s="25" t="s">
        <v>1961</v>
      </c>
      <c r="M25" s="26" t="n">
        <v>10.344488</v>
      </c>
      <c r="N25" s="26" t="n">
        <v>106.308578</v>
      </c>
      <c r="O25" s="25" t="s">
        <v>2004</v>
      </c>
      <c r="P25" s="25" t="s">
        <v>223</v>
      </c>
      <c r="Q25" s="12" t="s">
        <v>1931</v>
      </c>
    </row>
    <row r="26" customFormat="false" ht="19.5" hidden="false" customHeight="true" outlineLevel="0" collapsed="false">
      <c r="A26" s="27" t="s">
        <v>2005</v>
      </c>
      <c r="B26" s="9" t="s">
        <v>2006</v>
      </c>
      <c r="C26" s="27" t="s">
        <v>1946</v>
      </c>
      <c r="D26" s="27" t="n">
        <v>17</v>
      </c>
      <c r="E26" s="9" t="s">
        <v>2007</v>
      </c>
      <c r="F26" s="9" t="s">
        <v>1939</v>
      </c>
      <c r="G26" s="27" t="s">
        <v>1928</v>
      </c>
      <c r="H26" s="30" t="n">
        <v>1</v>
      </c>
      <c r="I26" s="27" t="s">
        <v>1960</v>
      </c>
      <c r="J26" s="11" t="n">
        <v>-2.5</v>
      </c>
      <c r="K26" s="20" t="n">
        <v>450</v>
      </c>
      <c r="L26" s="27" t="s">
        <v>2008</v>
      </c>
      <c r="M26" s="28" t="n">
        <v>10.306712</v>
      </c>
      <c r="N26" s="28" t="n">
        <v>106.135828</v>
      </c>
      <c r="O26" s="27" t="s">
        <v>2009</v>
      </c>
      <c r="P26" s="27" t="s">
        <v>223</v>
      </c>
      <c r="Q26" s="9" t="s">
        <v>1931</v>
      </c>
    </row>
    <row r="27" customFormat="false" ht="19.5" hidden="false" customHeight="true" outlineLevel="0" collapsed="false">
      <c r="A27" s="25" t="s">
        <v>2010</v>
      </c>
      <c r="B27" s="12" t="s">
        <v>2011</v>
      </c>
      <c r="C27" s="25" t="s">
        <v>1946</v>
      </c>
      <c r="D27" s="25" t="n">
        <v>18</v>
      </c>
      <c r="E27" s="12" t="s">
        <v>2007</v>
      </c>
      <c r="F27" s="12" t="s">
        <v>1939</v>
      </c>
      <c r="G27" s="25" t="s">
        <v>1928</v>
      </c>
      <c r="H27" s="29" t="n">
        <v>1</v>
      </c>
      <c r="I27" s="25" t="s">
        <v>1960</v>
      </c>
      <c r="J27" s="14" t="n">
        <v>-3</v>
      </c>
      <c r="K27" s="18" t="n">
        <v>580</v>
      </c>
      <c r="L27" s="25" t="s">
        <v>2008</v>
      </c>
      <c r="M27" s="26" t="n">
        <v>10.316487</v>
      </c>
      <c r="N27" s="26" t="n">
        <v>106.188953</v>
      </c>
      <c r="O27" s="25" t="s">
        <v>2012</v>
      </c>
      <c r="P27" s="25" t="s">
        <v>223</v>
      </c>
      <c r="Q27" s="12" t="s">
        <v>1931</v>
      </c>
    </row>
    <row r="28" customFormat="false" ht="19.5" hidden="false" customHeight="true" outlineLevel="0" collapsed="false">
      <c r="A28" s="27" t="s">
        <v>2013</v>
      </c>
      <c r="B28" s="9" t="s">
        <v>2014</v>
      </c>
      <c r="C28" s="27" t="s">
        <v>1946</v>
      </c>
      <c r="D28" s="27" t="n">
        <v>19</v>
      </c>
      <c r="E28" s="9" t="s">
        <v>2007</v>
      </c>
      <c r="F28" s="9" t="s">
        <v>1939</v>
      </c>
      <c r="G28" s="27" t="s">
        <v>1928</v>
      </c>
      <c r="H28" s="30" t="n">
        <v>1</v>
      </c>
      <c r="I28" s="27" t="s">
        <v>2015</v>
      </c>
      <c r="J28" s="11" t="n">
        <v>-4.5</v>
      </c>
      <c r="K28" s="20" t="n">
        <v>2280</v>
      </c>
      <c r="L28" s="27" t="s">
        <v>2008</v>
      </c>
      <c r="M28" s="28" t="n">
        <v>10.309662</v>
      </c>
      <c r="N28" s="28" t="n">
        <v>106.150422</v>
      </c>
      <c r="O28" s="27" t="s">
        <v>324</v>
      </c>
      <c r="P28" s="27" t="s">
        <v>223</v>
      </c>
      <c r="Q28" s="9" t="s">
        <v>1931</v>
      </c>
    </row>
    <row r="29" customFormat="false" ht="19.5" hidden="false" customHeight="true" outlineLevel="0" collapsed="false">
      <c r="A29" s="25" t="s">
        <v>2016</v>
      </c>
      <c r="B29" s="12" t="s">
        <v>2017</v>
      </c>
      <c r="C29" s="25" t="s">
        <v>1946</v>
      </c>
      <c r="D29" s="25" t="n">
        <v>20</v>
      </c>
      <c r="E29" s="12" t="s">
        <v>2007</v>
      </c>
      <c r="F29" s="12" t="s">
        <v>1939</v>
      </c>
      <c r="G29" s="25" t="s">
        <v>1928</v>
      </c>
      <c r="H29" s="29" t="n">
        <v>1</v>
      </c>
      <c r="I29" s="25" t="s">
        <v>1960</v>
      </c>
      <c r="J29" s="14" t="n">
        <v>-3</v>
      </c>
      <c r="K29" s="18" t="n">
        <v>1950</v>
      </c>
      <c r="L29" s="25" t="s">
        <v>2008</v>
      </c>
      <c r="M29" s="26" t="n">
        <v>10.316137</v>
      </c>
      <c r="N29" s="26" t="n">
        <v>106.173141</v>
      </c>
      <c r="O29" s="25" t="s">
        <v>2018</v>
      </c>
      <c r="P29" s="25" t="s">
        <v>223</v>
      </c>
      <c r="Q29" s="12" t="s">
        <v>1931</v>
      </c>
    </row>
    <row r="30" customFormat="false" ht="19.5" hidden="false" customHeight="true" outlineLevel="0" collapsed="false">
      <c r="A30" s="27" t="s">
        <v>2019</v>
      </c>
      <c r="B30" s="9" t="s">
        <v>2020</v>
      </c>
      <c r="C30" s="27" t="s">
        <v>2021</v>
      </c>
      <c r="D30" s="27" t="n">
        <v>1</v>
      </c>
      <c r="E30" s="9" t="s">
        <v>2022</v>
      </c>
      <c r="F30" s="9" t="s">
        <v>2023</v>
      </c>
      <c r="G30" s="27" t="s">
        <v>1928</v>
      </c>
      <c r="H30" s="30" t="n">
        <v>1</v>
      </c>
      <c r="I30" s="27" t="s">
        <v>1969</v>
      </c>
      <c r="J30" s="11" t="n">
        <v>-3.33</v>
      </c>
      <c r="K30" s="20" t="n">
        <v>591</v>
      </c>
      <c r="L30" s="27" t="s">
        <v>2024</v>
      </c>
      <c r="M30" s="30"/>
      <c r="N30" s="30"/>
      <c r="O30" s="27"/>
      <c r="P30" s="27" t="s">
        <v>1957</v>
      </c>
      <c r="Q30" s="9" t="s">
        <v>1931</v>
      </c>
    </row>
    <row r="31" customFormat="false" ht="19.5" hidden="false" customHeight="true" outlineLevel="0" collapsed="false">
      <c r="A31" s="25" t="s">
        <v>2025</v>
      </c>
      <c r="B31" s="12" t="s">
        <v>2026</v>
      </c>
      <c r="C31" s="25" t="s">
        <v>2021</v>
      </c>
      <c r="D31" s="25" t="n">
        <v>2</v>
      </c>
      <c r="E31" s="12" t="s">
        <v>1976</v>
      </c>
      <c r="F31" s="12" t="s">
        <v>1977</v>
      </c>
      <c r="G31" s="25" t="s">
        <v>1928</v>
      </c>
      <c r="H31" s="29" t="n">
        <v>1</v>
      </c>
      <c r="I31" s="25" t="s">
        <v>2027</v>
      </c>
      <c r="J31" s="14" t="n">
        <v>-2.5</v>
      </c>
      <c r="K31" s="18" t="n">
        <v>250</v>
      </c>
      <c r="L31" s="25" t="s">
        <v>2028</v>
      </c>
      <c r="M31" s="29"/>
      <c r="N31" s="29"/>
      <c r="O31" s="25"/>
      <c r="P31" s="25" t="s">
        <v>1957</v>
      </c>
      <c r="Q31" s="12" t="s">
        <v>1931</v>
      </c>
    </row>
    <row r="32" customFormat="false" ht="19.5" hidden="false" customHeight="true" outlineLevel="0" collapsed="false">
      <c r="A32" s="27" t="s">
        <v>2029</v>
      </c>
      <c r="B32" s="9" t="s">
        <v>2030</v>
      </c>
      <c r="C32" s="27" t="s">
        <v>2021</v>
      </c>
      <c r="D32" s="27" t="n">
        <v>3</v>
      </c>
      <c r="E32" s="9" t="s">
        <v>2031</v>
      </c>
      <c r="F32" s="9" t="s">
        <v>1977</v>
      </c>
      <c r="G32" s="27" t="s">
        <v>1928</v>
      </c>
      <c r="H32" s="30" t="n">
        <v>1</v>
      </c>
      <c r="I32" s="27" t="s">
        <v>2032</v>
      </c>
      <c r="J32" s="11" t="n">
        <v>-2.5</v>
      </c>
      <c r="K32" s="20" t="n">
        <v>100</v>
      </c>
      <c r="L32" s="27" t="s">
        <v>2028</v>
      </c>
      <c r="M32" s="30"/>
      <c r="N32" s="30"/>
      <c r="O32" s="27"/>
      <c r="P32" s="27" t="s">
        <v>1957</v>
      </c>
      <c r="Q32" s="9" t="s">
        <v>1931</v>
      </c>
    </row>
    <row r="33" customFormat="false" ht="19.5" hidden="false" customHeight="true" outlineLevel="0" collapsed="false">
      <c r="A33" s="25" t="s">
        <v>2033</v>
      </c>
      <c r="B33" s="12" t="s">
        <v>2034</v>
      </c>
      <c r="C33" s="25" t="s">
        <v>2021</v>
      </c>
      <c r="D33" s="25" t="n">
        <v>4</v>
      </c>
      <c r="E33" s="12" t="s">
        <v>1984</v>
      </c>
      <c r="F33" s="12" t="s">
        <v>1977</v>
      </c>
      <c r="G33" s="25" t="s">
        <v>1928</v>
      </c>
      <c r="H33" s="29" t="n">
        <v>1</v>
      </c>
      <c r="I33" s="25" t="s">
        <v>2032</v>
      </c>
      <c r="J33" s="14" t="n">
        <v>-2.5</v>
      </c>
      <c r="K33" s="18" t="n">
        <v>120</v>
      </c>
      <c r="L33" s="25" t="s">
        <v>2028</v>
      </c>
      <c r="M33" s="29"/>
      <c r="N33" s="29"/>
      <c r="O33" s="25"/>
      <c r="P33" s="25" t="s">
        <v>1957</v>
      </c>
      <c r="Q33" s="12" t="s">
        <v>1931</v>
      </c>
    </row>
    <row r="34" customFormat="false" ht="19.5" hidden="false" customHeight="true" outlineLevel="0" collapsed="false">
      <c r="A34" s="27" t="s">
        <v>2035</v>
      </c>
      <c r="B34" s="9" t="s">
        <v>2036</v>
      </c>
      <c r="C34" s="27" t="s">
        <v>2021</v>
      </c>
      <c r="D34" s="27" t="n">
        <v>5</v>
      </c>
      <c r="E34" s="9" t="s">
        <v>1981</v>
      </c>
      <c r="F34" s="9" t="s">
        <v>1977</v>
      </c>
      <c r="G34" s="27" t="s">
        <v>1928</v>
      </c>
      <c r="H34" s="30" t="n">
        <v>1</v>
      </c>
      <c r="I34" s="27" t="s">
        <v>2032</v>
      </c>
      <c r="J34" s="11" t="n">
        <v>-2.3</v>
      </c>
      <c r="K34" s="20" t="n">
        <v>137</v>
      </c>
      <c r="L34" s="27" t="s">
        <v>2037</v>
      </c>
      <c r="M34" s="30"/>
      <c r="N34" s="30"/>
      <c r="O34" s="27"/>
      <c r="P34" s="27" t="s">
        <v>1957</v>
      </c>
      <c r="Q34" s="9" t="s">
        <v>1931</v>
      </c>
    </row>
    <row r="35" customFormat="false" ht="19.5" hidden="false" customHeight="true" outlineLevel="0" collapsed="false">
      <c r="A35" s="25" t="s">
        <v>2038</v>
      </c>
      <c r="B35" s="12" t="s">
        <v>2039</v>
      </c>
      <c r="C35" s="25" t="s">
        <v>2021</v>
      </c>
      <c r="D35" s="25" t="n">
        <v>6</v>
      </c>
      <c r="E35" s="12" t="s">
        <v>1984</v>
      </c>
      <c r="F35" s="12" t="s">
        <v>1977</v>
      </c>
      <c r="G35" s="25" t="s">
        <v>1928</v>
      </c>
      <c r="H35" s="29" t="n">
        <v>1</v>
      </c>
      <c r="I35" s="25" t="s">
        <v>2032</v>
      </c>
      <c r="J35" s="14" t="n">
        <v>-2.5</v>
      </c>
      <c r="K35" s="18" t="n">
        <v>800</v>
      </c>
      <c r="L35" s="25" t="s">
        <v>2037</v>
      </c>
      <c r="M35" s="29"/>
      <c r="N35" s="29"/>
      <c r="O35" s="25"/>
      <c r="P35" s="25" t="s">
        <v>1957</v>
      </c>
      <c r="Q35" s="12" t="s">
        <v>1931</v>
      </c>
    </row>
    <row r="36" customFormat="false" ht="19.5" hidden="false" customHeight="true" outlineLevel="0" collapsed="false">
      <c r="A36" s="27" t="s">
        <v>2040</v>
      </c>
      <c r="B36" s="9" t="s">
        <v>2041</v>
      </c>
      <c r="C36" s="27" t="s">
        <v>2021</v>
      </c>
      <c r="D36" s="27" t="n">
        <v>7</v>
      </c>
      <c r="E36" s="9" t="s">
        <v>1984</v>
      </c>
      <c r="F36" s="9" t="s">
        <v>1977</v>
      </c>
      <c r="G36" s="27" t="s">
        <v>1928</v>
      </c>
      <c r="H36" s="30" t="n">
        <v>1</v>
      </c>
      <c r="I36" s="27" t="s">
        <v>2032</v>
      </c>
      <c r="J36" s="11" t="n">
        <v>-2.5</v>
      </c>
      <c r="K36" s="20" t="n">
        <v>800</v>
      </c>
      <c r="L36" s="27" t="s">
        <v>2037</v>
      </c>
      <c r="M36" s="30"/>
      <c r="N36" s="30"/>
      <c r="O36" s="27"/>
      <c r="P36" s="27" t="s">
        <v>1957</v>
      </c>
      <c r="Q36" s="9" t="s">
        <v>1931</v>
      </c>
    </row>
    <row r="37" customFormat="false" ht="19.5" hidden="false" customHeight="true" outlineLevel="0" collapsed="false">
      <c r="A37" s="25" t="s">
        <v>2042</v>
      </c>
      <c r="B37" s="12" t="s">
        <v>2043</v>
      </c>
      <c r="C37" s="25" t="s">
        <v>2021</v>
      </c>
      <c r="D37" s="25" t="n">
        <v>8</v>
      </c>
      <c r="E37" s="12" t="s">
        <v>1976</v>
      </c>
      <c r="F37" s="12" t="s">
        <v>1977</v>
      </c>
      <c r="G37" s="25" t="s">
        <v>1928</v>
      </c>
      <c r="H37" s="29" t="n">
        <v>1</v>
      </c>
      <c r="I37" s="25" t="s">
        <v>2032</v>
      </c>
      <c r="J37" s="14" t="n">
        <v>-2.5</v>
      </c>
      <c r="K37" s="18" t="n">
        <v>100</v>
      </c>
      <c r="L37" s="25" t="s">
        <v>1978</v>
      </c>
      <c r="M37" s="29"/>
      <c r="N37" s="29"/>
      <c r="O37" s="25"/>
      <c r="P37" s="25" t="s">
        <v>1957</v>
      </c>
      <c r="Q37" s="12" t="s">
        <v>1931</v>
      </c>
    </row>
    <row r="38" customFormat="false" ht="19.5" hidden="false" customHeight="true" outlineLevel="0" collapsed="false">
      <c r="A38" s="27" t="s">
        <v>2044</v>
      </c>
      <c r="B38" s="9" t="s">
        <v>2045</v>
      </c>
      <c r="C38" s="27" t="s">
        <v>2021</v>
      </c>
      <c r="D38" s="27" t="n">
        <v>9</v>
      </c>
      <c r="E38" s="9" t="s">
        <v>2031</v>
      </c>
      <c r="F38" s="9" t="s">
        <v>1977</v>
      </c>
      <c r="G38" s="27" t="s">
        <v>1928</v>
      </c>
      <c r="H38" s="30" t="n">
        <v>1</v>
      </c>
      <c r="I38" s="27" t="s">
        <v>2032</v>
      </c>
      <c r="J38" s="11" t="n">
        <v>-2.5</v>
      </c>
      <c r="K38" s="20" t="n">
        <v>175</v>
      </c>
      <c r="L38" s="27" t="s">
        <v>1978</v>
      </c>
      <c r="M38" s="30"/>
      <c r="N38" s="30"/>
      <c r="O38" s="27"/>
      <c r="P38" s="27" t="s">
        <v>1957</v>
      </c>
      <c r="Q38" s="9" t="s">
        <v>1931</v>
      </c>
    </row>
    <row r="39" customFormat="false" ht="19.5" hidden="false" customHeight="true" outlineLevel="0" collapsed="false">
      <c r="A39" s="25" t="s">
        <v>2046</v>
      </c>
      <c r="B39" s="12" t="s">
        <v>2047</v>
      </c>
      <c r="C39" s="25" t="s">
        <v>2021</v>
      </c>
      <c r="D39" s="25" t="n">
        <v>10</v>
      </c>
      <c r="E39" s="12" t="s">
        <v>2022</v>
      </c>
      <c r="F39" s="12" t="s">
        <v>2023</v>
      </c>
      <c r="G39" s="25" t="s">
        <v>1928</v>
      </c>
      <c r="H39" s="29" t="n">
        <v>1</v>
      </c>
      <c r="I39" s="25" t="s">
        <v>2032</v>
      </c>
      <c r="J39" s="14" t="n">
        <v>-1.83</v>
      </c>
      <c r="K39" s="18" t="n">
        <v>100</v>
      </c>
      <c r="L39" s="25" t="s">
        <v>2048</v>
      </c>
      <c r="M39" s="29"/>
      <c r="N39" s="29"/>
      <c r="O39" s="25"/>
      <c r="P39" s="25" t="s">
        <v>1957</v>
      </c>
      <c r="Q39" s="12" t="s">
        <v>1931</v>
      </c>
    </row>
    <row r="40" customFormat="false" ht="19.5" hidden="false" customHeight="true" outlineLevel="0" collapsed="false">
      <c r="A40" s="27" t="s">
        <v>2049</v>
      </c>
      <c r="B40" s="9" t="s">
        <v>2050</v>
      </c>
      <c r="C40" s="27" t="s">
        <v>2021</v>
      </c>
      <c r="D40" s="27" t="n">
        <v>11</v>
      </c>
      <c r="E40" s="9" t="s">
        <v>2051</v>
      </c>
      <c r="F40" s="9" t="s">
        <v>1977</v>
      </c>
      <c r="G40" s="27" t="s">
        <v>1928</v>
      </c>
      <c r="H40" s="30" t="n">
        <v>1</v>
      </c>
      <c r="I40" s="27" t="s">
        <v>2052</v>
      </c>
      <c r="J40" s="11" t="n">
        <v>-2.5</v>
      </c>
      <c r="K40" s="20" t="n">
        <v>100</v>
      </c>
      <c r="L40" s="27" t="s">
        <v>2028</v>
      </c>
      <c r="M40" s="30"/>
      <c r="N40" s="30"/>
      <c r="O40" s="27"/>
      <c r="P40" s="27" t="s">
        <v>1957</v>
      </c>
      <c r="Q40" s="9" t="s">
        <v>1931</v>
      </c>
    </row>
    <row r="41" customFormat="false" ht="19.5" hidden="false" customHeight="true" outlineLevel="0" collapsed="false">
      <c r="A41" s="25" t="s">
        <v>2053</v>
      </c>
      <c r="B41" s="12" t="s">
        <v>2054</v>
      </c>
      <c r="C41" s="25" t="s">
        <v>2021</v>
      </c>
      <c r="D41" s="25" t="n">
        <v>12</v>
      </c>
      <c r="E41" s="12" t="s">
        <v>1981</v>
      </c>
      <c r="F41" s="12" t="s">
        <v>1977</v>
      </c>
      <c r="G41" s="25" t="s">
        <v>1928</v>
      </c>
      <c r="H41" s="29" t="n">
        <v>1</v>
      </c>
      <c r="I41" s="25" t="s">
        <v>2052</v>
      </c>
      <c r="J41" s="14" t="n">
        <v>-2.5</v>
      </c>
      <c r="K41" s="18" t="n">
        <v>356</v>
      </c>
      <c r="L41" s="25" t="s">
        <v>2028</v>
      </c>
      <c r="M41" s="29"/>
      <c r="N41" s="29"/>
      <c r="O41" s="25"/>
      <c r="P41" s="25" t="s">
        <v>1957</v>
      </c>
      <c r="Q41" s="12" t="s">
        <v>1931</v>
      </c>
    </row>
    <row r="42" customFormat="false" ht="19.5" hidden="false" customHeight="true" outlineLevel="0" collapsed="false">
      <c r="A42" s="27" t="s">
        <v>2055</v>
      </c>
      <c r="B42" s="9" t="s">
        <v>2056</v>
      </c>
      <c r="C42" s="27" t="s">
        <v>2021</v>
      </c>
      <c r="D42" s="27" t="n">
        <v>13</v>
      </c>
      <c r="E42" s="9" t="s">
        <v>1976</v>
      </c>
      <c r="F42" s="9" t="s">
        <v>1977</v>
      </c>
      <c r="G42" s="27" t="s">
        <v>1928</v>
      </c>
      <c r="H42" s="30" t="n">
        <v>1</v>
      </c>
      <c r="I42" s="27" t="s">
        <v>2052</v>
      </c>
      <c r="J42" s="11" t="n">
        <v>-2.5</v>
      </c>
      <c r="K42" s="20" t="n">
        <v>263</v>
      </c>
      <c r="L42" s="27" t="s">
        <v>2037</v>
      </c>
      <c r="M42" s="30"/>
      <c r="N42" s="30"/>
      <c r="O42" s="27"/>
      <c r="P42" s="27" t="s">
        <v>1957</v>
      </c>
      <c r="Q42" s="9" t="s">
        <v>1931</v>
      </c>
    </row>
    <row r="43" customFormat="false" ht="19.5" hidden="false" customHeight="true" outlineLevel="0" collapsed="false">
      <c r="A43" s="25" t="s">
        <v>2057</v>
      </c>
      <c r="B43" s="12" t="s">
        <v>2058</v>
      </c>
      <c r="C43" s="25" t="s">
        <v>2021</v>
      </c>
      <c r="D43" s="25" t="n">
        <v>14</v>
      </c>
      <c r="E43" s="12" t="s">
        <v>2059</v>
      </c>
      <c r="F43" s="12" t="s">
        <v>1977</v>
      </c>
      <c r="G43" s="25" t="s">
        <v>1928</v>
      </c>
      <c r="H43" s="29" t="n">
        <v>1</v>
      </c>
      <c r="I43" s="25" t="s">
        <v>2052</v>
      </c>
      <c r="J43" s="14" t="n">
        <v>-2</v>
      </c>
      <c r="K43" s="18" t="n">
        <v>74</v>
      </c>
      <c r="L43" s="25" t="s">
        <v>2060</v>
      </c>
      <c r="M43" s="29"/>
      <c r="N43" s="29"/>
      <c r="O43" s="25"/>
      <c r="P43" s="25" t="s">
        <v>1957</v>
      </c>
      <c r="Q43" s="12" t="s">
        <v>1931</v>
      </c>
    </row>
    <row r="44" customFormat="false" ht="19.5" hidden="false" customHeight="true" outlineLevel="0" collapsed="false">
      <c r="A44" s="27" t="s">
        <v>2061</v>
      </c>
      <c r="B44" s="9" t="s">
        <v>2062</v>
      </c>
      <c r="C44" s="27" t="s">
        <v>2021</v>
      </c>
      <c r="D44" s="27" t="n">
        <v>15</v>
      </c>
      <c r="E44" s="9" t="s">
        <v>2063</v>
      </c>
      <c r="F44" s="9" t="s">
        <v>1977</v>
      </c>
      <c r="G44" s="27" t="s">
        <v>1928</v>
      </c>
      <c r="H44" s="30" t="n">
        <v>1</v>
      </c>
      <c r="I44" s="27" t="s">
        <v>2052</v>
      </c>
      <c r="J44" s="11" t="n">
        <v>-2</v>
      </c>
      <c r="K44" s="20" t="n">
        <v>65</v>
      </c>
      <c r="L44" s="27" t="s">
        <v>2060</v>
      </c>
      <c r="M44" s="30"/>
      <c r="N44" s="30"/>
      <c r="O44" s="27"/>
      <c r="P44" s="27" t="s">
        <v>1957</v>
      </c>
      <c r="Q44" s="9" t="s">
        <v>1931</v>
      </c>
    </row>
    <row r="45" customFormat="false" ht="19.5" hidden="false" customHeight="true" outlineLevel="0" collapsed="false">
      <c r="A45" s="25" t="s">
        <v>2064</v>
      </c>
      <c r="B45" s="12" t="s">
        <v>2065</v>
      </c>
      <c r="C45" s="25" t="s">
        <v>2021</v>
      </c>
      <c r="D45" s="25" t="n">
        <v>16</v>
      </c>
      <c r="E45" s="12" t="s">
        <v>2066</v>
      </c>
      <c r="F45" s="12" t="s">
        <v>1977</v>
      </c>
      <c r="G45" s="25" t="s">
        <v>1928</v>
      </c>
      <c r="H45" s="29" t="n">
        <v>1</v>
      </c>
      <c r="I45" s="25" t="s">
        <v>2052</v>
      </c>
      <c r="J45" s="14" t="n">
        <v>-2</v>
      </c>
      <c r="K45" s="18" t="n">
        <v>60</v>
      </c>
      <c r="L45" s="25" t="s">
        <v>2060</v>
      </c>
      <c r="M45" s="29"/>
      <c r="N45" s="29"/>
      <c r="O45" s="25"/>
      <c r="P45" s="25" t="s">
        <v>1957</v>
      </c>
      <c r="Q45" s="12" t="s">
        <v>1931</v>
      </c>
    </row>
    <row r="46" customFormat="false" ht="19.5" hidden="false" customHeight="true" outlineLevel="0" collapsed="false">
      <c r="A46" s="27" t="s">
        <v>2067</v>
      </c>
      <c r="B46" s="9" t="s">
        <v>2068</v>
      </c>
      <c r="C46" s="27" t="s">
        <v>2021</v>
      </c>
      <c r="D46" s="27" t="n">
        <v>17</v>
      </c>
      <c r="E46" s="9" t="s">
        <v>2069</v>
      </c>
      <c r="F46" s="9" t="s">
        <v>2023</v>
      </c>
      <c r="G46" s="27" t="s">
        <v>1928</v>
      </c>
      <c r="H46" s="30" t="n">
        <v>1</v>
      </c>
      <c r="I46" s="27" t="s">
        <v>2052</v>
      </c>
      <c r="J46" s="11" t="n">
        <v>-2.33</v>
      </c>
      <c r="K46" s="20" t="n">
        <v>150</v>
      </c>
      <c r="L46" s="27" t="s">
        <v>2048</v>
      </c>
      <c r="M46" s="30"/>
      <c r="N46" s="30"/>
      <c r="O46" s="27"/>
      <c r="P46" s="27" t="s">
        <v>1957</v>
      </c>
      <c r="Q46" s="9" t="s">
        <v>1931</v>
      </c>
    </row>
    <row r="47" customFormat="false" ht="19.5" hidden="false" customHeight="true" outlineLevel="0" collapsed="false">
      <c r="A47" s="25" t="s">
        <v>2070</v>
      </c>
      <c r="B47" s="12" t="s">
        <v>2071</v>
      </c>
      <c r="C47" s="25" t="s">
        <v>2021</v>
      </c>
      <c r="D47" s="25" t="n">
        <v>18</v>
      </c>
      <c r="E47" s="12" t="s">
        <v>2072</v>
      </c>
      <c r="F47" s="12" t="s">
        <v>1939</v>
      </c>
      <c r="G47" s="25" t="s">
        <v>1928</v>
      </c>
      <c r="H47" s="29" t="n">
        <v>1</v>
      </c>
      <c r="I47" s="25" t="s">
        <v>2032</v>
      </c>
      <c r="J47" s="14" t="n">
        <v>-2</v>
      </c>
      <c r="K47" s="18" t="n">
        <v>212</v>
      </c>
      <c r="L47" s="25" t="s">
        <v>1961</v>
      </c>
      <c r="M47" s="29"/>
      <c r="N47" s="29"/>
      <c r="O47" s="25"/>
      <c r="P47" s="25" t="s">
        <v>1957</v>
      </c>
      <c r="Q47" s="12" t="s">
        <v>1931</v>
      </c>
    </row>
    <row r="48" customFormat="false" ht="19.5" hidden="false" customHeight="true" outlineLevel="0" collapsed="false">
      <c r="A48" s="27" t="s">
        <v>2073</v>
      </c>
      <c r="B48" s="9" t="s">
        <v>2074</v>
      </c>
      <c r="C48" s="27" t="s">
        <v>2021</v>
      </c>
      <c r="D48" s="27" t="n">
        <v>19</v>
      </c>
      <c r="E48" s="9" t="s">
        <v>2031</v>
      </c>
      <c r="F48" s="9" t="s">
        <v>1977</v>
      </c>
      <c r="G48" s="27" t="s">
        <v>1928</v>
      </c>
      <c r="H48" s="30" t="n">
        <v>1</v>
      </c>
      <c r="I48" s="27" t="s">
        <v>2052</v>
      </c>
      <c r="J48" s="11" t="n">
        <v>-2</v>
      </c>
      <c r="K48" s="20" t="n">
        <v>341</v>
      </c>
      <c r="L48" s="27" t="s">
        <v>1961</v>
      </c>
      <c r="M48" s="30"/>
      <c r="N48" s="30"/>
      <c r="O48" s="27"/>
      <c r="P48" s="27" t="s">
        <v>1957</v>
      </c>
      <c r="Q48" s="9" t="s">
        <v>1931</v>
      </c>
    </row>
    <row r="49" customFormat="false" ht="19.5" hidden="false" customHeight="true" outlineLevel="0" collapsed="false">
      <c r="A49" s="25" t="s">
        <v>2075</v>
      </c>
      <c r="B49" s="12" t="s">
        <v>2076</v>
      </c>
      <c r="C49" s="25" t="s">
        <v>2021</v>
      </c>
      <c r="D49" s="25" t="n">
        <v>20</v>
      </c>
      <c r="E49" s="12" t="s">
        <v>2077</v>
      </c>
      <c r="F49" s="12" t="s">
        <v>1977</v>
      </c>
      <c r="G49" s="25" t="s">
        <v>1928</v>
      </c>
      <c r="H49" s="29" t="n">
        <v>1</v>
      </c>
      <c r="I49" s="25" t="s">
        <v>2032</v>
      </c>
      <c r="J49" s="14" t="n">
        <v>-2.5</v>
      </c>
      <c r="K49" s="18" t="n">
        <v>456</v>
      </c>
      <c r="L49" s="25" t="s">
        <v>2078</v>
      </c>
      <c r="M49" s="29"/>
      <c r="N49" s="29"/>
      <c r="O49" s="25"/>
      <c r="P49" s="25" t="s">
        <v>1957</v>
      </c>
      <c r="Q49" s="12" t="s">
        <v>1931</v>
      </c>
    </row>
    <row r="50" customFormat="false" ht="19.5" hidden="false" customHeight="true" outlineLevel="0" collapsed="false">
      <c r="A50" s="27" t="s">
        <v>2079</v>
      </c>
      <c r="B50" s="9" t="s">
        <v>2080</v>
      </c>
      <c r="C50" s="27" t="s">
        <v>2021</v>
      </c>
      <c r="D50" s="27" t="n">
        <v>21</v>
      </c>
      <c r="E50" s="9" t="s">
        <v>1997</v>
      </c>
      <c r="F50" s="9" t="s">
        <v>1977</v>
      </c>
      <c r="G50" s="27" t="s">
        <v>1928</v>
      </c>
      <c r="H50" s="30" t="n">
        <v>1</v>
      </c>
      <c r="I50" s="27" t="s">
        <v>2032</v>
      </c>
      <c r="J50" s="11" t="n">
        <v>-2</v>
      </c>
      <c r="K50" s="20" t="n">
        <v>128</v>
      </c>
      <c r="L50" s="27" t="s">
        <v>1965</v>
      </c>
      <c r="M50" s="30"/>
      <c r="N50" s="30"/>
      <c r="O50" s="27"/>
      <c r="P50" s="27" t="s">
        <v>1957</v>
      </c>
      <c r="Q50" s="9" t="s">
        <v>1931</v>
      </c>
    </row>
    <row r="51" customFormat="false" ht="19.5" hidden="false" customHeight="true" outlineLevel="0" collapsed="false">
      <c r="A51" s="25" t="s">
        <v>2081</v>
      </c>
      <c r="B51" s="12" t="s">
        <v>2082</v>
      </c>
      <c r="C51" s="25" t="s">
        <v>2021</v>
      </c>
      <c r="D51" s="25" t="n">
        <v>22</v>
      </c>
      <c r="E51" s="12" t="s">
        <v>2077</v>
      </c>
      <c r="F51" s="12" t="s">
        <v>1977</v>
      </c>
      <c r="G51" s="25" t="s">
        <v>1928</v>
      </c>
      <c r="H51" s="29" t="n">
        <v>1</v>
      </c>
      <c r="I51" s="25" t="s">
        <v>2032</v>
      </c>
      <c r="J51" s="14" t="n">
        <v>-2.5</v>
      </c>
      <c r="K51" s="18" t="n">
        <v>108</v>
      </c>
      <c r="L51" s="25" t="s">
        <v>1998</v>
      </c>
      <c r="M51" s="29"/>
      <c r="N51" s="29"/>
      <c r="O51" s="25"/>
      <c r="P51" s="25" t="s">
        <v>1957</v>
      </c>
      <c r="Q51" s="12" t="s">
        <v>1931</v>
      </c>
    </row>
    <row r="52" customFormat="false" ht="19.5" hidden="false" customHeight="true" outlineLevel="0" collapsed="false">
      <c r="A52" s="27" t="s">
        <v>2083</v>
      </c>
      <c r="B52" s="9" t="s">
        <v>2084</v>
      </c>
      <c r="C52" s="27" t="s">
        <v>2021</v>
      </c>
      <c r="D52" s="27" t="n">
        <v>23</v>
      </c>
      <c r="E52" s="9" t="s">
        <v>2077</v>
      </c>
      <c r="F52" s="9" t="s">
        <v>1977</v>
      </c>
      <c r="G52" s="27" t="s">
        <v>1928</v>
      </c>
      <c r="H52" s="30" t="n">
        <v>1</v>
      </c>
      <c r="I52" s="27" t="s">
        <v>2085</v>
      </c>
      <c r="J52" s="11" t="n">
        <v>-2.5</v>
      </c>
      <c r="K52" s="20" t="n">
        <v>126</v>
      </c>
      <c r="L52" s="27" t="s">
        <v>1965</v>
      </c>
      <c r="M52" s="30"/>
      <c r="N52" s="30"/>
      <c r="O52" s="27"/>
      <c r="P52" s="27" t="s">
        <v>1957</v>
      </c>
      <c r="Q52" s="9" t="s">
        <v>1931</v>
      </c>
    </row>
    <row r="53" customFormat="false" ht="19.5" hidden="false" customHeight="true" outlineLevel="0" collapsed="false">
      <c r="A53" s="25" t="s">
        <v>2086</v>
      </c>
      <c r="B53" s="12" t="s">
        <v>2087</v>
      </c>
      <c r="C53" s="25" t="s">
        <v>2021</v>
      </c>
      <c r="D53" s="25" t="n">
        <v>24</v>
      </c>
      <c r="E53" s="12" t="s">
        <v>1997</v>
      </c>
      <c r="F53" s="12" t="s">
        <v>1977</v>
      </c>
      <c r="G53" s="25" t="s">
        <v>1928</v>
      </c>
      <c r="H53" s="29" t="n">
        <v>1</v>
      </c>
      <c r="I53" s="25" t="s">
        <v>2085</v>
      </c>
      <c r="J53" s="14" t="n">
        <v>-2</v>
      </c>
      <c r="K53" s="18" t="n">
        <v>88</v>
      </c>
      <c r="L53" s="25" t="s">
        <v>1965</v>
      </c>
      <c r="M53" s="29"/>
      <c r="N53" s="29"/>
      <c r="O53" s="25"/>
      <c r="P53" s="25" t="s">
        <v>1957</v>
      </c>
      <c r="Q53" s="12" t="s">
        <v>1931</v>
      </c>
    </row>
    <row r="54" customFormat="false" ht="19.5" hidden="false" customHeight="true" outlineLevel="0" collapsed="false">
      <c r="A54" s="27" t="s">
        <v>2088</v>
      </c>
      <c r="B54" s="9" t="s">
        <v>2089</v>
      </c>
      <c r="C54" s="27" t="s">
        <v>2021</v>
      </c>
      <c r="D54" s="27" t="n">
        <v>25</v>
      </c>
      <c r="E54" s="9" t="s">
        <v>2090</v>
      </c>
      <c r="F54" s="9" t="s">
        <v>1977</v>
      </c>
      <c r="G54" s="27" t="s">
        <v>1928</v>
      </c>
      <c r="H54" s="30" t="n">
        <v>1</v>
      </c>
      <c r="I54" s="27" t="s">
        <v>2085</v>
      </c>
      <c r="J54" s="11" t="n">
        <v>-2</v>
      </c>
      <c r="K54" s="20" t="n">
        <v>200</v>
      </c>
      <c r="L54" s="27" t="s">
        <v>2078</v>
      </c>
      <c r="M54" s="30"/>
      <c r="N54" s="30"/>
      <c r="O54" s="27"/>
      <c r="P54" s="27" t="s">
        <v>1957</v>
      </c>
      <c r="Q54" s="9" t="s">
        <v>1931</v>
      </c>
    </row>
    <row r="55" customFormat="false" ht="19.5" hidden="false" customHeight="true" outlineLevel="0" collapsed="false">
      <c r="A55" s="25" t="s">
        <v>2091</v>
      </c>
      <c r="B55" s="12" t="s">
        <v>2092</v>
      </c>
      <c r="C55" s="25" t="s">
        <v>2021</v>
      </c>
      <c r="D55" s="25" t="n">
        <v>26</v>
      </c>
      <c r="E55" s="12" t="s">
        <v>2093</v>
      </c>
      <c r="F55" s="12" t="s">
        <v>1977</v>
      </c>
      <c r="G55" s="25" t="s">
        <v>1928</v>
      </c>
      <c r="H55" s="29" t="n">
        <v>1</v>
      </c>
      <c r="I55" s="25" t="s">
        <v>2085</v>
      </c>
      <c r="J55" s="14" t="n">
        <v>-2</v>
      </c>
      <c r="K55" s="18" t="n">
        <v>80</v>
      </c>
      <c r="L55" s="25" t="s">
        <v>1965</v>
      </c>
      <c r="M55" s="29"/>
      <c r="N55" s="29"/>
      <c r="O55" s="25"/>
      <c r="P55" s="25" t="s">
        <v>1957</v>
      </c>
      <c r="Q55" s="12" t="s">
        <v>1931</v>
      </c>
    </row>
    <row r="56" customFormat="false" ht="19.5" hidden="false" customHeight="true" outlineLevel="0" collapsed="false">
      <c r="A56" s="27" t="s">
        <v>2094</v>
      </c>
      <c r="B56" s="9" t="s">
        <v>2095</v>
      </c>
      <c r="C56" s="27" t="s">
        <v>2021</v>
      </c>
      <c r="D56" s="27" t="n">
        <v>27</v>
      </c>
      <c r="E56" s="9" t="s">
        <v>2096</v>
      </c>
      <c r="F56" s="9" t="s">
        <v>1977</v>
      </c>
      <c r="G56" s="27" t="s">
        <v>1928</v>
      </c>
      <c r="H56" s="30" t="n">
        <v>1</v>
      </c>
      <c r="I56" s="27" t="s">
        <v>2097</v>
      </c>
      <c r="J56" s="11" t="n">
        <v>-1.5</v>
      </c>
      <c r="K56" s="20" t="n">
        <v>44</v>
      </c>
      <c r="L56" s="27" t="s">
        <v>2098</v>
      </c>
      <c r="M56" s="30"/>
      <c r="N56" s="30"/>
      <c r="O56" s="27"/>
      <c r="P56" s="27" t="s">
        <v>1957</v>
      </c>
      <c r="Q56" s="9" t="s">
        <v>1931</v>
      </c>
    </row>
    <row r="57" customFormat="false" ht="19.5" hidden="false" customHeight="true" outlineLevel="0" collapsed="false">
      <c r="A57" s="25" t="s">
        <v>2099</v>
      </c>
      <c r="B57" s="12" t="s">
        <v>2100</v>
      </c>
      <c r="C57" s="25" t="s">
        <v>2021</v>
      </c>
      <c r="D57" s="25" t="n">
        <v>28</v>
      </c>
      <c r="E57" s="12" t="s">
        <v>2101</v>
      </c>
      <c r="F57" s="12" t="s">
        <v>1977</v>
      </c>
      <c r="G57" s="25" t="s">
        <v>1928</v>
      </c>
      <c r="H57" s="29" t="n">
        <v>1</v>
      </c>
      <c r="I57" s="25" t="s">
        <v>2097</v>
      </c>
      <c r="J57" s="14" t="n">
        <v>-1.5</v>
      </c>
      <c r="K57" s="18" t="n">
        <v>172</v>
      </c>
      <c r="L57" s="25" t="s">
        <v>1965</v>
      </c>
      <c r="M57" s="29"/>
      <c r="N57" s="29"/>
      <c r="O57" s="25"/>
      <c r="P57" s="25" t="s">
        <v>1957</v>
      </c>
      <c r="Q57" s="12" t="s">
        <v>1931</v>
      </c>
    </row>
    <row r="58" customFormat="false" ht="19.5" hidden="false" customHeight="true" outlineLevel="0" collapsed="false">
      <c r="A58" s="27" t="s">
        <v>2102</v>
      </c>
      <c r="B58" s="9" t="s">
        <v>2103</v>
      </c>
      <c r="C58" s="27" t="s">
        <v>2021</v>
      </c>
      <c r="D58" s="27" t="n">
        <v>29</v>
      </c>
      <c r="E58" s="9" t="s">
        <v>2077</v>
      </c>
      <c r="F58" s="9" t="s">
        <v>1977</v>
      </c>
      <c r="G58" s="27" t="s">
        <v>2104</v>
      </c>
      <c r="H58" s="30" t="n">
        <v>2</v>
      </c>
      <c r="I58" s="27" t="s">
        <v>2105</v>
      </c>
      <c r="J58" s="11" t="n">
        <v>-0.5</v>
      </c>
      <c r="K58" s="20" t="n">
        <v>148</v>
      </c>
      <c r="L58" s="27" t="s">
        <v>1965</v>
      </c>
      <c r="M58" s="30"/>
      <c r="N58" s="30"/>
      <c r="O58" s="27"/>
      <c r="P58" s="27" t="s">
        <v>1957</v>
      </c>
      <c r="Q58" s="9" t="s">
        <v>1931</v>
      </c>
    </row>
    <row r="59" customFormat="false" ht="19.5" hidden="false" customHeight="true" outlineLevel="0" collapsed="false">
      <c r="A59" s="25" t="s">
        <v>2106</v>
      </c>
      <c r="B59" s="12" t="s">
        <v>2107</v>
      </c>
      <c r="C59" s="25" t="s">
        <v>2021</v>
      </c>
      <c r="D59" s="25" t="n">
        <v>30</v>
      </c>
      <c r="E59" s="12" t="s">
        <v>2101</v>
      </c>
      <c r="F59" s="12" t="s">
        <v>1977</v>
      </c>
      <c r="G59" s="25" t="s">
        <v>2104</v>
      </c>
      <c r="H59" s="29" t="n">
        <v>2</v>
      </c>
      <c r="I59" s="25" t="s">
        <v>2105</v>
      </c>
      <c r="J59" s="14" t="n">
        <v>-1.5</v>
      </c>
      <c r="K59" s="18" t="n">
        <v>52</v>
      </c>
      <c r="L59" s="25" t="s">
        <v>2078</v>
      </c>
      <c r="M59" s="29"/>
      <c r="N59" s="29"/>
      <c r="O59" s="25"/>
      <c r="P59" s="25" t="s">
        <v>1957</v>
      </c>
      <c r="Q59" s="12" t="s">
        <v>1931</v>
      </c>
    </row>
    <row r="60" customFormat="false" ht="19.5" hidden="false" customHeight="true" outlineLevel="0" collapsed="false">
      <c r="A60" s="27" t="s">
        <v>2108</v>
      </c>
      <c r="B60" s="9" t="s">
        <v>2109</v>
      </c>
      <c r="C60" s="27" t="s">
        <v>2021</v>
      </c>
      <c r="D60" s="27" t="n">
        <v>31</v>
      </c>
      <c r="E60" s="9" t="s">
        <v>1991</v>
      </c>
      <c r="F60" s="9" t="s">
        <v>1977</v>
      </c>
      <c r="G60" s="27" t="s">
        <v>2104</v>
      </c>
      <c r="H60" s="30" t="n">
        <v>2</v>
      </c>
      <c r="I60" s="27" t="s">
        <v>2105</v>
      </c>
      <c r="J60" s="11" t="n">
        <v>-0.5</v>
      </c>
      <c r="K60" s="20" t="n">
        <v>58</v>
      </c>
      <c r="L60" s="27" t="s">
        <v>1965</v>
      </c>
      <c r="M60" s="30"/>
      <c r="N60" s="30"/>
      <c r="O60" s="27"/>
      <c r="P60" s="27" t="s">
        <v>1957</v>
      </c>
      <c r="Q60" s="9" t="s">
        <v>1931</v>
      </c>
    </row>
    <row r="61" customFormat="false" ht="19.5" hidden="false" customHeight="true" outlineLevel="0" collapsed="false">
      <c r="A61" s="25" t="s">
        <v>2110</v>
      </c>
      <c r="B61" s="12" t="s">
        <v>2111</v>
      </c>
      <c r="C61" s="25" t="s">
        <v>2021</v>
      </c>
      <c r="D61" s="25" t="n">
        <v>32</v>
      </c>
      <c r="E61" s="12" t="s">
        <v>2112</v>
      </c>
      <c r="F61" s="12" t="s">
        <v>1977</v>
      </c>
      <c r="G61" s="25" t="s">
        <v>1928</v>
      </c>
      <c r="H61" s="29" t="n">
        <v>1</v>
      </c>
      <c r="I61" s="25" t="s">
        <v>2032</v>
      </c>
      <c r="J61" s="14" t="n">
        <v>-3.3</v>
      </c>
      <c r="K61" s="18" t="n">
        <v>280</v>
      </c>
      <c r="L61" s="25" t="s">
        <v>1998</v>
      </c>
      <c r="M61" s="29"/>
      <c r="N61" s="29"/>
      <c r="O61" s="25"/>
      <c r="P61" s="25" t="s">
        <v>1957</v>
      </c>
      <c r="Q61" s="12" t="s">
        <v>1931</v>
      </c>
    </row>
    <row r="62" customFormat="false" ht="19.5" hidden="false" customHeight="true" outlineLevel="0" collapsed="false">
      <c r="A62" s="27" t="s">
        <v>2113</v>
      </c>
      <c r="B62" s="9" t="s">
        <v>2114</v>
      </c>
      <c r="C62" s="27" t="s">
        <v>2021</v>
      </c>
      <c r="D62" s="27" t="n">
        <v>33</v>
      </c>
      <c r="E62" s="9" t="s">
        <v>2115</v>
      </c>
      <c r="F62" s="9" t="s">
        <v>1977</v>
      </c>
      <c r="G62" s="27" t="s">
        <v>1928</v>
      </c>
      <c r="H62" s="30" t="n">
        <v>1</v>
      </c>
      <c r="I62" s="27" t="s">
        <v>2032</v>
      </c>
      <c r="J62" s="11" t="n">
        <v>-2</v>
      </c>
      <c r="K62" s="20" t="n">
        <v>148</v>
      </c>
      <c r="L62" s="27" t="s">
        <v>1998</v>
      </c>
      <c r="M62" s="30"/>
      <c r="N62" s="30"/>
      <c r="O62" s="27"/>
      <c r="P62" s="27" t="s">
        <v>1957</v>
      </c>
      <c r="Q62" s="9" t="s">
        <v>1931</v>
      </c>
    </row>
    <row r="63" customFormat="false" ht="19.5" hidden="false" customHeight="true" outlineLevel="0" collapsed="false">
      <c r="A63" s="25" t="s">
        <v>2116</v>
      </c>
      <c r="B63" s="12" t="s">
        <v>2117</v>
      </c>
      <c r="C63" s="25" t="s">
        <v>2021</v>
      </c>
      <c r="D63" s="25" t="n">
        <v>34</v>
      </c>
      <c r="E63" s="12" t="s">
        <v>2115</v>
      </c>
      <c r="F63" s="12" t="s">
        <v>1977</v>
      </c>
      <c r="G63" s="25" t="s">
        <v>1928</v>
      </c>
      <c r="H63" s="29" t="n">
        <v>1</v>
      </c>
      <c r="I63" s="25" t="s">
        <v>2032</v>
      </c>
      <c r="J63" s="14" t="n">
        <v>-2</v>
      </c>
      <c r="K63" s="18" t="n">
        <v>144</v>
      </c>
      <c r="L63" s="25" t="s">
        <v>1998</v>
      </c>
      <c r="M63" s="29"/>
      <c r="N63" s="29"/>
      <c r="O63" s="25"/>
      <c r="P63" s="25" t="s">
        <v>1957</v>
      </c>
      <c r="Q63" s="12" t="s">
        <v>1931</v>
      </c>
    </row>
    <row r="64" customFormat="false" ht="19.5" hidden="false" customHeight="true" outlineLevel="0" collapsed="false">
      <c r="A64" s="27" t="s">
        <v>2118</v>
      </c>
      <c r="B64" s="9" t="s">
        <v>2119</v>
      </c>
      <c r="C64" s="27" t="s">
        <v>2021</v>
      </c>
      <c r="D64" s="27" t="n">
        <v>35</v>
      </c>
      <c r="E64" s="9" t="s">
        <v>2115</v>
      </c>
      <c r="F64" s="9" t="s">
        <v>1977</v>
      </c>
      <c r="G64" s="27" t="s">
        <v>1928</v>
      </c>
      <c r="H64" s="30" t="n">
        <v>1</v>
      </c>
      <c r="I64" s="27" t="s">
        <v>2032</v>
      </c>
      <c r="J64" s="11" t="n">
        <v>-2</v>
      </c>
      <c r="K64" s="20" t="n">
        <v>150</v>
      </c>
      <c r="L64" s="27" t="s">
        <v>1998</v>
      </c>
      <c r="M64" s="30"/>
      <c r="N64" s="30"/>
      <c r="O64" s="27"/>
      <c r="P64" s="27" t="s">
        <v>1957</v>
      </c>
      <c r="Q64" s="9" t="s">
        <v>1931</v>
      </c>
    </row>
    <row r="65" customFormat="false" ht="19.5" hidden="false" customHeight="true" outlineLevel="0" collapsed="false">
      <c r="A65" s="25" t="s">
        <v>2120</v>
      </c>
      <c r="B65" s="12" t="s">
        <v>2121</v>
      </c>
      <c r="C65" s="25" t="s">
        <v>2021</v>
      </c>
      <c r="D65" s="25" t="n">
        <v>36</v>
      </c>
      <c r="E65" s="12" t="s">
        <v>1997</v>
      </c>
      <c r="F65" s="12" t="s">
        <v>1977</v>
      </c>
      <c r="G65" s="25" t="s">
        <v>1928</v>
      </c>
      <c r="H65" s="29" t="n">
        <v>1</v>
      </c>
      <c r="I65" s="25" t="s">
        <v>2032</v>
      </c>
      <c r="J65" s="14" t="n">
        <v>-2</v>
      </c>
      <c r="K65" s="18" t="n">
        <v>80</v>
      </c>
      <c r="L65" s="25" t="s">
        <v>1998</v>
      </c>
      <c r="M65" s="29"/>
      <c r="N65" s="29"/>
      <c r="O65" s="25"/>
      <c r="P65" s="25" t="s">
        <v>1957</v>
      </c>
      <c r="Q65" s="12" t="s">
        <v>1931</v>
      </c>
    </row>
    <row r="66" customFormat="false" ht="19.5" hidden="false" customHeight="true" outlineLevel="0" collapsed="false">
      <c r="A66" s="27" t="s">
        <v>2122</v>
      </c>
      <c r="B66" s="9" t="s">
        <v>2123</v>
      </c>
      <c r="C66" s="27" t="s">
        <v>2021</v>
      </c>
      <c r="D66" s="27" t="n">
        <v>37</v>
      </c>
      <c r="E66" s="9" t="s">
        <v>2096</v>
      </c>
      <c r="F66" s="9" t="s">
        <v>1977</v>
      </c>
      <c r="G66" s="27" t="s">
        <v>1928</v>
      </c>
      <c r="H66" s="30" t="n">
        <v>1</v>
      </c>
      <c r="I66" s="27" t="s">
        <v>2085</v>
      </c>
      <c r="J66" s="11" t="n">
        <v>-2</v>
      </c>
      <c r="K66" s="20" t="n">
        <v>40</v>
      </c>
      <c r="L66" s="27" t="s">
        <v>1998</v>
      </c>
      <c r="M66" s="30"/>
      <c r="N66" s="30"/>
      <c r="O66" s="27"/>
      <c r="P66" s="27" t="s">
        <v>1957</v>
      </c>
      <c r="Q66" s="9" t="s">
        <v>1931</v>
      </c>
    </row>
    <row r="67" customFormat="false" ht="19.5" hidden="false" customHeight="true" outlineLevel="0" collapsed="false">
      <c r="A67" s="25" t="s">
        <v>2124</v>
      </c>
      <c r="B67" s="12" t="s">
        <v>2125</v>
      </c>
      <c r="C67" s="25" t="s">
        <v>2021</v>
      </c>
      <c r="D67" s="25" t="n">
        <v>38</v>
      </c>
      <c r="E67" s="12" t="s">
        <v>2077</v>
      </c>
      <c r="F67" s="12" t="s">
        <v>1977</v>
      </c>
      <c r="G67" s="25" t="s">
        <v>1928</v>
      </c>
      <c r="H67" s="29" t="n">
        <v>1</v>
      </c>
      <c r="I67" s="25" t="s">
        <v>2085</v>
      </c>
      <c r="J67" s="14" t="n">
        <v>-2</v>
      </c>
      <c r="K67" s="18" t="n">
        <v>92</v>
      </c>
      <c r="L67" s="25" t="s">
        <v>1998</v>
      </c>
      <c r="M67" s="29"/>
      <c r="N67" s="29"/>
      <c r="O67" s="25"/>
      <c r="P67" s="25" t="s">
        <v>1957</v>
      </c>
      <c r="Q67" s="12" t="s">
        <v>1931</v>
      </c>
    </row>
    <row r="68" customFormat="false" ht="19.5" hidden="false" customHeight="true" outlineLevel="0" collapsed="false">
      <c r="A68" s="27" t="s">
        <v>2126</v>
      </c>
      <c r="B68" s="9" t="s">
        <v>2127</v>
      </c>
      <c r="C68" s="27" t="s">
        <v>2021</v>
      </c>
      <c r="D68" s="27" t="n">
        <v>39</v>
      </c>
      <c r="E68" s="9" t="s">
        <v>2077</v>
      </c>
      <c r="F68" s="9" t="s">
        <v>1977</v>
      </c>
      <c r="G68" s="27" t="s">
        <v>1928</v>
      </c>
      <c r="H68" s="30" t="n">
        <v>1</v>
      </c>
      <c r="I68" s="27" t="s">
        <v>2085</v>
      </c>
      <c r="J68" s="11" t="n">
        <v>-2</v>
      </c>
      <c r="K68" s="20" t="n">
        <v>160</v>
      </c>
      <c r="L68" s="27" t="s">
        <v>1998</v>
      </c>
      <c r="M68" s="30"/>
      <c r="N68" s="30"/>
      <c r="O68" s="27"/>
      <c r="P68" s="27" t="s">
        <v>1957</v>
      </c>
      <c r="Q68" s="9" t="s">
        <v>1931</v>
      </c>
    </row>
    <row r="69" customFormat="false" ht="19.5" hidden="false" customHeight="true" outlineLevel="0" collapsed="false">
      <c r="A69" s="25" t="s">
        <v>2128</v>
      </c>
      <c r="B69" s="12" t="s">
        <v>2129</v>
      </c>
      <c r="C69" s="25" t="s">
        <v>2021</v>
      </c>
      <c r="D69" s="25" t="n">
        <v>40</v>
      </c>
      <c r="E69" s="12" t="s">
        <v>2112</v>
      </c>
      <c r="F69" s="12" t="s">
        <v>1977</v>
      </c>
      <c r="G69" s="25" t="s">
        <v>1928</v>
      </c>
      <c r="H69" s="29" t="n">
        <v>1</v>
      </c>
      <c r="I69" s="25" t="s">
        <v>2085</v>
      </c>
      <c r="J69" s="14" t="n">
        <v>-2</v>
      </c>
      <c r="K69" s="18" t="n">
        <v>92</v>
      </c>
      <c r="L69" s="25" t="s">
        <v>1998</v>
      </c>
      <c r="M69" s="29"/>
      <c r="N69" s="29"/>
      <c r="O69" s="25"/>
      <c r="P69" s="25" t="s">
        <v>1957</v>
      </c>
      <c r="Q69" s="12" t="s">
        <v>1931</v>
      </c>
    </row>
    <row r="70" customFormat="false" ht="19.5" hidden="false" customHeight="true" outlineLevel="0" collapsed="false">
      <c r="A70" s="27" t="s">
        <v>2130</v>
      </c>
      <c r="B70" s="9" t="s">
        <v>2131</v>
      </c>
      <c r="C70" s="27" t="s">
        <v>2021</v>
      </c>
      <c r="D70" s="27" t="n">
        <v>41</v>
      </c>
      <c r="E70" s="9" t="s">
        <v>2112</v>
      </c>
      <c r="F70" s="9" t="s">
        <v>1977</v>
      </c>
      <c r="G70" s="27" t="s">
        <v>1928</v>
      </c>
      <c r="H70" s="30" t="n">
        <v>1</v>
      </c>
      <c r="I70" s="27" t="s">
        <v>2097</v>
      </c>
      <c r="J70" s="11" t="n">
        <v>-2</v>
      </c>
      <c r="K70" s="20" t="n">
        <v>108</v>
      </c>
      <c r="L70" s="27" t="s">
        <v>1998</v>
      </c>
      <c r="M70" s="30"/>
      <c r="N70" s="30"/>
      <c r="O70" s="27"/>
      <c r="P70" s="27" t="s">
        <v>1957</v>
      </c>
      <c r="Q70" s="9" t="s">
        <v>1931</v>
      </c>
    </row>
    <row r="71" customFormat="false" ht="19.5" hidden="false" customHeight="true" outlineLevel="0" collapsed="false">
      <c r="A71" s="25" t="s">
        <v>2132</v>
      </c>
      <c r="B71" s="12" t="s">
        <v>2133</v>
      </c>
      <c r="C71" s="25" t="s">
        <v>2021</v>
      </c>
      <c r="D71" s="25" t="n">
        <v>42</v>
      </c>
      <c r="E71" s="12" t="s">
        <v>2134</v>
      </c>
      <c r="F71" s="12" t="s">
        <v>1977</v>
      </c>
      <c r="G71" s="25" t="s">
        <v>1928</v>
      </c>
      <c r="H71" s="29" t="n">
        <v>1</v>
      </c>
      <c r="I71" s="25" t="s">
        <v>2097</v>
      </c>
      <c r="J71" s="14" t="n">
        <v>-1.5</v>
      </c>
      <c r="K71" s="18" t="n">
        <v>50</v>
      </c>
      <c r="L71" s="25" t="s">
        <v>1998</v>
      </c>
      <c r="M71" s="29"/>
      <c r="N71" s="29"/>
      <c r="O71" s="25"/>
      <c r="P71" s="25" t="s">
        <v>1957</v>
      </c>
      <c r="Q71" s="12" t="s">
        <v>1931</v>
      </c>
    </row>
    <row r="72" customFormat="false" ht="19.5" hidden="false" customHeight="true" outlineLevel="0" collapsed="false">
      <c r="A72" s="27" t="s">
        <v>2135</v>
      </c>
      <c r="B72" s="9" t="s">
        <v>2136</v>
      </c>
      <c r="C72" s="27" t="s">
        <v>2021</v>
      </c>
      <c r="D72" s="27" t="n">
        <v>43</v>
      </c>
      <c r="E72" s="9" t="s">
        <v>1997</v>
      </c>
      <c r="F72" s="9" t="s">
        <v>1977</v>
      </c>
      <c r="G72" s="27" t="s">
        <v>2104</v>
      </c>
      <c r="H72" s="30" t="n">
        <v>2</v>
      </c>
      <c r="I72" s="27" t="s">
        <v>2105</v>
      </c>
      <c r="J72" s="11" t="n">
        <v>-0.5</v>
      </c>
      <c r="K72" s="20" t="n">
        <v>84</v>
      </c>
      <c r="L72" s="27" t="s">
        <v>1965</v>
      </c>
      <c r="M72" s="30"/>
      <c r="N72" s="30"/>
      <c r="O72" s="27"/>
      <c r="P72" s="27" t="s">
        <v>1957</v>
      </c>
      <c r="Q72" s="9" t="s">
        <v>1931</v>
      </c>
    </row>
    <row r="73" customFormat="false" ht="19.5" hidden="false" customHeight="true" outlineLevel="0" collapsed="false">
      <c r="A73" s="25" t="s">
        <v>2137</v>
      </c>
      <c r="B73" s="12" t="s">
        <v>2138</v>
      </c>
      <c r="C73" s="25" t="s">
        <v>2021</v>
      </c>
      <c r="D73" s="25" t="n">
        <v>44</v>
      </c>
      <c r="E73" s="12" t="s">
        <v>1997</v>
      </c>
      <c r="F73" s="12" t="s">
        <v>1977</v>
      </c>
      <c r="G73" s="25" t="s">
        <v>1928</v>
      </c>
      <c r="H73" s="29" t="n">
        <v>1</v>
      </c>
      <c r="I73" s="25" t="s">
        <v>2032</v>
      </c>
      <c r="J73" s="14" t="n">
        <v>-2</v>
      </c>
      <c r="K73" s="18" t="n">
        <v>66</v>
      </c>
      <c r="L73" s="25" t="s">
        <v>2139</v>
      </c>
      <c r="M73" s="29"/>
      <c r="N73" s="29"/>
      <c r="O73" s="25"/>
      <c r="P73" s="25" t="s">
        <v>1957</v>
      </c>
      <c r="Q73" s="12" t="s">
        <v>1931</v>
      </c>
    </row>
    <row r="74" customFormat="false" ht="19.5" hidden="false" customHeight="true" outlineLevel="0" collapsed="false">
      <c r="A74" s="27" t="s">
        <v>2140</v>
      </c>
      <c r="B74" s="9" t="s">
        <v>2141</v>
      </c>
      <c r="C74" s="27" t="s">
        <v>2021</v>
      </c>
      <c r="D74" s="27" t="n">
        <v>45</v>
      </c>
      <c r="E74" s="9" t="s">
        <v>2142</v>
      </c>
      <c r="F74" s="9" t="s">
        <v>1977</v>
      </c>
      <c r="G74" s="27" t="s">
        <v>1928</v>
      </c>
      <c r="H74" s="30" t="n">
        <v>1</v>
      </c>
      <c r="I74" s="27" t="s">
        <v>2085</v>
      </c>
      <c r="J74" s="11" t="n">
        <v>-2</v>
      </c>
      <c r="K74" s="20" t="n">
        <v>80</v>
      </c>
      <c r="L74" s="27" t="s">
        <v>2139</v>
      </c>
      <c r="M74" s="30"/>
      <c r="N74" s="30"/>
      <c r="O74" s="27"/>
      <c r="P74" s="27" t="s">
        <v>1957</v>
      </c>
      <c r="Q74" s="9" t="s">
        <v>1931</v>
      </c>
    </row>
    <row r="75" customFormat="false" ht="19.5" hidden="false" customHeight="true" outlineLevel="0" collapsed="false">
      <c r="A75" s="25" t="s">
        <v>2143</v>
      </c>
      <c r="B75" s="12" t="s">
        <v>1587</v>
      </c>
      <c r="C75" s="25" t="s">
        <v>2021</v>
      </c>
      <c r="D75" s="25" t="n">
        <v>46</v>
      </c>
      <c r="E75" s="12" t="s">
        <v>2144</v>
      </c>
      <c r="F75" s="12" t="s">
        <v>462</v>
      </c>
      <c r="G75" s="25" t="s">
        <v>1928</v>
      </c>
      <c r="H75" s="29" t="n">
        <v>1</v>
      </c>
      <c r="I75" s="25" t="s">
        <v>1929</v>
      </c>
      <c r="J75" s="14" t="n">
        <v>-3</v>
      </c>
      <c r="K75" s="18" t="n">
        <v>2400</v>
      </c>
      <c r="L75" s="25" t="s">
        <v>2145</v>
      </c>
      <c r="M75" s="29"/>
      <c r="N75" s="29"/>
      <c r="O75" s="25"/>
      <c r="P75" s="25" t="s">
        <v>1957</v>
      </c>
      <c r="Q75" s="12" t="s">
        <v>1931</v>
      </c>
    </row>
    <row r="76" customFormat="false" ht="19.5" hidden="false" customHeight="true" outlineLevel="0" collapsed="false">
      <c r="A76" s="27" t="s">
        <v>2146</v>
      </c>
      <c r="B76" s="9" t="s">
        <v>1591</v>
      </c>
      <c r="C76" s="27" t="s">
        <v>2021</v>
      </c>
      <c r="D76" s="27" t="n">
        <v>47</v>
      </c>
      <c r="E76" s="9" t="s">
        <v>2147</v>
      </c>
      <c r="F76" s="9" t="s">
        <v>462</v>
      </c>
      <c r="G76" s="27" t="s">
        <v>1928</v>
      </c>
      <c r="H76" s="30" t="n">
        <v>1</v>
      </c>
      <c r="I76" s="27" t="s">
        <v>2148</v>
      </c>
      <c r="J76" s="11" t="n">
        <v>-3.2</v>
      </c>
      <c r="K76" s="20" t="n">
        <v>1700</v>
      </c>
      <c r="L76" s="27" t="s">
        <v>2149</v>
      </c>
      <c r="M76" s="28" t="n">
        <v>10.390587</v>
      </c>
      <c r="N76" s="28" t="n">
        <v>106.455078</v>
      </c>
      <c r="O76" s="27" t="s">
        <v>483</v>
      </c>
      <c r="P76" s="27" t="s">
        <v>223</v>
      </c>
      <c r="Q76" s="9" t="s">
        <v>1931</v>
      </c>
    </row>
    <row r="77" customFormat="false" ht="19.5" hidden="false" customHeight="true" outlineLevel="0" collapsed="false">
      <c r="A77" s="25" t="s">
        <v>2150</v>
      </c>
      <c r="B77" s="12" t="s">
        <v>2151</v>
      </c>
      <c r="C77" s="25" t="s">
        <v>2021</v>
      </c>
      <c r="D77" s="25" t="n">
        <v>48</v>
      </c>
      <c r="E77" s="12" t="s">
        <v>2152</v>
      </c>
      <c r="F77" s="12" t="s">
        <v>462</v>
      </c>
      <c r="G77" s="25" t="s">
        <v>1928</v>
      </c>
      <c r="H77" s="29" t="n">
        <v>1</v>
      </c>
      <c r="I77" s="25" t="s">
        <v>2032</v>
      </c>
      <c r="J77" s="14" t="n">
        <v>-2.5</v>
      </c>
      <c r="K77" s="18" t="n">
        <v>300</v>
      </c>
      <c r="L77" s="25" t="s">
        <v>2060</v>
      </c>
      <c r="M77" s="29"/>
      <c r="N77" s="29"/>
      <c r="O77" s="25"/>
      <c r="P77" s="25" t="s">
        <v>1957</v>
      </c>
      <c r="Q77" s="12" t="s">
        <v>1931</v>
      </c>
    </row>
    <row r="78" customFormat="false" ht="19.5" hidden="false" customHeight="true" outlineLevel="0" collapsed="false">
      <c r="A78" s="27" t="s">
        <v>2153</v>
      </c>
      <c r="B78" s="9" t="s">
        <v>2154</v>
      </c>
      <c r="C78" s="27" t="s">
        <v>2021</v>
      </c>
      <c r="D78" s="27" t="n">
        <v>49</v>
      </c>
      <c r="E78" s="9" t="s">
        <v>2152</v>
      </c>
      <c r="F78" s="9" t="s">
        <v>462</v>
      </c>
      <c r="G78" s="27" t="s">
        <v>1928</v>
      </c>
      <c r="H78" s="30" t="n">
        <v>1</v>
      </c>
      <c r="I78" s="27" t="s">
        <v>2032</v>
      </c>
      <c r="J78" s="11" t="n">
        <v>-2.5</v>
      </c>
      <c r="K78" s="20" t="n">
        <v>234</v>
      </c>
      <c r="L78" s="27" t="s">
        <v>2060</v>
      </c>
      <c r="M78" s="30"/>
      <c r="N78" s="30"/>
      <c r="O78" s="27"/>
      <c r="P78" s="27" t="s">
        <v>1957</v>
      </c>
      <c r="Q78" s="9" t="s">
        <v>1931</v>
      </c>
    </row>
    <row r="79" customFormat="false" ht="19.5" hidden="false" customHeight="true" outlineLevel="0" collapsed="false">
      <c r="A79" s="25" t="s">
        <v>2155</v>
      </c>
      <c r="B79" s="12" t="s">
        <v>2156</v>
      </c>
      <c r="C79" s="25" t="s">
        <v>2021</v>
      </c>
      <c r="D79" s="25" t="n">
        <v>50</v>
      </c>
      <c r="E79" s="12" t="s">
        <v>2157</v>
      </c>
      <c r="F79" s="12" t="s">
        <v>1977</v>
      </c>
      <c r="G79" s="25" t="s">
        <v>1928</v>
      </c>
      <c r="H79" s="29" t="n">
        <v>1</v>
      </c>
      <c r="I79" s="25" t="s">
        <v>2032</v>
      </c>
      <c r="J79" s="14" t="n">
        <v>-2</v>
      </c>
      <c r="K79" s="18" t="n">
        <v>233</v>
      </c>
      <c r="L79" s="25" t="s">
        <v>2060</v>
      </c>
      <c r="M79" s="29"/>
      <c r="N79" s="29"/>
      <c r="O79" s="25"/>
      <c r="P79" s="25" t="s">
        <v>1957</v>
      </c>
      <c r="Q79" s="12" t="s">
        <v>1931</v>
      </c>
    </row>
    <row r="80" customFormat="false" ht="19.5" hidden="false" customHeight="true" outlineLevel="0" collapsed="false">
      <c r="A80" s="27" t="s">
        <v>2158</v>
      </c>
      <c r="B80" s="9" t="s">
        <v>2159</v>
      </c>
      <c r="C80" s="27" t="s">
        <v>2021</v>
      </c>
      <c r="D80" s="27" t="n">
        <v>51</v>
      </c>
      <c r="E80" s="9" t="s">
        <v>2160</v>
      </c>
      <c r="F80" s="9" t="s">
        <v>462</v>
      </c>
      <c r="G80" s="27" t="s">
        <v>1928</v>
      </c>
      <c r="H80" s="30" t="n">
        <v>1</v>
      </c>
      <c r="I80" s="27" t="s">
        <v>2032</v>
      </c>
      <c r="J80" s="11" t="n">
        <v>-2</v>
      </c>
      <c r="K80" s="20" t="n">
        <v>1541</v>
      </c>
      <c r="L80" s="27" t="s">
        <v>2161</v>
      </c>
      <c r="M80" s="30"/>
      <c r="N80" s="30"/>
      <c r="O80" s="27"/>
      <c r="P80" s="27" t="s">
        <v>1957</v>
      </c>
      <c r="Q80" s="9" t="s">
        <v>1931</v>
      </c>
    </row>
    <row r="81" customFormat="false" ht="19.5" hidden="false" customHeight="true" outlineLevel="0" collapsed="false">
      <c r="A81" s="25" t="s">
        <v>2162</v>
      </c>
      <c r="B81" s="12" t="s">
        <v>2163</v>
      </c>
      <c r="C81" s="25" t="s">
        <v>2021</v>
      </c>
      <c r="D81" s="25" t="n">
        <v>52</v>
      </c>
      <c r="E81" s="12" t="s">
        <v>2164</v>
      </c>
      <c r="F81" s="12" t="s">
        <v>462</v>
      </c>
      <c r="G81" s="25" t="s">
        <v>2165</v>
      </c>
      <c r="H81" s="29" t="n">
        <v>2</v>
      </c>
      <c r="I81" s="25" t="s">
        <v>2166</v>
      </c>
      <c r="J81" s="14" t="n">
        <v>-2.5</v>
      </c>
      <c r="K81" s="18" t="n">
        <v>903</v>
      </c>
      <c r="L81" s="25" t="s">
        <v>2167</v>
      </c>
      <c r="M81" s="29"/>
      <c r="N81" s="29"/>
      <c r="O81" s="25"/>
      <c r="P81" s="25" t="s">
        <v>1957</v>
      </c>
      <c r="Q81" s="12" t="s">
        <v>1931</v>
      </c>
    </row>
    <row r="82" customFormat="false" ht="19.5" hidden="false" customHeight="true" outlineLevel="0" collapsed="false">
      <c r="A82" s="27" t="s">
        <v>2168</v>
      </c>
      <c r="B82" s="9" t="s">
        <v>2169</v>
      </c>
      <c r="C82" s="27" t="s">
        <v>2021</v>
      </c>
      <c r="D82" s="27" t="n">
        <v>53</v>
      </c>
      <c r="E82" s="9" t="s">
        <v>2164</v>
      </c>
      <c r="F82" s="9" t="s">
        <v>462</v>
      </c>
      <c r="G82" s="27" t="s">
        <v>1928</v>
      </c>
      <c r="H82" s="30" t="n">
        <v>2</v>
      </c>
      <c r="I82" s="27" t="s">
        <v>2170</v>
      </c>
      <c r="J82" s="11" t="n">
        <v>-1.3</v>
      </c>
      <c r="K82" s="20" t="n">
        <v>450</v>
      </c>
      <c r="L82" s="27" t="s">
        <v>2171</v>
      </c>
      <c r="M82" s="30"/>
      <c r="N82" s="30"/>
      <c r="O82" s="27"/>
      <c r="P82" s="27" t="s">
        <v>1957</v>
      </c>
      <c r="Q82" s="9" t="s">
        <v>1931</v>
      </c>
    </row>
    <row r="83" customFormat="false" ht="19.5" hidden="false" customHeight="true" outlineLevel="0" collapsed="false">
      <c r="A83" s="25" t="s">
        <v>2172</v>
      </c>
      <c r="B83" s="12" t="s">
        <v>2173</v>
      </c>
      <c r="C83" s="25" t="s">
        <v>2021</v>
      </c>
      <c r="D83" s="25" t="n">
        <v>54</v>
      </c>
      <c r="E83" s="12" t="s">
        <v>2174</v>
      </c>
      <c r="F83" s="12" t="s">
        <v>462</v>
      </c>
      <c r="G83" s="25" t="s">
        <v>2165</v>
      </c>
      <c r="H83" s="29" t="n">
        <v>1</v>
      </c>
      <c r="I83" s="25" t="s">
        <v>2175</v>
      </c>
      <c r="J83" s="14" t="n">
        <v>-1.7</v>
      </c>
      <c r="K83" s="18" t="n">
        <v>200</v>
      </c>
      <c r="L83" s="25" t="s">
        <v>2028</v>
      </c>
      <c r="M83" s="29"/>
      <c r="N83" s="29"/>
      <c r="O83" s="25"/>
      <c r="P83" s="25" t="s">
        <v>1957</v>
      </c>
      <c r="Q83" s="12" t="s">
        <v>1931</v>
      </c>
    </row>
    <row r="84" customFormat="false" ht="19.5" hidden="false" customHeight="true" outlineLevel="0" collapsed="false">
      <c r="A84" s="27" t="s">
        <v>2176</v>
      </c>
      <c r="B84" s="9" t="s">
        <v>2177</v>
      </c>
      <c r="C84" s="27" t="s">
        <v>2021</v>
      </c>
      <c r="D84" s="27" t="n">
        <v>55</v>
      </c>
      <c r="E84" s="9" t="s">
        <v>2178</v>
      </c>
      <c r="F84" s="9" t="s">
        <v>462</v>
      </c>
      <c r="G84" s="27" t="s">
        <v>2165</v>
      </c>
      <c r="H84" s="30" t="n">
        <v>1</v>
      </c>
      <c r="I84" s="27" t="s">
        <v>2175</v>
      </c>
      <c r="J84" s="11" t="n">
        <v>-2</v>
      </c>
      <c r="K84" s="20" t="n">
        <v>250</v>
      </c>
      <c r="L84" s="27" t="s">
        <v>2179</v>
      </c>
      <c r="M84" s="30"/>
      <c r="N84" s="30"/>
      <c r="O84" s="27"/>
      <c r="P84" s="27" t="s">
        <v>1957</v>
      </c>
      <c r="Q84" s="9" t="s">
        <v>1931</v>
      </c>
    </row>
    <row r="85" customFormat="false" ht="19.5" hidden="false" customHeight="true" outlineLevel="0" collapsed="false">
      <c r="A85" s="25" t="s">
        <v>2180</v>
      </c>
      <c r="B85" s="12" t="s">
        <v>2181</v>
      </c>
      <c r="C85" s="25" t="s">
        <v>2021</v>
      </c>
      <c r="D85" s="25" t="n">
        <v>56</v>
      </c>
      <c r="E85" s="12" t="s">
        <v>2182</v>
      </c>
      <c r="F85" s="12" t="s">
        <v>462</v>
      </c>
      <c r="G85" s="25" t="s">
        <v>1928</v>
      </c>
      <c r="H85" s="29" t="n">
        <v>1</v>
      </c>
      <c r="I85" s="25" t="s">
        <v>2183</v>
      </c>
      <c r="J85" s="14" t="n">
        <v>-3</v>
      </c>
      <c r="K85" s="18" t="n">
        <v>450</v>
      </c>
      <c r="L85" s="25" t="s">
        <v>2048</v>
      </c>
      <c r="M85" s="29"/>
      <c r="N85" s="29"/>
      <c r="O85" s="25"/>
      <c r="P85" s="25" t="s">
        <v>1957</v>
      </c>
      <c r="Q85" s="12" t="s">
        <v>1931</v>
      </c>
    </row>
    <row r="86" customFormat="false" ht="19.5" hidden="false" customHeight="true" outlineLevel="0" collapsed="false">
      <c r="A86" s="27" t="s">
        <v>2184</v>
      </c>
      <c r="B86" s="9" t="s">
        <v>2185</v>
      </c>
      <c r="C86" s="27" t="s">
        <v>2021</v>
      </c>
      <c r="D86" s="27" t="n">
        <v>57</v>
      </c>
      <c r="E86" s="9" t="s">
        <v>2186</v>
      </c>
      <c r="F86" s="9" t="s">
        <v>462</v>
      </c>
      <c r="G86" s="27" t="s">
        <v>1928</v>
      </c>
      <c r="H86" s="30" t="n">
        <v>1</v>
      </c>
      <c r="I86" s="27" t="s">
        <v>2148</v>
      </c>
      <c r="J86" s="11" t="n">
        <v>-3.2</v>
      </c>
      <c r="K86" s="20" t="n">
        <v>3700</v>
      </c>
      <c r="L86" s="27" t="s">
        <v>2048</v>
      </c>
      <c r="M86" s="30"/>
      <c r="N86" s="30"/>
      <c r="O86" s="27"/>
      <c r="P86" s="27" t="s">
        <v>1957</v>
      </c>
      <c r="Q86" s="9" t="s">
        <v>1931</v>
      </c>
    </row>
    <row r="87" customFormat="false" ht="19.5" hidden="false" customHeight="true" outlineLevel="0" collapsed="false">
      <c r="A87" s="25" t="s">
        <v>2187</v>
      </c>
      <c r="B87" s="12" t="s">
        <v>2188</v>
      </c>
      <c r="C87" s="25" t="s">
        <v>2021</v>
      </c>
      <c r="D87" s="25" t="n">
        <v>58</v>
      </c>
      <c r="E87" s="12" t="s">
        <v>2189</v>
      </c>
      <c r="F87" s="12" t="s">
        <v>462</v>
      </c>
      <c r="G87" s="25" t="s">
        <v>1928</v>
      </c>
      <c r="H87" s="29" t="n">
        <v>2</v>
      </c>
      <c r="I87" s="25" t="s">
        <v>2190</v>
      </c>
      <c r="J87" s="14" t="n">
        <v>-2</v>
      </c>
      <c r="K87" s="18" t="n">
        <v>315</v>
      </c>
      <c r="L87" s="25" t="s">
        <v>2191</v>
      </c>
      <c r="M87" s="29"/>
      <c r="N87" s="29"/>
      <c r="O87" s="25"/>
      <c r="P87" s="25" t="s">
        <v>1957</v>
      </c>
      <c r="Q87" s="12" t="s">
        <v>1931</v>
      </c>
    </row>
    <row r="88" customFormat="false" ht="19.5" hidden="false" customHeight="true" outlineLevel="0" collapsed="false">
      <c r="A88" s="27" t="s">
        <v>2192</v>
      </c>
      <c r="B88" s="9" t="s">
        <v>2193</v>
      </c>
      <c r="C88" s="27" t="s">
        <v>2021</v>
      </c>
      <c r="D88" s="27" t="n">
        <v>59</v>
      </c>
      <c r="E88" s="9" t="s">
        <v>2164</v>
      </c>
      <c r="F88" s="9" t="s">
        <v>462</v>
      </c>
      <c r="G88" s="27" t="s">
        <v>2165</v>
      </c>
      <c r="H88" s="30" t="n">
        <v>2</v>
      </c>
      <c r="I88" s="27" t="s">
        <v>2175</v>
      </c>
      <c r="J88" s="11" t="n">
        <v>-1.32</v>
      </c>
      <c r="K88" s="20" t="n">
        <v>450</v>
      </c>
      <c r="L88" s="27" t="s">
        <v>2194</v>
      </c>
      <c r="M88" s="30"/>
      <c r="N88" s="30"/>
      <c r="O88" s="27"/>
      <c r="P88" s="27" t="s">
        <v>1957</v>
      </c>
      <c r="Q88" s="9" t="s">
        <v>1931</v>
      </c>
    </row>
    <row r="89" customFormat="false" ht="19.5" hidden="false" customHeight="true" outlineLevel="0" collapsed="false">
      <c r="A89" s="25" t="s">
        <v>2195</v>
      </c>
      <c r="B89" s="12" t="s">
        <v>2196</v>
      </c>
      <c r="C89" s="25" t="s">
        <v>2021</v>
      </c>
      <c r="D89" s="25" t="n">
        <v>60</v>
      </c>
      <c r="E89" s="12" t="s">
        <v>2197</v>
      </c>
      <c r="F89" s="12" t="s">
        <v>462</v>
      </c>
      <c r="G89" s="25" t="s">
        <v>1928</v>
      </c>
      <c r="H89" s="29" t="n">
        <v>1</v>
      </c>
      <c r="I89" s="25" t="s">
        <v>2032</v>
      </c>
      <c r="J89" s="14" t="n">
        <v>-2.8</v>
      </c>
      <c r="K89" s="18" t="n">
        <v>256</v>
      </c>
      <c r="L89" s="25" t="s">
        <v>2198</v>
      </c>
      <c r="M89" s="29"/>
      <c r="N89" s="29"/>
      <c r="O89" s="25"/>
      <c r="P89" s="25" t="s">
        <v>1957</v>
      </c>
      <c r="Q89" s="12" t="s">
        <v>1931</v>
      </c>
    </row>
    <row r="90" customFormat="false" ht="19.5" hidden="false" customHeight="true" outlineLevel="0" collapsed="false">
      <c r="A90" s="27" t="s">
        <v>2199</v>
      </c>
      <c r="B90" s="9" t="s">
        <v>2200</v>
      </c>
      <c r="C90" s="27" t="s">
        <v>2021</v>
      </c>
      <c r="D90" s="27" t="n">
        <v>61</v>
      </c>
      <c r="E90" s="9" t="s">
        <v>2201</v>
      </c>
      <c r="F90" s="9" t="s">
        <v>462</v>
      </c>
      <c r="G90" s="27" t="s">
        <v>2104</v>
      </c>
      <c r="H90" s="30" t="n">
        <v>1</v>
      </c>
      <c r="I90" s="27" t="s">
        <v>2202</v>
      </c>
      <c r="J90" s="11" t="n">
        <v>-1.5</v>
      </c>
      <c r="K90" s="20" t="n">
        <v>41</v>
      </c>
      <c r="L90" s="27" t="s">
        <v>2048</v>
      </c>
      <c r="M90" s="30"/>
      <c r="N90" s="30"/>
      <c r="O90" s="27"/>
      <c r="P90" s="27" t="s">
        <v>1957</v>
      </c>
      <c r="Q90" s="9" t="s">
        <v>1931</v>
      </c>
    </row>
    <row r="91" customFormat="false" ht="19.5" hidden="false" customHeight="true" outlineLevel="0" collapsed="false">
      <c r="A91" s="25" t="s">
        <v>2203</v>
      </c>
      <c r="B91" s="12" t="s">
        <v>2204</v>
      </c>
      <c r="C91" s="25" t="s">
        <v>2021</v>
      </c>
      <c r="D91" s="25" t="n">
        <v>62</v>
      </c>
      <c r="E91" s="12" t="s">
        <v>2205</v>
      </c>
      <c r="F91" s="12" t="s">
        <v>462</v>
      </c>
      <c r="G91" s="25" t="s">
        <v>2104</v>
      </c>
      <c r="H91" s="29" t="n">
        <v>1</v>
      </c>
      <c r="I91" s="25" t="s">
        <v>2202</v>
      </c>
      <c r="J91" s="14" t="n">
        <v>-1.5</v>
      </c>
      <c r="K91" s="18" t="n">
        <v>35</v>
      </c>
      <c r="L91" s="25" t="s">
        <v>2048</v>
      </c>
      <c r="M91" s="29"/>
      <c r="N91" s="29"/>
      <c r="O91" s="25"/>
      <c r="P91" s="25" t="s">
        <v>1957</v>
      </c>
      <c r="Q91" s="12" t="s">
        <v>1931</v>
      </c>
    </row>
    <row r="92" customFormat="false" ht="19.5" hidden="false" customHeight="true" outlineLevel="0" collapsed="false">
      <c r="A92" s="27" t="s">
        <v>2206</v>
      </c>
      <c r="B92" s="9" t="s">
        <v>2207</v>
      </c>
      <c r="C92" s="27" t="s">
        <v>2021</v>
      </c>
      <c r="D92" s="27" t="n">
        <v>63</v>
      </c>
      <c r="E92" s="9" t="s">
        <v>2208</v>
      </c>
      <c r="F92" s="9" t="s">
        <v>462</v>
      </c>
      <c r="G92" s="27" t="s">
        <v>1928</v>
      </c>
      <c r="H92" s="30" t="n">
        <v>1</v>
      </c>
      <c r="I92" s="27" t="s">
        <v>2148</v>
      </c>
      <c r="J92" s="11" t="n">
        <v>-2.7</v>
      </c>
      <c r="K92" s="20" t="n">
        <v>107</v>
      </c>
      <c r="L92" s="27" t="s">
        <v>2060</v>
      </c>
      <c r="M92" s="30"/>
      <c r="N92" s="30"/>
      <c r="O92" s="27"/>
      <c r="P92" s="27" t="s">
        <v>1957</v>
      </c>
      <c r="Q92" s="9" t="s">
        <v>1931</v>
      </c>
    </row>
    <row r="93" customFormat="false" ht="19.5" hidden="false" customHeight="true" outlineLevel="0" collapsed="false">
      <c r="A93" s="25" t="s">
        <v>2209</v>
      </c>
      <c r="B93" s="12" t="s">
        <v>2210</v>
      </c>
      <c r="C93" s="25" t="s">
        <v>2021</v>
      </c>
      <c r="D93" s="25" t="n">
        <v>64</v>
      </c>
      <c r="E93" s="12" t="s">
        <v>2211</v>
      </c>
      <c r="F93" s="12" t="s">
        <v>462</v>
      </c>
      <c r="G93" s="25" t="s">
        <v>2165</v>
      </c>
      <c r="H93" s="29" t="n">
        <v>2</v>
      </c>
      <c r="I93" s="25" t="s">
        <v>2212</v>
      </c>
      <c r="J93" s="14" t="n">
        <v>-1.5</v>
      </c>
      <c r="K93" s="18" t="n">
        <v>120</v>
      </c>
      <c r="L93" s="25" t="s">
        <v>2060</v>
      </c>
      <c r="M93" s="29"/>
      <c r="N93" s="29"/>
      <c r="O93" s="25"/>
      <c r="P93" s="25" t="s">
        <v>1957</v>
      </c>
      <c r="Q93" s="12" t="s">
        <v>1931</v>
      </c>
    </row>
    <row r="94" customFormat="false" ht="19.5" hidden="false" customHeight="true" outlineLevel="0" collapsed="false">
      <c r="A94" s="27" t="s">
        <v>2213</v>
      </c>
      <c r="B94" s="9" t="s">
        <v>2214</v>
      </c>
      <c r="C94" s="27" t="s">
        <v>2021</v>
      </c>
      <c r="D94" s="27" t="n">
        <v>65</v>
      </c>
      <c r="E94" s="9" t="s">
        <v>2215</v>
      </c>
      <c r="F94" s="9" t="s">
        <v>1927</v>
      </c>
      <c r="G94" s="27" t="s">
        <v>2104</v>
      </c>
      <c r="H94" s="30" t="n">
        <v>1</v>
      </c>
      <c r="I94" s="27" t="s">
        <v>2202</v>
      </c>
      <c r="J94" s="11" t="n">
        <v>-1.5</v>
      </c>
      <c r="K94" s="20" t="n">
        <v>200</v>
      </c>
      <c r="L94" s="27" t="s">
        <v>1935</v>
      </c>
      <c r="M94" s="30"/>
      <c r="N94" s="30"/>
      <c r="O94" s="27"/>
      <c r="P94" s="27" t="s">
        <v>1957</v>
      </c>
      <c r="Q94" s="9" t="s">
        <v>1931</v>
      </c>
    </row>
    <row r="95" customFormat="false" ht="19.5" hidden="false" customHeight="true" outlineLevel="0" collapsed="false">
      <c r="A95" s="25" t="s">
        <v>2216</v>
      </c>
      <c r="B95" s="12" t="s">
        <v>2217</v>
      </c>
      <c r="C95" s="25" t="s">
        <v>2021</v>
      </c>
      <c r="D95" s="25" t="n">
        <v>66</v>
      </c>
      <c r="E95" s="12" t="s">
        <v>2218</v>
      </c>
      <c r="F95" s="12" t="s">
        <v>1939</v>
      </c>
      <c r="G95" s="25" t="s">
        <v>1928</v>
      </c>
      <c r="H95" s="29" t="n">
        <v>1</v>
      </c>
      <c r="I95" s="25" t="s">
        <v>2219</v>
      </c>
      <c r="J95" s="14" t="n">
        <v>-2.5</v>
      </c>
      <c r="K95" s="18" t="n">
        <v>200</v>
      </c>
      <c r="L95" s="25" t="s">
        <v>1961</v>
      </c>
      <c r="M95" s="29"/>
      <c r="N95" s="29"/>
      <c r="O95" s="25"/>
      <c r="P95" s="25" t="s">
        <v>1957</v>
      </c>
      <c r="Q95" s="12" t="s">
        <v>1931</v>
      </c>
    </row>
    <row r="96" customFormat="false" ht="19.5" hidden="false" customHeight="true" outlineLevel="0" collapsed="false">
      <c r="A96" s="27" t="s">
        <v>2220</v>
      </c>
      <c r="B96" s="9" t="s">
        <v>2221</v>
      </c>
      <c r="C96" s="27" t="s">
        <v>2021</v>
      </c>
      <c r="D96" s="27" t="n">
        <v>67</v>
      </c>
      <c r="E96" s="9" t="s">
        <v>2222</v>
      </c>
      <c r="F96" s="9" t="s">
        <v>462</v>
      </c>
      <c r="G96" s="27" t="s">
        <v>1928</v>
      </c>
      <c r="H96" s="30" t="n">
        <v>1</v>
      </c>
      <c r="I96" s="27" t="s">
        <v>1969</v>
      </c>
      <c r="J96" s="11" t="n">
        <v>-2.5</v>
      </c>
      <c r="K96" s="20" t="n">
        <v>1200</v>
      </c>
      <c r="L96" s="27" t="s">
        <v>2139</v>
      </c>
      <c r="M96" s="30"/>
      <c r="N96" s="30"/>
      <c r="O96" s="27"/>
      <c r="P96" s="27" t="s">
        <v>1957</v>
      </c>
      <c r="Q96" s="9" t="s">
        <v>1931</v>
      </c>
    </row>
    <row r="97" customFormat="false" ht="19.5" hidden="false" customHeight="true" outlineLevel="0" collapsed="false">
      <c r="A97" s="25" t="s">
        <v>2223</v>
      </c>
      <c r="B97" s="12" t="s">
        <v>1605</v>
      </c>
      <c r="C97" s="25" t="s">
        <v>2021</v>
      </c>
      <c r="D97" s="25" t="n">
        <v>68</v>
      </c>
      <c r="E97" s="12" t="s">
        <v>2224</v>
      </c>
      <c r="F97" s="12" t="s">
        <v>1927</v>
      </c>
      <c r="G97" s="25" t="s">
        <v>1928</v>
      </c>
      <c r="H97" s="29" t="n">
        <v>1</v>
      </c>
      <c r="I97" s="25" t="s">
        <v>1929</v>
      </c>
      <c r="J97" s="14" t="n">
        <v>-3.5</v>
      </c>
      <c r="K97" s="18" t="n">
        <v>6000</v>
      </c>
      <c r="L97" s="25" t="s">
        <v>1948</v>
      </c>
      <c r="M97" s="26" t="n">
        <v>10.311063</v>
      </c>
      <c r="N97" s="26" t="n">
        <v>106.710484</v>
      </c>
      <c r="O97" s="25" t="s">
        <v>396</v>
      </c>
      <c r="P97" s="25" t="s">
        <v>223</v>
      </c>
      <c r="Q97" s="12" t="s">
        <v>1931</v>
      </c>
    </row>
    <row r="98" customFormat="false" ht="19.5" hidden="false" customHeight="true" outlineLevel="0" collapsed="false">
      <c r="A98" s="27" t="s">
        <v>2225</v>
      </c>
      <c r="B98" s="9" t="s">
        <v>1619</v>
      </c>
      <c r="C98" s="27" t="s">
        <v>2021</v>
      </c>
      <c r="D98" s="27" t="n">
        <v>69</v>
      </c>
      <c r="E98" s="9" t="s">
        <v>2226</v>
      </c>
      <c r="F98" s="9" t="s">
        <v>1927</v>
      </c>
      <c r="G98" s="27" t="s">
        <v>1928</v>
      </c>
      <c r="H98" s="30" t="n">
        <v>2</v>
      </c>
      <c r="I98" s="27" t="s">
        <v>2183</v>
      </c>
      <c r="J98" s="11" t="n">
        <v>-2.7</v>
      </c>
      <c r="K98" s="20" t="n">
        <v>2000</v>
      </c>
      <c r="L98" s="27" t="s">
        <v>2227</v>
      </c>
      <c r="M98" s="28" t="n">
        <v>10.432513</v>
      </c>
      <c r="N98" s="28" t="n">
        <v>106.691891</v>
      </c>
      <c r="O98" s="27" t="s">
        <v>424</v>
      </c>
      <c r="P98" s="27" t="s">
        <v>223</v>
      </c>
      <c r="Q98" s="9" t="s">
        <v>1931</v>
      </c>
    </row>
    <row r="99" customFormat="false" ht="19.5" hidden="false" customHeight="true" outlineLevel="0" collapsed="false">
      <c r="A99" s="25" t="s">
        <v>2228</v>
      </c>
      <c r="B99" s="12" t="s">
        <v>1346</v>
      </c>
      <c r="C99" s="25" t="s">
        <v>2021</v>
      </c>
      <c r="D99" s="25" t="n">
        <v>70</v>
      </c>
      <c r="E99" s="12" t="s">
        <v>2229</v>
      </c>
      <c r="F99" s="12" t="s">
        <v>1927</v>
      </c>
      <c r="G99" s="25" t="s">
        <v>1928</v>
      </c>
      <c r="H99" s="29" t="n">
        <v>1</v>
      </c>
      <c r="I99" s="25" t="s">
        <v>1969</v>
      </c>
      <c r="J99" s="14" t="n">
        <v>-2.5</v>
      </c>
      <c r="K99" s="18" t="n">
        <v>2000</v>
      </c>
      <c r="L99" s="25" t="s">
        <v>1961</v>
      </c>
      <c r="M99" s="26" t="n">
        <v>10.275938</v>
      </c>
      <c r="N99" s="26" t="n">
        <v>106.736828</v>
      </c>
      <c r="O99" s="25" t="s">
        <v>221</v>
      </c>
      <c r="P99" s="25" t="s">
        <v>223</v>
      </c>
      <c r="Q99" s="12" t="s">
        <v>1931</v>
      </c>
    </row>
    <row r="100" customFormat="false" ht="19.5" hidden="false" customHeight="true" outlineLevel="0" collapsed="false">
      <c r="A100" s="27" t="s">
        <v>2230</v>
      </c>
      <c r="B100" s="9" t="s">
        <v>2231</v>
      </c>
      <c r="C100" s="27" t="s">
        <v>2021</v>
      </c>
      <c r="D100" s="27" t="n">
        <v>71</v>
      </c>
      <c r="E100" s="9" t="s">
        <v>2232</v>
      </c>
      <c r="F100" s="9" t="s">
        <v>1927</v>
      </c>
      <c r="G100" s="27" t="s">
        <v>1928</v>
      </c>
      <c r="H100" s="30" t="n">
        <v>1</v>
      </c>
      <c r="I100" s="27" t="s">
        <v>1969</v>
      </c>
      <c r="J100" s="11" t="n">
        <v>-2.5</v>
      </c>
      <c r="K100" s="20" t="n">
        <v>2500</v>
      </c>
      <c r="L100" s="27" t="s">
        <v>2179</v>
      </c>
      <c r="M100" s="28" t="n">
        <v>10.359437</v>
      </c>
      <c r="N100" s="28" t="n">
        <v>106.775703</v>
      </c>
      <c r="O100" s="27" t="s">
        <v>403</v>
      </c>
      <c r="P100" s="27" t="s">
        <v>223</v>
      </c>
      <c r="Q100" s="9" t="s">
        <v>1931</v>
      </c>
    </row>
    <row r="101" customFormat="false" ht="19.5" hidden="false" customHeight="true" outlineLevel="0" collapsed="false">
      <c r="A101" s="25" t="s">
        <v>2233</v>
      </c>
      <c r="B101" s="12" t="s">
        <v>2234</v>
      </c>
      <c r="C101" s="25" t="s">
        <v>2021</v>
      </c>
      <c r="D101" s="25" t="n">
        <v>72</v>
      </c>
      <c r="E101" s="12" t="s">
        <v>1954</v>
      </c>
      <c r="F101" s="12" t="s">
        <v>1927</v>
      </c>
      <c r="G101" s="25" t="s">
        <v>1928</v>
      </c>
      <c r="H101" s="29" t="n">
        <v>3</v>
      </c>
      <c r="I101" s="25" t="s">
        <v>1955</v>
      </c>
      <c r="J101" s="14" t="n">
        <v>-2</v>
      </c>
      <c r="K101" s="18" t="n">
        <v>952</v>
      </c>
      <c r="L101" s="25" t="s">
        <v>2235</v>
      </c>
      <c r="M101" s="29"/>
      <c r="N101" s="29"/>
      <c r="O101" s="25"/>
      <c r="P101" s="25" t="s">
        <v>1957</v>
      </c>
      <c r="Q101" s="12" t="s">
        <v>1931</v>
      </c>
    </row>
    <row r="102" customFormat="false" ht="19.5" hidden="false" customHeight="true" outlineLevel="0" collapsed="false">
      <c r="A102" s="27" t="s">
        <v>2236</v>
      </c>
      <c r="B102" s="9" t="s">
        <v>1601</v>
      </c>
      <c r="C102" s="27" t="s">
        <v>2021</v>
      </c>
      <c r="D102" s="27" t="n">
        <v>73</v>
      </c>
      <c r="E102" s="9" t="s">
        <v>2237</v>
      </c>
      <c r="F102" s="9" t="s">
        <v>1927</v>
      </c>
      <c r="G102" s="27" t="s">
        <v>1928</v>
      </c>
      <c r="H102" s="30" t="n">
        <v>1</v>
      </c>
      <c r="I102" s="27" t="s">
        <v>2148</v>
      </c>
      <c r="J102" s="11" t="n">
        <v>-2.6</v>
      </c>
      <c r="K102" s="20" t="n">
        <v>1200</v>
      </c>
      <c r="L102" s="27" t="s">
        <v>2238</v>
      </c>
      <c r="M102" s="28" t="n">
        <v>10.437938</v>
      </c>
      <c r="N102" s="28" t="n">
        <v>106.737688</v>
      </c>
      <c r="O102" s="27" t="s">
        <v>430</v>
      </c>
      <c r="P102" s="27" t="s">
        <v>223</v>
      </c>
      <c r="Q102" s="9" t="s">
        <v>1931</v>
      </c>
    </row>
    <row r="103" customFormat="false" ht="19.5" hidden="false" customHeight="true" outlineLevel="0" collapsed="false">
      <c r="A103" s="25" t="s">
        <v>2239</v>
      </c>
      <c r="B103" s="12" t="s">
        <v>1611</v>
      </c>
      <c r="C103" s="25" t="s">
        <v>2021</v>
      </c>
      <c r="D103" s="25" t="n">
        <v>74</v>
      </c>
      <c r="E103" s="12" t="s">
        <v>2240</v>
      </c>
      <c r="F103" s="12" t="s">
        <v>1927</v>
      </c>
      <c r="G103" s="25" t="s">
        <v>1928</v>
      </c>
      <c r="H103" s="29" t="n">
        <v>1</v>
      </c>
      <c r="I103" s="25" t="s">
        <v>2148</v>
      </c>
      <c r="J103" s="14" t="n">
        <v>-2.2</v>
      </c>
      <c r="K103" s="18" t="n">
        <v>850</v>
      </c>
      <c r="L103" s="25" t="s">
        <v>2241</v>
      </c>
      <c r="M103" s="26" t="n">
        <v>10.407787</v>
      </c>
      <c r="N103" s="26" t="n">
        <v>106.645641</v>
      </c>
      <c r="O103" s="25" t="s">
        <v>409</v>
      </c>
      <c r="P103" s="25" t="s">
        <v>223</v>
      </c>
      <c r="Q103" s="12" t="s">
        <v>1931</v>
      </c>
    </row>
    <row r="104" customFormat="false" ht="19.5" hidden="false" customHeight="true" outlineLevel="0" collapsed="false">
      <c r="A104" s="27" t="s">
        <v>2242</v>
      </c>
      <c r="B104" s="9" t="s">
        <v>1339</v>
      </c>
      <c r="C104" s="27" t="s">
        <v>2021</v>
      </c>
      <c r="D104" s="27" t="n">
        <v>75</v>
      </c>
      <c r="E104" s="9" t="s">
        <v>2243</v>
      </c>
      <c r="F104" s="9" t="s">
        <v>1927</v>
      </c>
      <c r="G104" s="27" t="s">
        <v>1928</v>
      </c>
      <c r="H104" s="30" t="n">
        <v>1</v>
      </c>
      <c r="I104" s="27" t="s">
        <v>2032</v>
      </c>
      <c r="J104" s="11" t="n">
        <v>-2.1</v>
      </c>
      <c r="K104" s="20" t="n">
        <v>820</v>
      </c>
      <c r="L104" s="27" t="s">
        <v>2244</v>
      </c>
      <c r="M104" s="28" t="n">
        <v>10.280388</v>
      </c>
      <c r="N104" s="28" t="n">
        <v>106.654422</v>
      </c>
      <c r="O104" s="27" t="s">
        <v>230</v>
      </c>
      <c r="P104" s="27" t="s">
        <v>223</v>
      </c>
      <c r="Q104" s="9" t="s">
        <v>1931</v>
      </c>
    </row>
    <row r="105" customFormat="false" ht="19.5" hidden="false" customHeight="true" outlineLevel="0" collapsed="false">
      <c r="A105" s="25" t="s">
        <v>2245</v>
      </c>
      <c r="B105" s="12" t="s">
        <v>1609</v>
      </c>
      <c r="C105" s="25" t="s">
        <v>2021</v>
      </c>
      <c r="D105" s="25" t="n">
        <v>76</v>
      </c>
      <c r="E105" s="12" t="s">
        <v>2246</v>
      </c>
      <c r="F105" s="12" t="s">
        <v>1927</v>
      </c>
      <c r="G105" s="25" t="s">
        <v>1928</v>
      </c>
      <c r="H105" s="29" t="n">
        <v>1</v>
      </c>
      <c r="I105" s="25" t="s">
        <v>2148</v>
      </c>
      <c r="J105" s="14" t="n">
        <v>-2.7</v>
      </c>
      <c r="K105" s="18" t="n">
        <v>715</v>
      </c>
      <c r="L105" s="25" t="s">
        <v>2238</v>
      </c>
      <c r="M105" s="29"/>
      <c r="N105" s="29"/>
      <c r="O105" s="25"/>
      <c r="P105" s="25" t="s">
        <v>1957</v>
      </c>
      <c r="Q105" s="12" t="s">
        <v>1931</v>
      </c>
    </row>
    <row r="106" customFormat="false" ht="19.5" hidden="false" customHeight="true" outlineLevel="0" collapsed="false">
      <c r="A106" s="27" t="s">
        <v>2247</v>
      </c>
      <c r="B106" s="9" t="s">
        <v>2248</v>
      </c>
      <c r="C106" s="27" t="s">
        <v>2021</v>
      </c>
      <c r="D106" s="27" t="n">
        <v>77</v>
      </c>
      <c r="E106" s="9" t="s">
        <v>2249</v>
      </c>
      <c r="F106" s="9" t="s">
        <v>1927</v>
      </c>
      <c r="G106" s="27" t="s">
        <v>1928</v>
      </c>
      <c r="H106" s="30" t="n">
        <v>1</v>
      </c>
      <c r="I106" s="27" t="s">
        <v>2183</v>
      </c>
      <c r="J106" s="11" t="n">
        <v>-2</v>
      </c>
      <c r="K106" s="20" t="n">
        <v>750</v>
      </c>
      <c r="L106" s="27" t="s">
        <v>2250</v>
      </c>
      <c r="M106" s="28" t="n">
        <v>10.311738</v>
      </c>
      <c r="N106" s="28" t="n">
        <v>106.661703</v>
      </c>
      <c r="O106" s="27" t="s">
        <v>437</v>
      </c>
      <c r="P106" s="27" t="s">
        <v>223</v>
      </c>
      <c r="Q106" s="9" t="s">
        <v>1931</v>
      </c>
    </row>
    <row r="107" customFormat="false" ht="19.5" hidden="false" customHeight="true" outlineLevel="0" collapsed="false">
      <c r="A107" s="25" t="s">
        <v>2251</v>
      </c>
      <c r="B107" s="12" t="s">
        <v>1443</v>
      </c>
      <c r="C107" s="25" t="s">
        <v>2021</v>
      </c>
      <c r="D107" s="25" t="n">
        <v>78</v>
      </c>
      <c r="E107" s="12" t="s">
        <v>2252</v>
      </c>
      <c r="F107" s="12" t="s">
        <v>1927</v>
      </c>
      <c r="G107" s="25" t="s">
        <v>1928</v>
      </c>
      <c r="H107" s="29" t="n">
        <v>1</v>
      </c>
      <c r="I107" s="25" t="s">
        <v>2253</v>
      </c>
      <c r="J107" s="14" t="n">
        <v>-2.6</v>
      </c>
      <c r="K107" s="18" t="n">
        <v>429</v>
      </c>
      <c r="L107" s="25" t="s">
        <v>2238</v>
      </c>
      <c r="M107" s="29"/>
      <c r="N107" s="29"/>
      <c r="O107" s="25"/>
      <c r="P107" s="25" t="s">
        <v>1957</v>
      </c>
      <c r="Q107" s="12" t="s">
        <v>1931</v>
      </c>
    </row>
    <row r="108" customFormat="false" ht="19.5" hidden="false" customHeight="true" outlineLevel="0" collapsed="false">
      <c r="A108" s="27" t="s">
        <v>2254</v>
      </c>
      <c r="B108" s="9" t="s">
        <v>2255</v>
      </c>
      <c r="C108" s="27" t="s">
        <v>2021</v>
      </c>
      <c r="D108" s="27" t="n">
        <v>79</v>
      </c>
      <c r="E108" s="9" t="s">
        <v>2240</v>
      </c>
      <c r="F108" s="9" t="s">
        <v>1927</v>
      </c>
      <c r="G108" s="27" t="s">
        <v>1928</v>
      </c>
      <c r="H108" s="30" t="n">
        <v>1</v>
      </c>
      <c r="I108" s="27" t="s">
        <v>2256</v>
      </c>
      <c r="J108" s="11" t="n">
        <v>-2.5</v>
      </c>
      <c r="K108" s="20" t="n">
        <v>750</v>
      </c>
      <c r="L108" s="27" t="s">
        <v>2244</v>
      </c>
      <c r="M108" s="30"/>
      <c r="N108" s="30"/>
      <c r="O108" s="27"/>
      <c r="P108" s="27" t="s">
        <v>1957</v>
      </c>
      <c r="Q108" s="9" t="s">
        <v>1931</v>
      </c>
    </row>
    <row r="109" customFormat="false" ht="19.5" hidden="false" customHeight="true" outlineLevel="0" collapsed="false">
      <c r="A109" s="25" t="s">
        <v>2257</v>
      </c>
      <c r="B109" s="12" t="s">
        <v>2258</v>
      </c>
      <c r="C109" s="25" t="s">
        <v>2021</v>
      </c>
      <c r="D109" s="25" t="n">
        <v>80</v>
      </c>
      <c r="E109" s="12" t="s">
        <v>2259</v>
      </c>
      <c r="F109" s="12" t="s">
        <v>1927</v>
      </c>
      <c r="G109" s="25" t="s">
        <v>1928</v>
      </c>
      <c r="H109" s="29" t="n">
        <v>1</v>
      </c>
      <c r="I109" s="25" t="s">
        <v>2097</v>
      </c>
      <c r="J109" s="14" t="n">
        <v>-1.7</v>
      </c>
      <c r="K109" s="18" t="n">
        <v>200</v>
      </c>
      <c r="L109" s="25" t="s">
        <v>2260</v>
      </c>
      <c r="M109" s="29"/>
      <c r="N109" s="29"/>
      <c r="O109" s="25"/>
      <c r="P109" s="25" t="s">
        <v>1957</v>
      </c>
      <c r="Q109" s="12" t="s">
        <v>1931</v>
      </c>
    </row>
    <row r="110" customFormat="false" ht="19.5" hidden="false" customHeight="true" outlineLevel="0" collapsed="false">
      <c r="A110" s="27" t="s">
        <v>2261</v>
      </c>
      <c r="B110" s="9" t="s">
        <v>2262</v>
      </c>
      <c r="C110" s="27" t="s">
        <v>2021</v>
      </c>
      <c r="D110" s="27" t="n">
        <v>81</v>
      </c>
      <c r="E110" s="9" t="s">
        <v>2263</v>
      </c>
      <c r="F110" s="9" t="s">
        <v>1927</v>
      </c>
      <c r="G110" s="27" t="s">
        <v>1928</v>
      </c>
      <c r="H110" s="30" t="n">
        <v>1</v>
      </c>
      <c r="I110" s="27" t="s">
        <v>2097</v>
      </c>
      <c r="J110" s="11" t="n">
        <v>-2.5</v>
      </c>
      <c r="K110" s="20" t="n">
        <v>100</v>
      </c>
      <c r="L110" s="27" t="s">
        <v>2264</v>
      </c>
      <c r="M110" s="30"/>
      <c r="N110" s="30"/>
      <c r="O110" s="27"/>
      <c r="P110" s="27" t="s">
        <v>1957</v>
      </c>
      <c r="Q110" s="9" t="s">
        <v>1931</v>
      </c>
    </row>
    <row r="111" customFormat="false" ht="19.5" hidden="false" customHeight="true" outlineLevel="0" collapsed="false">
      <c r="A111" s="25" t="s">
        <v>2265</v>
      </c>
      <c r="B111" s="12" t="s">
        <v>2266</v>
      </c>
      <c r="C111" s="25" t="s">
        <v>2021</v>
      </c>
      <c r="D111" s="25" t="n">
        <v>82</v>
      </c>
      <c r="E111" s="12" t="s">
        <v>1947</v>
      </c>
      <c r="F111" s="12" t="s">
        <v>1927</v>
      </c>
      <c r="G111" s="25" t="s">
        <v>1928</v>
      </c>
      <c r="H111" s="29" t="n">
        <v>1</v>
      </c>
      <c r="I111" s="25" t="s">
        <v>2267</v>
      </c>
      <c r="J111" s="14" t="n">
        <v>-2</v>
      </c>
      <c r="K111" s="18" t="n">
        <v>161</v>
      </c>
      <c r="L111" s="25" t="s">
        <v>2268</v>
      </c>
      <c r="M111" s="29"/>
      <c r="N111" s="29"/>
      <c r="O111" s="25"/>
      <c r="P111" s="25" t="s">
        <v>1957</v>
      </c>
      <c r="Q111" s="12" t="s">
        <v>1931</v>
      </c>
    </row>
    <row r="112" customFormat="false" ht="19.5" hidden="false" customHeight="true" outlineLevel="0" collapsed="false">
      <c r="A112" s="27" t="s">
        <v>2269</v>
      </c>
      <c r="B112" s="9" t="s">
        <v>2270</v>
      </c>
      <c r="C112" s="27" t="s">
        <v>2021</v>
      </c>
      <c r="D112" s="27" t="n">
        <v>83</v>
      </c>
      <c r="E112" s="9" t="s">
        <v>1947</v>
      </c>
      <c r="F112" s="9" t="s">
        <v>1927</v>
      </c>
      <c r="G112" s="27" t="s">
        <v>1928</v>
      </c>
      <c r="H112" s="30" t="n">
        <v>1</v>
      </c>
      <c r="I112" s="27" t="s">
        <v>1955</v>
      </c>
      <c r="J112" s="11" t="n">
        <v>-2.5</v>
      </c>
      <c r="K112" s="20" t="n">
        <v>546</v>
      </c>
      <c r="L112" s="27" t="s">
        <v>2268</v>
      </c>
      <c r="M112" s="30"/>
      <c r="N112" s="30"/>
      <c r="O112" s="27"/>
      <c r="P112" s="27" t="s">
        <v>1957</v>
      </c>
      <c r="Q112" s="9" t="s">
        <v>1931</v>
      </c>
    </row>
    <row r="113" customFormat="false" ht="19.5" hidden="false" customHeight="true" outlineLevel="0" collapsed="false">
      <c r="A113" s="25" t="s">
        <v>2271</v>
      </c>
      <c r="B113" s="12" t="s">
        <v>2272</v>
      </c>
      <c r="C113" s="25" t="s">
        <v>2021</v>
      </c>
      <c r="D113" s="25" t="n">
        <v>84</v>
      </c>
      <c r="E113" s="12" t="s">
        <v>2273</v>
      </c>
      <c r="F113" s="12" t="s">
        <v>1927</v>
      </c>
      <c r="G113" s="25" t="s">
        <v>1928</v>
      </c>
      <c r="H113" s="29" t="n">
        <v>1</v>
      </c>
      <c r="I113" s="25" t="s">
        <v>1955</v>
      </c>
      <c r="J113" s="14" t="n">
        <v>-2.5</v>
      </c>
      <c r="K113" s="18" t="n">
        <v>546</v>
      </c>
      <c r="L113" s="25" t="s">
        <v>2268</v>
      </c>
      <c r="M113" s="29"/>
      <c r="N113" s="29"/>
      <c r="O113" s="25"/>
      <c r="P113" s="25" t="s">
        <v>1957</v>
      </c>
      <c r="Q113" s="12" t="s">
        <v>1931</v>
      </c>
    </row>
    <row r="114" customFormat="false" ht="19.5" hidden="false" customHeight="true" outlineLevel="0" collapsed="false">
      <c r="A114" s="27" t="s">
        <v>2274</v>
      </c>
      <c r="B114" s="9" t="s">
        <v>2275</v>
      </c>
      <c r="C114" s="27" t="s">
        <v>2021</v>
      </c>
      <c r="D114" s="27" t="n">
        <v>85</v>
      </c>
      <c r="E114" s="9" t="s">
        <v>2276</v>
      </c>
      <c r="F114" s="9" t="s">
        <v>1927</v>
      </c>
      <c r="G114" s="27" t="s">
        <v>1928</v>
      </c>
      <c r="H114" s="30" t="n">
        <v>1</v>
      </c>
      <c r="I114" s="27" t="s">
        <v>2277</v>
      </c>
      <c r="J114" s="11" t="n">
        <v>-1.8</v>
      </c>
      <c r="K114" s="20" t="n">
        <v>120</v>
      </c>
      <c r="L114" s="27" t="s">
        <v>2278</v>
      </c>
      <c r="M114" s="30"/>
      <c r="N114" s="30"/>
      <c r="O114" s="27"/>
      <c r="P114" s="27" t="s">
        <v>1957</v>
      </c>
      <c r="Q114" s="9" t="s">
        <v>1931</v>
      </c>
    </row>
    <row r="115" customFormat="false" ht="19.5" hidden="false" customHeight="true" outlineLevel="0" collapsed="false">
      <c r="A115" s="25" t="s">
        <v>2279</v>
      </c>
      <c r="B115" s="12" t="s">
        <v>2280</v>
      </c>
      <c r="C115" s="25" t="s">
        <v>2021</v>
      </c>
      <c r="D115" s="25" t="n">
        <v>86</v>
      </c>
      <c r="E115" s="12" t="s">
        <v>2276</v>
      </c>
      <c r="F115" s="12" t="s">
        <v>1927</v>
      </c>
      <c r="G115" s="25" t="s">
        <v>1928</v>
      </c>
      <c r="H115" s="29" t="n">
        <v>1</v>
      </c>
      <c r="I115" s="25" t="s">
        <v>2281</v>
      </c>
      <c r="J115" s="14" t="n">
        <v>-1.5</v>
      </c>
      <c r="K115" s="18" t="n">
        <v>100</v>
      </c>
      <c r="L115" s="25" t="s">
        <v>2227</v>
      </c>
      <c r="M115" s="29"/>
      <c r="N115" s="29"/>
      <c r="O115" s="25"/>
      <c r="P115" s="25" t="s">
        <v>1957</v>
      </c>
      <c r="Q115" s="12" t="s">
        <v>1931</v>
      </c>
    </row>
    <row r="116" customFormat="false" ht="19.5" hidden="false" customHeight="true" outlineLevel="0" collapsed="false">
      <c r="A116" s="27" t="s">
        <v>2282</v>
      </c>
      <c r="B116" s="9" t="s">
        <v>2283</v>
      </c>
      <c r="C116" s="27" t="s">
        <v>2021</v>
      </c>
      <c r="D116" s="27" t="n">
        <v>87</v>
      </c>
      <c r="E116" s="9" t="s">
        <v>2249</v>
      </c>
      <c r="F116" s="9" t="s">
        <v>1927</v>
      </c>
      <c r="G116" s="27" t="s">
        <v>1928</v>
      </c>
      <c r="H116" s="30" t="n">
        <v>1</v>
      </c>
      <c r="I116" s="27" t="s">
        <v>2284</v>
      </c>
      <c r="J116" s="11" t="n">
        <v>-2.2</v>
      </c>
      <c r="K116" s="20" t="n">
        <v>150</v>
      </c>
      <c r="L116" s="27" t="s">
        <v>2024</v>
      </c>
      <c r="M116" s="30"/>
      <c r="N116" s="30"/>
      <c r="O116" s="27"/>
      <c r="P116" s="27" t="s">
        <v>1957</v>
      </c>
      <c r="Q116" s="9" t="s">
        <v>1931</v>
      </c>
    </row>
    <row r="117" customFormat="false" ht="19.5" hidden="false" customHeight="true" outlineLevel="0" collapsed="false">
      <c r="A117" s="25" t="s">
        <v>2285</v>
      </c>
      <c r="B117" s="12" t="s">
        <v>2286</v>
      </c>
      <c r="C117" s="25" t="s">
        <v>2021</v>
      </c>
      <c r="D117" s="25" t="n">
        <v>88</v>
      </c>
      <c r="E117" s="12" t="s">
        <v>2249</v>
      </c>
      <c r="F117" s="12" t="s">
        <v>1927</v>
      </c>
      <c r="G117" s="25" t="s">
        <v>1928</v>
      </c>
      <c r="H117" s="29" t="n">
        <v>1</v>
      </c>
      <c r="I117" s="25" t="s">
        <v>2284</v>
      </c>
      <c r="J117" s="14" t="n">
        <v>-2.43</v>
      </c>
      <c r="K117" s="18" t="n">
        <v>200</v>
      </c>
      <c r="L117" s="25" t="s">
        <v>2024</v>
      </c>
      <c r="M117" s="29"/>
      <c r="N117" s="29"/>
      <c r="O117" s="25"/>
      <c r="P117" s="25" t="s">
        <v>1957</v>
      </c>
      <c r="Q117" s="12" t="s">
        <v>1931</v>
      </c>
    </row>
    <row r="118" customFormat="false" ht="19.5" hidden="false" customHeight="true" outlineLevel="0" collapsed="false">
      <c r="A118" s="27" t="s">
        <v>2287</v>
      </c>
      <c r="B118" s="9" t="s">
        <v>2288</v>
      </c>
      <c r="C118" s="27" t="s">
        <v>2021</v>
      </c>
      <c r="D118" s="27" t="n">
        <v>89</v>
      </c>
      <c r="E118" s="9" t="s">
        <v>2249</v>
      </c>
      <c r="F118" s="9" t="s">
        <v>1927</v>
      </c>
      <c r="G118" s="27" t="s">
        <v>1928</v>
      </c>
      <c r="H118" s="30" t="n">
        <v>1</v>
      </c>
      <c r="I118" s="27" t="s">
        <v>2284</v>
      </c>
      <c r="J118" s="11" t="n">
        <v>-2.27</v>
      </c>
      <c r="K118" s="20" t="n">
        <v>350</v>
      </c>
      <c r="L118" s="27" t="s">
        <v>2289</v>
      </c>
      <c r="M118" s="30"/>
      <c r="N118" s="30"/>
      <c r="O118" s="27"/>
      <c r="P118" s="27" t="s">
        <v>1957</v>
      </c>
      <c r="Q118" s="9" t="s">
        <v>1931</v>
      </c>
    </row>
    <row r="119" customFormat="false" ht="19.5" hidden="false" customHeight="true" outlineLevel="0" collapsed="false">
      <c r="A119" s="25" t="s">
        <v>2290</v>
      </c>
      <c r="B119" s="12" t="s">
        <v>2291</v>
      </c>
      <c r="C119" s="25" t="s">
        <v>2021</v>
      </c>
      <c r="D119" s="25" t="n">
        <v>90</v>
      </c>
      <c r="E119" s="12" t="s">
        <v>2229</v>
      </c>
      <c r="F119" s="12" t="s">
        <v>1927</v>
      </c>
      <c r="G119" s="25" t="s">
        <v>1928</v>
      </c>
      <c r="H119" s="29" t="n">
        <v>1</v>
      </c>
      <c r="I119" s="25" t="s">
        <v>2097</v>
      </c>
      <c r="J119" s="14" t="n">
        <v>-1.5</v>
      </c>
      <c r="K119" s="18" t="n">
        <v>400</v>
      </c>
      <c r="L119" s="25" t="s">
        <v>2145</v>
      </c>
      <c r="M119" s="26" t="n">
        <v>10.291163</v>
      </c>
      <c r="N119" s="26" t="n">
        <v>106.779016</v>
      </c>
      <c r="O119" s="25" t="s">
        <v>444</v>
      </c>
      <c r="P119" s="25" t="s">
        <v>223</v>
      </c>
      <c r="Q119" s="12" t="s">
        <v>1931</v>
      </c>
    </row>
    <row r="120" customFormat="false" ht="19.5" hidden="false" customHeight="true" outlineLevel="0" collapsed="false">
      <c r="A120" s="27" t="s">
        <v>2292</v>
      </c>
      <c r="B120" s="9" t="s">
        <v>2293</v>
      </c>
      <c r="C120" s="27" t="s">
        <v>2021</v>
      </c>
      <c r="D120" s="27" t="n">
        <v>91</v>
      </c>
      <c r="E120" s="9" t="s">
        <v>2237</v>
      </c>
      <c r="F120" s="9" t="s">
        <v>1927</v>
      </c>
      <c r="G120" s="27" t="s">
        <v>1928</v>
      </c>
      <c r="H120" s="30" t="n">
        <v>1</v>
      </c>
      <c r="I120" s="27" t="s">
        <v>2284</v>
      </c>
      <c r="J120" s="11" t="n">
        <v>-2</v>
      </c>
      <c r="K120" s="20" t="n">
        <v>300</v>
      </c>
      <c r="L120" s="27" t="s">
        <v>2294</v>
      </c>
      <c r="M120" s="30"/>
      <c r="N120" s="30"/>
      <c r="O120" s="27"/>
      <c r="P120" s="27" t="s">
        <v>1957</v>
      </c>
      <c r="Q120" s="9" t="s">
        <v>1931</v>
      </c>
    </row>
    <row r="121" customFormat="false" ht="19.5" hidden="false" customHeight="true" outlineLevel="0" collapsed="false">
      <c r="A121" s="25" t="s">
        <v>2295</v>
      </c>
      <c r="B121" s="12" t="s">
        <v>2296</v>
      </c>
      <c r="C121" s="25" t="s">
        <v>2021</v>
      </c>
      <c r="D121" s="25" t="n">
        <v>92</v>
      </c>
      <c r="E121" s="12" t="s">
        <v>2226</v>
      </c>
      <c r="F121" s="12" t="s">
        <v>1927</v>
      </c>
      <c r="G121" s="25" t="s">
        <v>1928</v>
      </c>
      <c r="H121" s="29" t="n">
        <v>1</v>
      </c>
      <c r="I121" s="25" t="s">
        <v>2284</v>
      </c>
      <c r="J121" s="14" t="n">
        <v>-2</v>
      </c>
      <c r="K121" s="18" t="n">
        <v>300</v>
      </c>
      <c r="L121" s="25" t="s">
        <v>2294</v>
      </c>
      <c r="M121" s="29"/>
      <c r="N121" s="29"/>
      <c r="O121" s="25"/>
      <c r="P121" s="25" t="s">
        <v>1957</v>
      </c>
      <c r="Q121" s="12" t="s">
        <v>1931</v>
      </c>
    </row>
    <row r="122" customFormat="false" ht="19.5" hidden="false" customHeight="true" outlineLevel="0" collapsed="false">
      <c r="A122" s="27" t="s">
        <v>2297</v>
      </c>
      <c r="B122" s="9" t="s">
        <v>2298</v>
      </c>
      <c r="C122" s="27" t="s">
        <v>2021</v>
      </c>
      <c r="D122" s="27" t="n">
        <v>93</v>
      </c>
      <c r="E122" s="9" t="s">
        <v>2299</v>
      </c>
      <c r="F122" s="9" t="s">
        <v>1927</v>
      </c>
      <c r="G122" s="27" t="s">
        <v>1928</v>
      </c>
      <c r="H122" s="30" t="n">
        <v>1</v>
      </c>
      <c r="I122" s="27" t="s">
        <v>2281</v>
      </c>
      <c r="J122" s="11" t="n">
        <v>-2.2</v>
      </c>
      <c r="K122" s="20" t="n">
        <v>400</v>
      </c>
      <c r="L122" s="27" t="s">
        <v>2227</v>
      </c>
      <c r="M122" s="30"/>
      <c r="N122" s="30"/>
      <c r="O122" s="27"/>
      <c r="P122" s="27" t="s">
        <v>1957</v>
      </c>
      <c r="Q122" s="9" t="s">
        <v>1931</v>
      </c>
    </row>
    <row r="123" customFormat="false" ht="19.5" hidden="false" customHeight="true" outlineLevel="0" collapsed="false">
      <c r="A123" s="25" t="s">
        <v>2300</v>
      </c>
      <c r="B123" s="12" t="s">
        <v>2301</v>
      </c>
      <c r="C123" s="25" t="s">
        <v>2021</v>
      </c>
      <c r="D123" s="25" t="n">
        <v>94</v>
      </c>
      <c r="E123" s="12" t="s">
        <v>2226</v>
      </c>
      <c r="F123" s="12" t="s">
        <v>1927</v>
      </c>
      <c r="G123" s="25" t="s">
        <v>1928</v>
      </c>
      <c r="H123" s="29" t="n">
        <v>1</v>
      </c>
      <c r="I123" s="25" t="s">
        <v>2281</v>
      </c>
      <c r="J123" s="14" t="n">
        <v>-2.2</v>
      </c>
      <c r="K123" s="18" t="n">
        <v>400</v>
      </c>
      <c r="L123" s="25" t="s">
        <v>2238</v>
      </c>
      <c r="M123" s="29"/>
      <c r="N123" s="29"/>
      <c r="O123" s="25"/>
      <c r="P123" s="25" t="s">
        <v>1957</v>
      </c>
      <c r="Q123" s="12" t="s">
        <v>1931</v>
      </c>
    </row>
    <row r="124" customFormat="false" ht="19.5" hidden="false" customHeight="true" outlineLevel="0" collapsed="false">
      <c r="A124" s="27" t="s">
        <v>2302</v>
      </c>
      <c r="B124" s="9" t="s">
        <v>2303</v>
      </c>
      <c r="C124" s="27" t="s">
        <v>2021</v>
      </c>
      <c r="D124" s="27" t="n">
        <v>95</v>
      </c>
      <c r="E124" s="9" t="s">
        <v>2252</v>
      </c>
      <c r="F124" s="9" t="s">
        <v>1927</v>
      </c>
      <c r="G124" s="27" t="s">
        <v>1928</v>
      </c>
      <c r="H124" s="30" t="n">
        <v>1</v>
      </c>
      <c r="I124" s="27" t="s">
        <v>2277</v>
      </c>
      <c r="J124" s="11" t="n">
        <v>-2.2</v>
      </c>
      <c r="K124" s="20" t="n">
        <v>150</v>
      </c>
      <c r="L124" s="27" t="s">
        <v>2268</v>
      </c>
      <c r="M124" s="30"/>
      <c r="N124" s="30"/>
      <c r="O124" s="27"/>
      <c r="P124" s="27" t="s">
        <v>1957</v>
      </c>
      <c r="Q124" s="9" t="s">
        <v>1931</v>
      </c>
    </row>
    <row r="125" customFormat="false" ht="19.5" hidden="false" customHeight="true" outlineLevel="0" collapsed="false">
      <c r="A125" s="25" t="s">
        <v>2304</v>
      </c>
      <c r="B125" s="12" t="s">
        <v>2305</v>
      </c>
      <c r="C125" s="25" t="s">
        <v>2021</v>
      </c>
      <c r="D125" s="25" t="n">
        <v>96</v>
      </c>
      <c r="E125" s="12" t="s">
        <v>1950</v>
      </c>
      <c r="F125" s="12" t="s">
        <v>1927</v>
      </c>
      <c r="G125" s="25" t="s">
        <v>1928</v>
      </c>
      <c r="H125" s="29" t="n">
        <v>1</v>
      </c>
      <c r="I125" s="25" t="s">
        <v>1955</v>
      </c>
      <c r="J125" s="14" t="n">
        <v>-2.2</v>
      </c>
      <c r="K125" s="18" t="n">
        <v>95</v>
      </c>
      <c r="L125" s="25" t="s">
        <v>2238</v>
      </c>
      <c r="M125" s="29"/>
      <c r="N125" s="29"/>
      <c r="O125" s="25"/>
      <c r="P125" s="25" t="s">
        <v>1957</v>
      </c>
      <c r="Q125" s="12" t="s">
        <v>1931</v>
      </c>
    </row>
    <row r="126" customFormat="false" ht="19.5" hidden="false" customHeight="true" outlineLevel="0" collapsed="false">
      <c r="A126" s="27" t="s">
        <v>2306</v>
      </c>
      <c r="B126" s="9" t="s">
        <v>2307</v>
      </c>
      <c r="C126" s="27" t="s">
        <v>2021</v>
      </c>
      <c r="D126" s="27" t="n">
        <v>97</v>
      </c>
      <c r="E126" s="9" t="s">
        <v>2240</v>
      </c>
      <c r="F126" s="9" t="s">
        <v>1927</v>
      </c>
      <c r="G126" s="27" t="s">
        <v>1928</v>
      </c>
      <c r="H126" s="30" t="n">
        <v>1</v>
      </c>
      <c r="I126" s="27" t="s">
        <v>2281</v>
      </c>
      <c r="J126" s="11" t="n">
        <v>-2.2</v>
      </c>
      <c r="K126" s="20" t="n">
        <v>80</v>
      </c>
      <c r="L126" s="27" t="s">
        <v>2241</v>
      </c>
      <c r="M126" s="30"/>
      <c r="N126" s="30"/>
      <c r="O126" s="27"/>
      <c r="P126" s="27" t="s">
        <v>1957</v>
      </c>
      <c r="Q126" s="9" t="s">
        <v>1931</v>
      </c>
    </row>
    <row r="127" customFormat="false" ht="19.5" hidden="false" customHeight="true" outlineLevel="0" collapsed="false">
      <c r="A127" s="25" t="s">
        <v>2308</v>
      </c>
      <c r="B127" s="12" t="s">
        <v>2309</v>
      </c>
      <c r="C127" s="25" t="s">
        <v>2021</v>
      </c>
      <c r="D127" s="25" t="n">
        <v>98</v>
      </c>
      <c r="E127" s="12" t="s">
        <v>2240</v>
      </c>
      <c r="F127" s="12" t="s">
        <v>1927</v>
      </c>
      <c r="G127" s="25" t="s">
        <v>1928</v>
      </c>
      <c r="H127" s="29" t="n">
        <v>1</v>
      </c>
      <c r="I127" s="25" t="s">
        <v>2281</v>
      </c>
      <c r="J127" s="14" t="n">
        <v>-2.2</v>
      </c>
      <c r="K127" s="18" t="n">
        <v>105</v>
      </c>
      <c r="L127" s="25" t="s">
        <v>2241</v>
      </c>
      <c r="M127" s="29"/>
      <c r="N127" s="29"/>
      <c r="O127" s="25"/>
      <c r="P127" s="25" t="s">
        <v>1957</v>
      </c>
      <c r="Q127" s="12" t="s">
        <v>1931</v>
      </c>
    </row>
    <row r="128" customFormat="false" ht="19.5" hidden="false" customHeight="true" outlineLevel="0" collapsed="false">
      <c r="A128" s="27" t="s">
        <v>2310</v>
      </c>
      <c r="B128" s="9" t="s">
        <v>2311</v>
      </c>
      <c r="C128" s="27" t="s">
        <v>2021</v>
      </c>
      <c r="D128" s="27" t="n">
        <v>99</v>
      </c>
      <c r="E128" s="9" t="s">
        <v>2240</v>
      </c>
      <c r="F128" s="9" t="s">
        <v>1927</v>
      </c>
      <c r="G128" s="27" t="s">
        <v>1928</v>
      </c>
      <c r="H128" s="30" t="n">
        <v>1</v>
      </c>
      <c r="I128" s="27" t="s">
        <v>2281</v>
      </c>
      <c r="J128" s="11" t="n">
        <v>-2.2</v>
      </c>
      <c r="K128" s="20" t="n">
        <v>60</v>
      </c>
      <c r="L128" s="27" t="s">
        <v>2241</v>
      </c>
      <c r="M128" s="30"/>
      <c r="N128" s="30"/>
      <c r="O128" s="27"/>
      <c r="P128" s="27" t="s">
        <v>1957</v>
      </c>
      <c r="Q128" s="9" t="s">
        <v>1931</v>
      </c>
    </row>
    <row r="129" customFormat="false" ht="19.5" hidden="false" customHeight="true" outlineLevel="0" collapsed="false">
      <c r="A129" s="25" t="s">
        <v>2312</v>
      </c>
      <c r="B129" s="12" t="s">
        <v>2026</v>
      </c>
      <c r="C129" s="25" t="s">
        <v>2021</v>
      </c>
      <c r="D129" s="25" t="n">
        <v>100</v>
      </c>
      <c r="E129" s="12" t="s">
        <v>2313</v>
      </c>
      <c r="F129" s="12" t="s">
        <v>1927</v>
      </c>
      <c r="G129" s="25" t="s">
        <v>1928</v>
      </c>
      <c r="H129" s="29" t="n">
        <v>1</v>
      </c>
      <c r="I129" s="25" t="s">
        <v>2281</v>
      </c>
      <c r="J129" s="14" t="n">
        <v>-2</v>
      </c>
      <c r="K129" s="18" t="n">
        <v>104</v>
      </c>
      <c r="L129" s="25" t="s">
        <v>2241</v>
      </c>
      <c r="M129" s="29"/>
      <c r="N129" s="29"/>
      <c r="O129" s="25"/>
      <c r="P129" s="25" t="s">
        <v>1957</v>
      </c>
      <c r="Q129" s="12" t="s">
        <v>1931</v>
      </c>
    </row>
    <row r="130" customFormat="false" ht="19.5" hidden="false" customHeight="true" outlineLevel="0" collapsed="false">
      <c r="A130" s="27" t="s">
        <v>2314</v>
      </c>
      <c r="B130" s="9" t="s">
        <v>2315</v>
      </c>
      <c r="C130" s="27" t="s">
        <v>2021</v>
      </c>
      <c r="D130" s="27" t="n">
        <v>101</v>
      </c>
      <c r="E130" s="9" t="s">
        <v>2316</v>
      </c>
      <c r="F130" s="9" t="s">
        <v>1927</v>
      </c>
      <c r="G130" s="27" t="s">
        <v>1928</v>
      </c>
      <c r="H130" s="30" t="n">
        <v>1</v>
      </c>
      <c r="I130" s="27" t="s">
        <v>2317</v>
      </c>
      <c r="J130" s="11" t="n">
        <v>-2</v>
      </c>
      <c r="K130" s="20" t="n">
        <v>60</v>
      </c>
      <c r="L130" s="27" t="s">
        <v>1988</v>
      </c>
      <c r="M130" s="30"/>
      <c r="N130" s="30"/>
      <c r="O130" s="27"/>
      <c r="P130" s="27" t="s">
        <v>1957</v>
      </c>
      <c r="Q130" s="9" t="s">
        <v>1931</v>
      </c>
    </row>
    <row r="131" customFormat="false" ht="19.5" hidden="false" customHeight="true" outlineLevel="0" collapsed="false">
      <c r="A131" s="25" t="s">
        <v>2318</v>
      </c>
      <c r="B131" s="12" t="s">
        <v>2319</v>
      </c>
      <c r="C131" s="25" t="s">
        <v>2021</v>
      </c>
      <c r="D131" s="25" t="n">
        <v>102</v>
      </c>
      <c r="E131" s="12" t="s">
        <v>2240</v>
      </c>
      <c r="F131" s="12" t="s">
        <v>1927</v>
      </c>
      <c r="G131" s="25" t="s">
        <v>1928</v>
      </c>
      <c r="H131" s="29" t="n">
        <v>1</v>
      </c>
      <c r="I131" s="25" t="s">
        <v>2317</v>
      </c>
      <c r="J131" s="14" t="n">
        <v>-2</v>
      </c>
      <c r="K131" s="18" t="n">
        <v>120</v>
      </c>
      <c r="L131" s="25" t="s">
        <v>2028</v>
      </c>
      <c r="M131" s="29"/>
      <c r="N131" s="29"/>
      <c r="O131" s="25"/>
      <c r="P131" s="25" t="s">
        <v>1957</v>
      </c>
      <c r="Q131" s="12" t="s">
        <v>1931</v>
      </c>
    </row>
    <row r="132" customFormat="false" ht="19.5" hidden="false" customHeight="true" outlineLevel="0" collapsed="false">
      <c r="A132" s="27" t="s">
        <v>2320</v>
      </c>
      <c r="B132" s="9" t="s">
        <v>2321</v>
      </c>
      <c r="C132" s="27" t="s">
        <v>2021</v>
      </c>
      <c r="D132" s="27" t="n">
        <v>103</v>
      </c>
      <c r="E132" s="9" t="s">
        <v>1926</v>
      </c>
      <c r="F132" s="9" t="s">
        <v>1927</v>
      </c>
      <c r="G132" s="27" t="s">
        <v>1928</v>
      </c>
      <c r="H132" s="30" t="n">
        <v>1</v>
      </c>
      <c r="I132" s="27" t="s">
        <v>2097</v>
      </c>
      <c r="J132" s="11" t="n">
        <v>-2.5</v>
      </c>
      <c r="K132" s="20" t="n">
        <v>200</v>
      </c>
      <c r="L132" s="27" t="s">
        <v>2149</v>
      </c>
      <c r="M132" s="30"/>
      <c r="N132" s="30"/>
      <c r="O132" s="27"/>
      <c r="P132" s="27" t="s">
        <v>1957</v>
      </c>
      <c r="Q132" s="9" t="s">
        <v>1931</v>
      </c>
    </row>
    <row r="133" customFormat="false" ht="19.5" hidden="false" customHeight="true" outlineLevel="0" collapsed="false">
      <c r="A133" s="25" t="s">
        <v>2322</v>
      </c>
      <c r="B133" s="12" t="s">
        <v>2323</v>
      </c>
      <c r="C133" s="25" t="s">
        <v>2021</v>
      </c>
      <c r="D133" s="25" t="n">
        <v>104</v>
      </c>
      <c r="E133" s="12" t="s">
        <v>1926</v>
      </c>
      <c r="F133" s="12" t="s">
        <v>1927</v>
      </c>
      <c r="G133" s="25" t="s">
        <v>1928</v>
      </c>
      <c r="H133" s="29" t="n">
        <v>1</v>
      </c>
      <c r="I133" s="25" t="s">
        <v>2097</v>
      </c>
      <c r="J133" s="14" t="n">
        <v>-2.5</v>
      </c>
      <c r="K133" s="18" t="n">
        <v>120</v>
      </c>
      <c r="L133" s="25" t="s">
        <v>2149</v>
      </c>
      <c r="M133" s="29"/>
      <c r="N133" s="29"/>
      <c r="O133" s="25"/>
      <c r="P133" s="25" t="s">
        <v>1957</v>
      </c>
      <c r="Q133" s="12" t="s">
        <v>1931</v>
      </c>
    </row>
    <row r="134" customFormat="false" ht="19.5" hidden="false" customHeight="true" outlineLevel="0" collapsed="false">
      <c r="A134" s="27" t="s">
        <v>2324</v>
      </c>
      <c r="B134" s="9" t="s">
        <v>2325</v>
      </c>
      <c r="C134" s="27" t="s">
        <v>2021</v>
      </c>
      <c r="D134" s="27" t="n">
        <v>105</v>
      </c>
      <c r="E134" s="9" t="s">
        <v>2252</v>
      </c>
      <c r="F134" s="9" t="s">
        <v>1927</v>
      </c>
      <c r="G134" s="27" t="s">
        <v>1928</v>
      </c>
      <c r="H134" s="30" t="n">
        <v>1</v>
      </c>
      <c r="I134" s="27" t="s">
        <v>2281</v>
      </c>
      <c r="J134" s="11" t="n">
        <v>-2.2</v>
      </c>
      <c r="K134" s="20" t="n">
        <v>150</v>
      </c>
      <c r="L134" s="27" t="s">
        <v>2227</v>
      </c>
      <c r="M134" s="30"/>
      <c r="N134" s="30"/>
      <c r="O134" s="27"/>
      <c r="P134" s="27" t="s">
        <v>1957</v>
      </c>
      <c r="Q134" s="9" t="s">
        <v>1931</v>
      </c>
    </row>
    <row r="135" customFormat="false" ht="19.5" hidden="false" customHeight="true" outlineLevel="0" collapsed="false">
      <c r="A135" s="25" t="s">
        <v>2326</v>
      </c>
      <c r="B135" s="12" t="s">
        <v>2327</v>
      </c>
      <c r="C135" s="25" t="s">
        <v>2021</v>
      </c>
      <c r="D135" s="25" t="n">
        <v>106</v>
      </c>
      <c r="E135" s="12" t="s">
        <v>2252</v>
      </c>
      <c r="F135" s="12" t="s">
        <v>1927</v>
      </c>
      <c r="G135" s="25" t="s">
        <v>1928</v>
      </c>
      <c r="H135" s="29" t="n">
        <v>1</v>
      </c>
      <c r="I135" s="25" t="s">
        <v>2281</v>
      </c>
      <c r="J135" s="14" t="n">
        <v>-2.2</v>
      </c>
      <c r="K135" s="18" t="n">
        <v>145</v>
      </c>
      <c r="L135" s="25" t="s">
        <v>2238</v>
      </c>
      <c r="M135" s="29"/>
      <c r="N135" s="29"/>
      <c r="O135" s="25"/>
      <c r="P135" s="25" t="s">
        <v>1957</v>
      </c>
      <c r="Q135" s="12" t="s">
        <v>1931</v>
      </c>
    </row>
    <row r="136" customFormat="false" ht="19.5" hidden="false" customHeight="true" outlineLevel="0" collapsed="false">
      <c r="A136" s="27" t="s">
        <v>2328</v>
      </c>
      <c r="B136" s="9" t="s">
        <v>2329</v>
      </c>
      <c r="C136" s="27" t="s">
        <v>2021</v>
      </c>
      <c r="D136" s="27" t="n">
        <v>107</v>
      </c>
      <c r="E136" s="9" t="s">
        <v>2246</v>
      </c>
      <c r="F136" s="9" t="s">
        <v>1927</v>
      </c>
      <c r="G136" s="27" t="s">
        <v>1928</v>
      </c>
      <c r="H136" s="30" t="n">
        <v>1</v>
      </c>
      <c r="I136" s="27" t="s">
        <v>2281</v>
      </c>
      <c r="J136" s="11" t="n">
        <v>-2.2</v>
      </c>
      <c r="K136" s="20" t="n">
        <v>145</v>
      </c>
      <c r="L136" s="27" t="s">
        <v>2238</v>
      </c>
      <c r="M136" s="30"/>
      <c r="N136" s="30"/>
      <c r="O136" s="27"/>
      <c r="P136" s="27" t="s">
        <v>1957</v>
      </c>
      <c r="Q136" s="9" t="s">
        <v>1931</v>
      </c>
    </row>
    <row r="137" customFormat="false" ht="19.5" hidden="false" customHeight="true" outlineLevel="0" collapsed="false">
      <c r="A137" s="25" t="s">
        <v>2330</v>
      </c>
      <c r="B137" s="12" t="s">
        <v>2331</v>
      </c>
      <c r="C137" s="25" t="s">
        <v>2021</v>
      </c>
      <c r="D137" s="25" t="n">
        <v>108</v>
      </c>
      <c r="E137" s="12" t="s">
        <v>2259</v>
      </c>
      <c r="F137" s="12" t="s">
        <v>1927</v>
      </c>
      <c r="G137" s="25" t="s">
        <v>1928</v>
      </c>
      <c r="H137" s="29" t="n">
        <v>1</v>
      </c>
      <c r="I137" s="25" t="s">
        <v>2097</v>
      </c>
      <c r="J137" s="14" t="n">
        <v>-1.8</v>
      </c>
      <c r="K137" s="18" t="n">
        <v>302</v>
      </c>
      <c r="L137" s="25" t="s">
        <v>2078</v>
      </c>
      <c r="M137" s="29"/>
      <c r="N137" s="29"/>
      <c r="O137" s="25"/>
      <c r="P137" s="25" t="s">
        <v>1957</v>
      </c>
      <c r="Q137" s="12" t="s">
        <v>1931</v>
      </c>
    </row>
    <row r="138" customFormat="false" ht="19.5" hidden="false" customHeight="true" outlineLevel="0" collapsed="false">
      <c r="A138" s="27" t="s">
        <v>2332</v>
      </c>
      <c r="B138" s="9" t="s">
        <v>2333</v>
      </c>
      <c r="C138" s="27" t="s">
        <v>2021</v>
      </c>
      <c r="D138" s="27" t="n">
        <v>109</v>
      </c>
      <c r="E138" s="9" t="s">
        <v>2259</v>
      </c>
      <c r="F138" s="9" t="s">
        <v>1927</v>
      </c>
      <c r="G138" s="27" t="s">
        <v>1928</v>
      </c>
      <c r="H138" s="30" t="n">
        <v>1</v>
      </c>
      <c r="I138" s="27" t="s">
        <v>2097</v>
      </c>
      <c r="J138" s="11" t="n">
        <v>-2</v>
      </c>
      <c r="K138" s="20" t="n">
        <v>160</v>
      </c>
      <c r="L138" s="27" t="s">
        <v>2078</v>
      </c>
      <c r="M138" s="30"/>
      <c r="N138" s="30"/>
      <c r="O138" s="27"/>
      <c r="P138" s="27" t="s">
        <v>1957</v>
      </c>
      <c r="Q138" s="9" t="s">
        <v>1931</v>
      </c>
    </row>
    <row r="139" customFormat="false" ht="19.5" hidden="false" customHeight="true" outlineLevel="0" collapsed="false">
      <c r="A139" s="25" t="s">
        <v>2334</v>
      </c>
      <c r="B139" s="12" t="s">
        <v>2335</v>
      </c>
      <c r="C139" s="25" t="s">
        <v>2021</v>
      </c>
      <c r="D139" s="25" t="n">
        <v>110</v>
      </c>
      <c r="E139" s="12" t="s">
        <v>2263</v>
      </c>
      <c r="F139" s="12" t="s">
        <v>1927</v>
      </c>
      <c r="G139" s="25" t="s">
        <v>2165</v>
      </c>
      <c r="H139" s="29" t="n">
        <v>3</v>
      </c>
      <c r="I139" s="25" t="s">
        <v>2336</v>
      </c>
      <c r="J139" s="14" t="n">
        <v>-2.2</v>
      </c>
      <c r="K139" s="18" t="n">
        <v>850</v>
      </c>
      <c r="L139" s="25" t="s">
        <v>2337</v>
      </c>
      <c r="M139" s="29"/>
      <c r="N139" s="29"/>
      <c r="O139" s="25"/>
      <c r="P139" s="25" t="s">
        <v>1957</v>
      </c>
      <c r="Q139" s="12" t="s">
        <v>1931</v>
      </c>
    </row>
    <row r="140" customFormat="false" ht="19.5" hidden="false" customHeight="true" outlineLevel="0" collapsed="false">
      <c r="A140" s="27" t="s">
        <v>2338</v>
      </c>
      <c r="B140" s="9" t="s">
        <v>2339</v>
      </c>
      <c r="C140" s="27" t="s">
        <v>2021</v>
      </c>
      <c r="D140" s="27" t="n">
        <v>111</v>
      </c>
      <c r="E140" s="9" t="s">
        <v>2276</v>
      </c>
      <c r="F140" s="9" t="s">
        <v>1927</v>
      </c>
      <c r="G140" s="27" t="s">
        <v>2165</v>
      </c>
      <c r="H140" s="30" t="n">
        <v>4</v>
      </c>
      <c r="I140" s="27" t="s">
        <v>2340</v>
      </c>
      <c r="J140" s="11" t="n">
        <v>-1.9</v>
      </c>
      <c r="K140" s="20" t="n">
        <v>120</v>
      </c>
      <c r="L140" s="27" t="s">
        <v>2341</v>
      </c>
      <c r="M140" s="30"/>
      <c r="N140" s="30"/>
      <c r="O140" s="27"/>
      <c r="P140" s="27" t="s">
        <v>1957</v>
      </c>
      <c r="Q140" s="9" t="s">
        <v>1931</v>
      </c>
    </row>
    <row r="141" customFormat="false" ht="19.5" hidden="false" customHeight="true" outlineLevel="0" collapsed="false">
      <c r="A141" s="25" t="s">
        <v>2342</v>
      </c>
      <c r="B141" s="12" t="s">
        <v>2343</v>
      </c>
      <c r="C141" s="25" t="s">
        <v>2021</v>
      </c>
      <c r="D141" s="25" t="n">
        <v>112</v>
      </c>
      <c r="E141" s="12" t="s">
        <v>2344</v>
      </c>
      <c r="F141" s="12" t="s">
        <v>1927</v>
      </c>
      <c r="G141" s="25" t="s">
        <v>2165</v>
      </c>
      <c r="H141" s="29" t="n">
        <v>3</v>
      </c>
      <c r="I141" s="25" t="s">
        <v>2175</v>
      </c>
      <c r="J141" s="14" t="n">
        <v>-1.45</v>
      </c>
      <c r="K141" s="18" t="n">
        <v>450</v>
      </c>
      <c r="L141" s="25" t="s">
        <v>2345</v>
      </c>
      <c r="M141" s="29"/>
      <c r="N141" s="29"/>
      <c r="O141" s="25"/>
      <c r="P141" s="25" t="s">
        <v>1957</v>
      </c>
      <c r="Q141" s="12" t="s">
        <v>1931</v>
      </c>
    </row>
    <row r="142" customFormat="false" ht="19.5" hidden="false" customHeight="true" outlineLevel="0" collapsed="false">
      <c r="A142" s="27" t="s">
        <v>2346</v>
      </c>
      <c r="B142" s="9" t="s">
        <v>2347</v>
      </c>
      <c r="C142" s="27" t="s">
        <v>2021</v>
      </c>
      <c r="D142" s="27" t="n">
        <v>113</v>
      </c>
      <c r="E142" s="9" t="s">
        <v>2243</v>
      </c>
      <c r="F142" s="9" t="s">
        <v>1927</v>
      </c>
      <c r="G142" s="27" t="s">
        <v>2165</v>
      </c>
      <c r="H142" s="30" t="n">
        <v>2</v>
      </c>
      <c r="I142" s="27" t="s">
        <v>2175</v>
      </c>
      <c r="J142" s="11" t="n">
        <v>-2.2</v>
      </c>
      <c r="K142" s="20" t="n">
        <v>200</v>
      </c>
      <c r="L142" s="27" t="s">
        <v>1948</v>
      </c>
      <c r="M142" s="30"/>
      <c r="N142" s="30"/>
      <c r="O142" s="27"/>
      <c r="P142" s="27" t="s">
        <v>1957</v>
      </c>
      <c r="Q142" s="9" t="s">
        <v>1931</v>
      </c>
    </row>
    <row r="143" customFormat="false" ht="19.5" hidden="false" customHeight="true" outlineLevel="0" collapsed="false">
      <c r="A143" s="25" t="s">
        <v>2348</v>
      </c>
      <c r="B143" s="12" t="s">
        <v>2349</v>
      </c>
      <c r="C143" s="25" t="s">
        <v>2021</v>
      </c>
      <c r="D143" s="25" t="n">
        <v>114</v>
      </c>
      <c r="E143" s="12" t="s">
        <v>2350</v>
      </c>
      <c r="F143" s="12" t="s">
        <v>1927</v>
      </c>
      <c r="G143" s="25" t="s">
        <v>2165</v>
      </c>
      <c r="H143" s="29" t="n">
        <v>2</v>
      </c>
      <c r="I143" s="25" t="s">
        <v>2175</v>
      </c>
      <c r="J143" s="14" t="n">
        <v>-2</v>
      </c>
      <c r="K143" s="18" t="n">
        <v>1310</v>
      </c>
      <c r="L143" s="25" t="s">
        <v>1930</v>
      </c>
      <c r="M143" s="29"/>
      <c r="N143" s="29"/>
      <c r="O143" s="25"/>
      <c r="P143" s="25" t="s">
        <v>1957</v>
      </c>
      <c r="Q143" s="12" t="s">
        <v>1931</v>
      </c>
    </row>
    <row r="144" customFormat="false" ht="19.5" hidden="false" customHeight="true" outlineLevel="0" collapsed="false">
      <c r="A144" s="27" t="s">
        <v>2351</v>
      </c>
      <c r="B144" s="9" t="s">
        <v>2352</v>
      </c>
      <c r="C144" s="27" t="s">
        <v>2021</v>
      </c>
      <c r="D144" s="27" t="n">
        <v>115</v>
      </c>
      <c r="E144" s="9" t="s">
        <v>1954</v>
      </c>
      <c r="F144" s="9" t="s">
        <v>1927</v>
      </c>
      <c r="G144" s="27" t="s">
        <v>2165</v>
      </c>
      <c r="H144" s="30" t="n">
        <v>2</v>
      </c>
      <c r="I144" s="27" t="s">
        <v>2175</v>
      </c>
      <c r="J144" s="11" t="n">
        <v>-2</v>
      </c>
      <c r="K144" s="20" t="n">
        <v>1400</v>
      </c>
      <c r="L144" s="27" t="s">
        <v>2198</v>
      </c>
      <c r="M144" s="30"/>
      <c r="N144" s="30"/>
      <c r="O144" s="27"/>
      <c r="P144" s="27" t="s">
        <v>1957</v>
      </c>
      <c r="Q144" s="9" t="s">
        <v>1931</v>
      </c>
    </row>
    <row r="145" customFormat="false" ht="19.5" hidden="false" customHeight="true" outlineLevel="0" collapsed="false">
      <c r="A145" s="25" t="s">
        <v>2353</v>
      </c>
      <c r="B145" s="12" t="s">
        <v>2196</v>
      </c>
      <c r="C145" s="25" t="s">
        <v>2021</v>
      </c>
      <c r="D145" s="25" t="n">
        <v>116</v>
      </c>
      <c r="E145" s="12" t="s">
        <v>2229</v>
      </c>
      <c r="F145" s="12" t="s">
        <v>1927</v>
      </c>
      <c r="G145" s="25" t="s">
        <v>2165</v>
      </c>
      <c r="H145" s="29" t="n">
        <v>1</v>
      </c>
      <c r="I145" s="25" t="s">
        <v>2052</v>
      </c>
      <c r="J145" s="14" t="n">
        <v>-2.5</v>
      </c>
      <c r="K145" s="18" t="n">
        <v>1000</v>
      </c>
      <c r="L145" s="25" t="s">
        <v>1961</v>
      </c>
      <c r="M145" s="26" t="n">
        <v>10.272612</v>
      </c>
      <c r="N145" s="26" t="n">
        <v>106.746266</v>
      </c>
      <c r="O145" s="25" t="s">
        <v>2354</v>
      </c>
      <c r="P145" s="25" t="s">
        <v>223</v>
      </c>
      <c r="Q145" s="12" t="s">
        <v>1931</v>
      </c>
    </row>
    <row r="146" customFormat="false" ht="19.5" hidden="false" customHeight="true" outlineLevel="0" collapsed="false">
      <c r="A146" s="27" t="s">
        <v>2355</v>
      </c>
      <c r="B146" s="9" t="s">
        <v>2356</v>
      </c>
      <c r="C146" s="27" t="s">
        <v>2021</v>
      </c>
      <c r="D146" s="27" t="n">
        <v>117</v>
      </c>
      <c r="E146" s="9" t="s">
        <v>2299</v>
      </c>
      <c r="F146" s="9" t="s">
        <v>1927</v>
      </c>
      <c r="G146" s="27" t="s">
        <v>2165</v>
      </c>
      <c r="H146" s="30" t="n">
        <v>2</v>
      </c>
      <c r="I146" s="27" t="s">
        <v>2340</v>
      </c>
      <c r="J146" s="11" t="n">
        <v>-2</v>
      </c>
      <c r="K146" s="20" t="n">
        <v>1000</v>
      </c>
      <c r="L146" s="27" t="s">
        <v>2260</v>
      </c>
      <c r="M146" s="30"/>
      <c r="N146" s="30"/>
      <c r="O146" s="27"/>
      <c r="P146" s="27" t="s">
        <v>1957</v>
      </c>
      <c r="Q146" s="9" t="s">
        <v>1931</v>
      </c>
    </row>
    <row r="147" customFormat="false" ht="19.5" hidden="false" customHeight="true" outlineLevel="0" collapsed="false">
      <c r="A147" s="25" t="s">
        <v>2357</v>
      </c>
      <c r="B147" s="12" t="s">
        <v>2358</v>
      </c>
      <c r="C147" s="25" t="s">
        <v>2021</v>
      </c>
      <c r="D147" s="25" t="n">
        <v>118</v>
      </c>
      <c r="E147" s="12" t="s">
        <v>2263</v>
      </c>
      <c r="F147" s="12" t="s">
        <v>1927</v>
      </c>
      <c r="G147" s="25" t="s">
        <v>2165</v>
      </c>
      <c r="H147" s="29" t="n">
        <v>1</v>
      </c>
      <c r="I147" s="25" t="s">
        <v>2175</v>
      </c>
      <c r="J147" s="14" t="n">
        <v>-2</v>
      </c>
      <c r="K147" s="18" t="n">
        <v>250</v>
      </c>
      <c r="L147" s="25" t="s">
        <v>2359</v>
      </c>
      <c r="M147" s="29"/>
      <c r="N147" s="29"/>
      <c r="O147" s="25"/>
      <c r="P147" s="25" t="s">
        <v>1957</v>
      </c>
      <c r="Q147" s="12" t="s">
        <v>1931</v>
      </c>
    </row>
    <row r="148" customFormat="false" ht="19.5" hidden="false" customHeight="true" outlineLevel="0" collapsed="false">
      <c r="A148" s="27" t="s">
        <v>2360</v>
      </c>
      <c r="B148" s="9" t="s">
        <v>2361</v>
      </c>
      <c r="C148" s="27" t="s">
        <v>2021</v>
      </c>
      <c r="D148" s="27" t="n">
        <v>119</v>
      </c>
      <c r="E148" s="9" t="s">
        <v>2263</v>
      </c>
      <c r="F148" s="9" t="s">
        <v>1927</v>
      </c>
      <c r="G148" s="27" t="s">
        <v>2165</v>
      </c>
      <c r="H148" s="30" t="n">
        <v>1</v>
      </c>
      <c r="I148" s="27" t="s">
        <v>2175</v>
      </c>
      <c r="J148" s="11" t="n">
        <v>-2</v>
      </c>
      <c r="K148" s="20" t="n">
        <v>300</v>
      </c>
      <c r="L148" s="27" t="s">
        <v>2359</v>
      </c>
      <c r="M148" s="30"/>
      <c r="N148" s="30"/>
      <c r="O148" s="27"/>
      <c r="P148" s="27" t="s">
        <v>1957</v>
      </c>
      <c r="Q148" s="9" t="s">
        <v>1931</v>
      </c>
    </row>
    <row r="149" customFormat="false" ht="19.5" hidden="false" customHeight="true" outlineLevel="0" collapsed="false">
      <c r="A149" s="25" t="s">
        <v>2362</v>
      </c>
      <c r="B149" s="12" t="s">
        <v>2363</v>
      </c>
      <c r="C149" s="25" t="s">
        <v>2021</v>
      </c>
      <c r="D149" s="25" t="n">
        <v>120</v>
      </c>
      <c r="E149" s="12" t="s">
        <v>2263</v>
      </c>
      <c r="F149" s="12" t="s">
        <v>1927</v>
      </c>
      <c r="G149" s="25" t="s">
        <v>2165</v>
      </c>
      <c r="H149" s="29" t="n">
        <v>1</v>
      </c>
      <c r="I149" s="25" t="s">
        <v>2340</v>
      </c>
      <c r="J149" s="14" t="n">
        <v>-1</v>
      </c>
      <c r="K149" s="18" t="n">
        <v>20</v>
      </c>
      <c r="L149" s="25" t="s">
        <v>1930</v>
      </c>
      <c r="M149" s="29"/>
      <c r="N149" s="29"/>
      <c r="O149" s="25"/>
      <c r="P149" s="25" t="s">
        <v>1957</v>
      </c>
      <c r="Q149" s="12" t="s">
        <v>1931</v>
      </c>
    </row>
    <row r="150" customFormat="false" ht="19.5" hidden="false" customHeight="true" outlineLevel="0" collapsed="false">
      <c r="A150" s="27" t="s">
        <v>2364</v>
      </c>
      <c r="B150" s="9" t="s">
        <v>2365</v>
      </c>
      <c r="C150" s="27" t="s">
        <v>2021</v>
      </c>
      <c r="D150" s="27" t="n">
        <v>121</v>
      </c>
      <c r="E150" s="9" t="s">
        <v>2226</v>
      </c>
      <c r="F150" s="9" t="s">
        <v>1927</v>
      </c>
      <c r="G150" s="27" t="s">
        <v>2165</v>
      </c>
      <c r="H150" s="30" t="n">
        <v>2</v>
      </c>
      <c r="I150" s="27" t="s">
        <v>2166</v>
      </c>
      <c r="J150" s="11" t="n">
        <v>-2.15</v>
      </c>
      <c r="K150" s="20" t="n">
        <v>1000</v>
      </c>
      <c r="L150" s="27" t="s">
        <v>2278</v>
      </c>
      <c r="M150" s="30"/>
      <c r="N150" s="30"/>
      <c r="O150" s="27"/>
      <c r="P150" s="27" t="s">
        <v>1957</v>
      </c>
      <c r="Q150" s="9" t="s">
        <v>1931</v>
      </c>
    </row>
    <row r="151" customFormat="false" ht="19.5" hidden="false" customHeight="true" outlineLevel="0" collapsed="false">
      <c r="A151" s="25" t="s">
        <v>2366</v>
      </c>
      <c r="B151" s="12" t="s">
        <v>2367</v>
      </c>
      <c r="C151" s="25" t="s">
        <v>2021</v>
      </c>
      <c r="D151" s="25" t="n">
        <v>122</v>
      </c>
      <c r="E151" s="12" t="s">
        <v>1954</v>
      </c>
      <c r="F151" s="12" t="s">
        <v>1927</v>
      </c>
      <c r="G151" s="25" t="s">
        <v>2165</v>
      </c>
      <c r="H151" s="29" t="n">
        <v>1</v>
      </c>
      <c r="I151" s="25" t="s">
        <v>2368</v>
      </c>
      <c r="J151" s="14" t="n">
        <v>-2</v>
      </c>
      <c r="K151" s="18" t="n">
        <v>100</v>
      </c>
      <c r="L151" s="25" t="s">
        <v>2149</v>
      </c>
      <c r="M151" s="29"/>
      <c r="N151" s="29"/>
      <c r="O151" s="25"/>
      <c r="P151" s="25" t="s">
        <v>1957</v>
      </c>
      <c r="Q151" s="12" t="s">
        <v>1931</v>
      </c>
    </row>
    <row r="152" customFormat="false" ht="19.5" hidden="false" customHeight="true" outlineLevel="0" collapsed="false">
      <c r="A152" s="27" t="s">
        <v>2369</v>
      </c>
      <c r="B152" s="9" t="s">
        <v>2370</v>
      </c>
      <c r="C152" s="27" t="s">
        <v>2021</v>
      </c>
      <c r="D152" s="27" t="n">
        <v>123</v>
      </c>
      <c r="E152" s="9" t="s">
        <v>1947</v>
      </c>
      <c r="F152" s="9" t="s">
        <v>1927</v>
      </c>
      <c r="G152" s="27" t="s">
        <v>2104</v>
      </c>
      <c r="H152" s="30" t="n">
        <v>2</v>
      </c>
      <c r="I152" s="27" t="s">
        <v>2105</v>
      </c>
      <c r="J152" s="11" t="n">
        <v>-1.64</v>
      </c>
      <c r="K152" s="20" t="n">
        <v>15</v>
      </c>
      <c r="L152" s="27" t="s">
        <v>1988</v>
      </c>
      <c r="M152" s="30"/>
      <c r="N152" s="30"/>
      <c r="O152" s="27"/>
      <c r="P152" s="27" t="s">
        <v>1957</v>
      </c>
      <c r="Q152" s="9" t="s">
        <v>1931</v>
      </c>
    </row>
    <row r="153" customFormat="false" ht="19.5" hidden="false" customHeight="true" outlineLevel="0" collapsed="false">
      <c r="A153" s="25" t="s">
        <v>2371</v>
      </c>
      <c r="B153" s="12" t="s">
        <v>2372</v>
      </c>
      <c r="C153" s="25" t="s">
        <v>2021</v>
      </c>
      <c r="D153" s="25" t="n">
        <v>124</v>
      </c>
      <c r="E153" s="12" t="s">
        <v>2273</v>
      </c>
      <c r="F153" s="12" t="s">
        <v>1927</v>
      </c>
      <c r="G153" s="25" t="s">
        <v>2104</v>
      </c>
      <c r="H153" s="29" t="n">
        <v>1</v>
      </c>
      <c r="I153" s="25" t="s">
        <v>2373</v>
      </c>
      <c r="J153" s="14" t="n">
        <v>-1.5</v>
      </c>
      <c r="K153" s="18" t="n">
        <v>45</v>
      </c>
      <c r="L153" s="25" t="s">
        <v>1988</v>
      </c>
      <c r="M153" s="29"/>
      <c r="N153" s="29"/>
      <c r="O153" s="25"/>
      <c r="P153" s="25" t="s">
        <v>1957</v>
      </c>
      <c r="Q153" s="12" t="s">
        <v>1931</v>
      </c>
    </row>
    <row r="154" customFormat="false" ht="19.5" hidden="false" customHeight="true" outlineLevel="0" collapsed="false">
      <c r="A154" s="27" t="s">
        <v>2374</v>
      </c>
      <c r="B154" s="9" t="s">
        <v>2375</v>
      </c>
      <c r="C154" s="27" t="s">
        <v>2021</v>
      </c>
      <c r="D154" s="27" t="n">
        <v>125</v>
      </c>
      <c r="E154" s="9" t="s">
        <v>2259</v>
      </c>
      <c r="F154" s="9" t="s">
        <v>1927</v>
      </c>
      <c r="G154" s="27" t="s">
        <v>2104</v>
      </c>
      <c r="H154" s="30" t="n">
        <v>1</v>
      </c>
      <c r="I154" s="27" t="s">
        <v>2105</v>
      </c>
      <c r="J154" s="11" t="n">
        <v>-1.5</v>
      </c>
      <c r="K154" s="20" t="n">
        <v>10</v>
      </c>
      <c r="L154" s="27" t="s">
        <v>2260</v>
      </c>
      <c r="M154" s="30"/>
      <c r="N154" s="30"/>
      <c r="O154" s="27"/>
      <c r="P154" s="27" t="s">
        <v>1957</v>
      </c>
      <c r="Q154" s="9" t="s">
        <v>1931</v>
      </c>
    </row>
    <row r="155" customFormat="false" ht="19.5" hidden="false" customHeight="true" outlineLevel="0" collapsed="false">
      <c r="A155" s="25" t="s">
        <v>2376</v>
      </c>
      <c r="B155" s="12" t="s">
        <v>2377</v>
      </c>
      <c r="C155" s="25" t="s">
        <v>2021</v>
      </c>
      <c r="D155" s="25" t="n">
        <v>126</v>
      </c>
      <c r="E155" s="12" t="s">
        <v>2273</v>
      </c>
      <c r="F155" s="12" t="s">
        <v>1927</v>
      </c>
      <c r="G155" s="25" t="s">
        <v>2104</v>
      </c>
      <c r="H155" s="29" t="n">
        <v>1</v>
      </c>
      <c r="I155" s="25" t="s">
        <v>2373</v>
      </c>
      <c r="J155" s="14" t="n">
        <v>-1.5</v>
      </c>
      <c r="K155" s="18" t="n">
        <v>45</v>
      </c>
      <c r="L155" s="25" t="s">
        <v>2028</v>
      </c>
      <c r="M155" s="29"/>
      <c r="N155" s="29"/>
      <c r="O155" s="25"/>
      <c r="P155" s="25" t="s">
        <v>1957</v>
      </c>
      <c r="Q155" s="12" t="s">
        <v>1931</v>
      </c>
    </row>
    <row r="156" customFormat="false" ht="19.5" hidden="false" customHeight="true" outlineLevel="0" collapsed="false">
      <c r="A156" s="27" t="s">
        <v>2378</v>
      </c>
      <c r="B156" s="9" t="s">
        <v>2379</v>
      </c>
      <c r="C156" s="27" t="s">
        <v>2021</v>
      </c>
      <c r="D156" s="27" t="n">
        <v>127</v>
      </c>
      <c r="E156" s="9" t="s">
        <v>2243</v>
      </c>
      <c r="F156" s="9" t="s">
        <v>1927</v>
      </c>
      <c r="G156" s="27" t="s">
        <v>2104</v>
      </c>
      <c r="H156" s="30" t="n">
        <v>1</v>
      </c>
      <c r="I156" s="27" t="s">
        <v>2105</v>
      </c>
      <c r="J156" s="11" t="n">
        <v>-1.28</v>
      </c>
      <c r="K156" s="20" t="n">
        <v>5</v>
      </c>
      <c r="L156" s="27" t="s">
        <v>1988</v>
      </c>
      <c r="M156" s="30"/>
      <c r="N156" s="30"/>
      <c r="O156" s="27"/>
      <c r="P156" s="27" t="s">
        <v>1957</v>
      </c>
      <c r="Q156" s="9" t="s">
        <v>1931</v>
      </c>
    </row>
    <row r="157" customFormat="false" ht="19.5" hidden="false" customHeight="true" outlineLevel="0" collapsed="false">
      <c r="A157" s="25" t="s">
        <v>2380</v>
      </c>
      <c r="B157" s="12" t="s">
        <v>2381</v>
      </c>
      <c r="C157" s="25" t="s">
        <v>2021</v>
      </c>
      <c r="D157" s="25" t="n">
        <v>128</v>
      </c>
      <c r="E157" s="12" t="s">
        <v>2249</v>
      </c>
      <c r="F157" s="12" t="s">
        <v>1927</v>
      </c>
      <c r="G157" s="25" t="s">
        <v>2165</v>
      </c>
      <c r="H157" s="29" t="n">
        <v>1</v>
      </c>
      <c r="I157" s="25" t="s">
        <v>2382</v>
      </c>
      <c r="J157" s="14" t="n">
        <v>-1</v>
      </c>
      <c r="K157" s="18" t="n">
        <v>200</v>
      </c>
      <c r="L157" s="25" t="s">
        <v>2244</v>
      </c>
      <c r="M157" s="29"/>
      <c r="N157" s="29"/>
      <c r="O157" s="25"/>
      <c r="P157" s="25" t="s">
        <v>1957</v>
      </c>
      <c r="Q157" s="12" t="s">
        <v>1931</v>
      </c>
    </row>
    <row r="158" customFormat="false" ht="19.5" hidden="false" customHeight="true" outlineLevel="0" collapsed="false">
      <c r="A158" s="27" t="s">
        <v>2383</v>
      </c>
      <c r="B158" s="9" t="s">
        <v>2384</v>
      </c>
      <c r="C158" s="27" t="s">
        <v>2021</v>
      </c>
      <c r="D158" s="27" t="n">
        <v>129</v>
      </c>
      <c r="E158" s="9" t="s">
        <v>2259</v>
      </c>
      <c r="F158" s="9" t="s">
        <v>1927</v>
      </c>
      <c r="G158" s="27" t="s">
        <v>2165</v>
      </c>
      <c r="H158" s="30" t="n">
        <v>1</v>
      </c>
      <c r="I158" s="27" t="s">
        <v>2385</v>
      </c>
      <c r="J158" s="11" t="n">
        <v>-0.6</v>
      </c>
      <c r="K158" s="20" t="n">
        <v>10</v>
      </c>
      <c r="L158" s="27" t="s">
        <v>2260</v>
      </c>
      <c r="M158" s="30"/>
      <c r="N158" s="30"/>
      <c r="O158" s="27"/>
      <c r="P158" s="27" t="s">
        <v>1957</v>
      </c>
      <c r="Q158" s="9" t="s">
        <v>1931</v>
      </c>
    </row>
    <row r="159" customFormat="false" ht="19.5" hidden="false" customHeight="true" outlineLevel="0" collapsed="false">
      <c r="A159" s="25" t="s">
        <v>2386</v>
      </c>
      <c r="B159" s="12" t="s">
        <v>2387</v>
      </c>
      <c r="C159" s="25" t="s">
        <v>2021</v>
      </c>
      <c r="D159" s="25" t="n">
        <v>130</v>
      </c>
      <c r="E159" s="12" t="s">
        <v>2259</v>
      </c>
      <c r="F159" s="12" t="s">
        <v>1927</v>
      </c>
      <c r="G159" s="25" t="s">
        <v>1928</v>
      </c>
      <c r="H159" s="29" t="n">
        <v>1</v>
      </c>
      <c r="I159" s="25" t="s">
        <v>2097</v>
      </c>
      <c r="J159" s="14" t="n">
        <v>-2</v>
      </c>
      <c r="K159" s="18" t="n">
        <v>130</v>
      </c>
      <c r="L159" s="25" t="s">
        <v>2078</v>
      </c>
      <c r="M159" s="29"/>
      <c r="N159" s="29"/>
      <c r="O159" s="25"/>
      <c r="P159" s="25" t="s">
        <v>1957</v>
      </c>
      <c r="Q159" s="12" t="s">
        <v>1931</v>
      </c>
    </row>
    <row r="160" customFormat="false" ht="19.5" hidden="false" customHeight="true" outlineLevel="0" collapsed="false">
      <c r="A160" s="27" t="s">
        <v>2388</v>
      </c>
      <c r="B160" s="9" t="s">
        <v>2389</v>
      </c>
      <c r="C160" s="27" t="s">
        <v>2021</v>
      </c>
      <c r="D160" s="27" t="n">
        <v>131</v>
      </c>
      <c r="E160" s="9" t="s">
        <v>2259</v>
      </c>
      <c r="F160" s="9" t="s">
        <v>1927</v>
      </c>
      <c r="G160" s="27" t="s">
        <v>2104</v>
      </c>
      <c r="H160" s="30" t="n">
        <v>1</v>
      </c>
      <c r="I160" s="27" t="s">
        <v>2105</v>
      </c>
      <c r="J160" s="11" t="n">
        <v>-1.1</v>
      </c>
      <c r="K160" s="20" t="n">
        <v>53</v>
      </c>
      <c r="L160" s="27" t="s">
        <v>2260</v>
      </c>
      <c r="M160" s="30"/>
      <c r="N160" s="30"/>
      <c r="O160" s="27"/>
      <c r="P160" s="27" t="s">
        <v>1957</v>
      </c>
      <c r="Q160" s="9" t="s">
        <v>1931</v>
      </c>
    </row>
    <row r="161" customFormat="false" ht="19.5" hidden="false" customHeight="true" outlineLevel="0" collapsed="false">
      <c r="A161" s="25" t="s">
        <v>2390</v>
      </c>
      <c r="B161" s="12" t="s">
        <v>2391</v>
      </c>
      <c r="C161" s="25" t="s">
        <v>2021</v>
      </c>
      <c r="D161" s="25" t="n">
        <v>132</v>
      </c>
      <c r="E161" s="12" t="s">
        <v>2259</v>
      </c>
      <c r="F161" s="12" t="s">
        <v>1927</v>
      </c>
      <c r="G161" s="25" t="s">
        <v>1928</v>
      </c>
      <c r="H161" s="29" t="n">
        <v>1</v>
      </c>
      <c r="I161" s="25" t="s">
        <v>2281</v>
      </c>
      <c r="J161" s="14" t="n">
        <v>-1.7</v>
      </c>
      <c r="K161" s="18" t="n">
        <v>75</v>
      </c>
      <c r="L161" s="25" t="s">
        <v>2078</v>
      </c>
      <c r="M161" s="29"/>
      <c r="N161" s="29"/>
      <c r="O161" s="25"/>
      <c r="P161" s="25" t="s">
        <v>1957</v>
      </c>
      <c r="Q161" s="12" t="s">
        <v>1931</v>
      </c>
    </row>
    <row r="162" customFormat="false" ht="19.5" hidden="false" customHeight="true" outlineLevel="0" collapsed="false">
      <c r="A162" s="27" t="s">
        <v>2392</v>
      </c>
      <c r="B162" s="9" t="s">
        <v>2393</v>
      </c>
      <c r="C162" s="27" t="s">
        <v>2021</v>
      </c>
      <c r="D162" s="27" t="n">
        <v>133</v>
      </c>
      <c r="E162" s="9" t="s">
        <v>2394</v>
      </c>
      <c r="F162" s="9" t="s">
        <v>1927</v>
      </c>
      <c r="G162" s="27" t="s">
        <v>1928</v>
      </c>
      <c r="H162" s="30" t="n">
        <v>2</v>
      </c>
      <c r="I162" s="27" t="s">
        <v>2395</v>
      </c>
      <c r="J162" s="11" t="n">
        <v>-2.5</v>
      </c>
      <c r="K162" s="20" t="n">
        <v>850</v>
      </c>
      <c r="L162" s="27" t="s">
        <v>2250</v>
      </c>
      <c r="M162" s="28" t="n">
        <v>10.291163</v>
      </c>
      <c r="N162" s="28" t="n">
        <v>106.779016</v>
      </c>
      <c r="O162" s="27" t="s">
        <v>444</v>
      </c>
      <c r="P162" s="27" t="s">
        <v>223</v>
      </c>
      <c r="Q162" s="9" t="s">
        <v>1931</v>
      </c>
    </row>
    <row r="163" customFormat="false" ht="19.5" hidden="false" customHeight="true" outlineLevel="0" collapsed="false">
      <c r="A163" s="25" t="s">
        <v>2396</v>
      </c>
      <c r="B163" s="12" t="s">
        <v>2397</v>
      </c>
      <c r="C163" s="25" t="s">
        <v>2021</v>
      </c>
      <c r="D163" s="25" t="n">
        <v>134</v>
      </c>
      <c r="E163" s="12" t="s">
        <v>2344</v>
      </c>
      <c r="F163" s="12" t="s">
        <v>1927</v>
      </c>
      <c r="G163" s="25" t="s">
        <v>1928</v>
      </c>
      <c r="H163" s="29" t="n">
        <v>1</v>
      </c>
      <c r="I163" s="25" t="s">
        <v>2398</v>
      </c>
      <c r="J163" s="14" t="n">
        <v>-2.6</v>
      </c>
      <c r="K163" s="18" t="n">
        <v>425</v>
      </c>
      <c r="L163" s="25" t="s">
        <v>2244</v>
      </c>
      <c r="M163" s="29"/>
      <c r="N163" s="29"/>
      <c r="O163" s="25"/>
      <c r="P163" s="25" t="s">
        <v>1957</v>
      </c>
      <c r="Q163" s="12" t="s">
        <v>1931</v>
      </c>
    </row>
    <row r="164" customFormat="false" ht="19.5" hidden="false" customHeight="true" outlineLevel="0" collapsed="false">
      <c r="A164" s="27" t="s">
        <v>2399</v>
      </c>
      <c r="B164" s="9" t="s">
        <v>2400</v>
      </c>
      <c r="C164" s="27" t="s">
        <v>2021</v>
      </c>
      <c r="D164" s="27" t="n">
        <v>135</v>
      </c>
      <c r="E164" s="9" t="s">
        <v>2401</v>
      </c>
      <c r="F164" s="9" t="s">
        <v>1927</v>
      </c>
      <c r="G164" s="27" t="s">
        <v>1928</v>
      </c>
      <c r="H164" s="30" t="n">
        <v>2</v>
      </c>
      <c r="I164" s="27" t="s">
        <v>2402</v>
      </c>
      <c r="J164" s="11" t="n">
        <v>-2.36</v>
      </c>
      <c r="K164" s="20" t="n">
        <v>950</v>
      </c>
      <c r="L164" s="27" t="s">
        <v>2403</v>
      </c>
      <c r="M164" s="30"/>
      <c r="N164" s="30"/>
      <c r="O164" s="27"/>
      <c r="P164" s="27" t="s">
        <v>1957</v>
      </c>
      <c r="Q164" s="9" t="s">
        <v>1931</v>
      </c>
    </row>
    <row r="165" customFormat="false" ht="19.5" hidden="false" customHeight="true" outlineLevel="0" collapsed="false">
      <c r="A165" s="25" t="s">
        <v>2404</v>
      </c>
      <c r="B165" s="12" t="s">
        <v>2405</v>
      </c>
      <c r="C165" s="25" t="s">
        <v>2021</v>
      </c>
      <c r="D165" s="25" t="n">
        <v>136</v>
      </c>
      <c r="E165" s="12" t="s">
        <v>2406</v>
      </c>
      <c r="F165" s="12" t="s">
        <v>1927</v>
      </c>
      <c r="G165" s="25" t="s">
        <v>1928</v>
      </c>
      <c r="H165" s="29" t="n">
        <v>1</v>
      </c>
      <c r="I165" s="25" t="s">
        <v>2052</v>
      </c>
      <c r="J165" s="14" t="n">
        <v>-2</v>
      </c>
      <c r="K165" s="18" t="n">
        <v>1500</v>
      </c>
      <c r="L165" s="25" t="s">
        <v>1988</v>
      </c>
      <c r="M165" s="29"/>
      <c r="N165" s="29"/>
      <c r="O165" s="25"/>
      <c r="P165" s="25" t="s">
        <v>1957</v>
      </c>
      <c r="Q165" s="12" t="s">
        <v>1931</v>
      </c>
    </row>
    <row r="166" customFormat="false" ht="19.5" hidden="false" customHeight="true" outlineLevel="0" collapsed="false">
      <c r="A166" s="27" t="s">
        <v>2407</v>
      </c>
      <c r="B166" s="9" t="s">
        <v>2408</v>
      </c>
      <c r="C166" s="27" t="s">
        <v>2021</v>
      </c>
      <c r="D166" s="27" t="n">
        <v>137</v>
      </c>
      <c r="E166" s="9" t="s">
        <v>1954</v>
      </c>
      <c r="F166" s="9" t="s">
        <v>1927</v>
      </c>
      <c r="G166" s="27" t="s">
        <v>1928</v>
      </c>
      <c r="H166" s="30" t="n">
        <v>1</v>
      </c>
      <c r="I166" s="27" t="s">
        <v>2317</v>
      </c>
      <c r="J166" s="11" t="n">
        <v>-2</v>
      </c>
      <c r="K166" s="20" t="n">
        <v>100</v>
      </c>
      <c r="L166" s="27" t="s">
        <v>2149</v>
      </c>
      <c r="M166" s="30"/>
      <c r="N166" s="30"/>
      <c r="O166" s="27"/>
      <c r="P166" s="27" t="s">
        <v>1957</v>
      </c>
      <c r="Q166" s="9" t="s">
        <v>1931</v>
      </c>
    </row>
    <row r="167" customFormat="false" ht="19.5" hidden="false" customHeight="true" outlineLevel="0" collapsed="false">
      <c r="A167" s="25" t="s">
        <v>2409</v>
      </c>
      <c r="B167" s="12" t="s">
        <v>2410</v>
      </c>
      <c r="C167" s="25" t="s">
        <v>2021</v>
      </c>
      <c r="D167" s="25" t="n">
        <v>138</v>
      </c>
      <c r="E167" s="12" t="s">
        <v>2411</v>
      </c>
      <c r="F167" s="12" t="s">
        <v>1927</v>
      </c>
      <c r="G167" s="25" t="s">
        <v>2104</v>
      </c>
      <c r="H167" s="29" t="n">
        <v>1</v>
      </c>
      <c r="I167" s="25" t="s">
        <v>2373</v>
      </c>
      <c r="J167" s="14" t="n">
        <v>-2</v>
      </c>
      <c r="K167" s="18" t="n">
        <v>450</v>
      </c>
      <c r="L167" s="25" t="s">
        <v>2227</v>
      </c>
      <c r="M167" s="29"/>
      <c r="N167" s="29"/>
      <c r="O167" s="25"/>
      <c r="P167" s="25" t="s">
        <v>1957</v>
      </c>
      <c r="Q167" s="12" t="s">
        <v>1931</v>
      </c>
    </row>
    <row r="168" customFormat="false" ht="19.5" hidden="false" customHeight="true" outlineLevel="0" collapsed="false">
      <c r="A168" s="27" t="s">
        <v>2412</v>
      </c>
      <c r="B168" s="9" t="s">
        <v>2413</v>
      </c>
      <c r="C168" s="27" t="s">
        <v>2021</v>
      </c>
      <c r="D168" s="27" t="n">
        <v>139</v>
      </c>
      <c r="E168" s="9" t="s">
        <v>2243</v>
      </c>
      <c r="F168" s="9" t="s">
        <v>1927</v>
      </c>
      <c r="G168" s="27" t="s">
        <v>2165</v>
      </c>
      <c r="H168" s="30" t="n">
        <v>1</v>
      </c>
      <c r="I168" s="27" t="s">
        <v>2340</v>
      </c>
      <c r="J168" s="11" t="n">
        <v>-1.5</v>
      </c>
      <c r="K168" s="20" t="n">
        <v>850</v>
      </c>
      <c r="L168" s="27" t="s">
        <v>2260</v>
      </c>
      <c r="M168" s="30"/>
      <c r="N168" s="30"/>
      <c r="O168" s="27"/>
      <c r="P168" s="27" t="s">
        <v>1957</v>
      </c>
      <c r="Q168" s="9" t="s">
        <v>1931</v>
      </c>
    </row>
    <row r="169" customFormat="false" ht="19.5" hidden="false" customHeight="true" outlineLevel="0" collapsed="false">
      <c r="A169" s="25" t="s">
        <v>2414</v>
      </c>
      <c r="B169" s="12" t="s">
        <v>2415</v>
      </c>
      <c r="C169" s="25" t="s">
        <v>2021</v>
      </c>
      <c r="D169" s="25" t="n">
        <v>140</v>
      </c>
      <c r="E169" s="12" t="s">
        <v>2416</v>
      </c>
      <c r="F169" s="12" t="s">
        <v>1927</v>
      </c>
      <c r="G169" s="25" t="s">
        <v>2165</v>
      </c>
      <c r="H169" s="29" t="n">
        <v>1</v>
      </c>
      <c r="I169" s="25" t="s">
        <v>2340</v>
      </c>
      <c r="J169" s="14" t="n">
        <v>-1</v>
      </c>
      <c r="K169" s="18" t="n">
        <v>65</v>
      </c>
      <c r="L169" s="25" t="s">
        <v>2037</v>
      </c>
      <c r="M169" s="29"/>
      <c r="N169" s="29"/>
      <c r="O169" s="25"/>
      <c r="P169" s="25" t="s">
        <v>1957</v>
      </c>
      <c r="Q169" s="12" t="s">
        <v>1931</v>
      </c>
    </row>
    <row r="170" customFormat="false" ht="19.5" hidden="false" customHeight="true" outlineLevel="0" collapsed="false">
      <c r="A170" s="27" t="s">
        <v>2417</v>
      </c>
      <c r="B170" s="9" t="s">
        <v>2418</v>
      </c>
      <c r="C170" s="27" t="s">
        <v>2021</v>
      </c>
      <c r="D170" s="27" t="n">
        <v>141</v>
      </c>
      <c r="E170" s="9" t="s">
        <v>2416</v>
      </c>
      <c r="F170" s="9" t="s">
        <v>1927</v>
      </c>
      <c r="G170" s="27" t="s">
        <v>2165</v>
      </c>
      <c r="H170" s="30" t="n">
        <v>1</v>
      </c>
      <c r="I170" s="27" t="s">
        <v>2340</v>
      </c>
      <c r="J170" s="11" t="n">
        <v>-1</v>
      </c>
      <c r="K170" s="20" t="n">
        <v>75</v>
      </c>
      <c r="L170" s="27" t="s">
        <v>2037</v>
      </c>
      <c r="M170" s="30"/>
      <c r="N170" s="30"/>
      <c r="O170" s="27"/>
      <c r="P170" s="27" t="s">
        <v>1957</v>
      </c>
      <c r="Q170" s="9" t="s">
        <v>1931</v>
      </c>
    </row>
    <row r="171" customFormat="false" ht="19.5" hidden="false" customHeight="true" outlineLevel="0" collapsed="false">
      <c r="A171" s="25" t="s">
        <v>2419</v>
      </c>
      <c r="B171" s="12" t="s">
        <v>2420</v>
      </c>
      <c r="C171" s="25" t="s">
        <v>2021</v>
      </c>
      <c r="D171" s="25" t="n">
        <v>142</v>
      </c>
      <c r="E171" s="12" t="s">
        <v>2421</v>
      </c>
      <c r="F171" s="12" t="s">
        <v>1927</v>
      </c>
      <c r="G171" s="25" t="s">
        <v>2165</v>
      </c>
      <c r="H171" s="29" t="n">
        <v>3</v>
      </c>
      <c r="I171" s="25" t="s">
        <v>2395</v>
      </c>
      <c r="J171" s="14" t="n">
        <v>-2.5</v>
      </c>
      <c r="K171" s="18" t="n">
        <v>300</v>
      </c>
      <c r="L171" s="25" t="s">
        <v>2337</v>
      </c>
      <c r="M171" s="29"/>
      <c r="N171" s="29"/>
      <c r="O171" s="25"/>
      <c r="P171" s="25" t="s">
        <v>1957</v>
      </c>
      <c r="Q171" s="12" t="s">
        <v>1931</v>
      </c>
    </row>
    <row r="172" customFormat="false" ht="19.5" hidden="false" customHeight="true" outlineLevel="0" collapsed="false">
      <c r="A172" s="27" t="s">
        <v>2422</v>
      </c>
      <c r="B172" s="9" t="s">
        <v>2423</v>
      </c>
      <c r="C172" s="27" t="s">
        <v>2021</v>
      </c>
      <c r="D172" s="27" t="n">
        <v>143</v>
      </c>
      <c r="E172" s="9" t="s">
        <v>2421</v>
      </c>
      <c r="F172" s="9" t="s">
        <v>1927</v>
      </c>
      <c r="G172" s="27" t="s">
        <v>2165</v>
      </c>
      <c r="H172" s="30" t="n">
        <v>1</v>
      </c>
      <c r="I172" s="27" t="s">
        <v>2424</v>
      </c>
      <c r="J172" s="11" t="n">
        <v>-2.5</v>
      </c>
      <c r="K172" s="20" t="n">
        <v>300</v>
      </c>
      <c r="L172" s="27" t="s">
        <v>2260</v>
      </c>
      <c r="M172" s="30"/>
      <c r="N172" s="30"/>
      <c r="O172" s="27"/>
      <c r="P172" s="27" t="s">
        <v>1957</v>
      </c>
      <c r="Q172" s="9" t="s">
        <v>1931</v>
      </c>
    </row>
    <row r="173" customFormat="false" ht="19.5" hidden="false" customHeight="true" outlineLevel="0" collapsed="false">
      <c r="A173" s="25" t="s">
        <v>2425</v>
      </c>
      <c r="B173" s="12" t="s">
        <v>2426</v>
      </c>
      <c r="C173" s="25" t="s">
        <v>2021</v>
      </c>
      <c r="D173" s="25" t="n">
        <v>144</v>
      </c>
      <c r="E173" s="12" t="s">
        <v>2427</v>
      </c>
      <c r="F173" s="12" t="s">
        <v>1927</v>
      </c>
      <c r="G173" s="25" t="s">
        <v>2104</v>
      </c>
      <c r="H173" s="29" t="n">
        <v>1</v>
      </c>
      <c r="I173" s="25" t="s">
        <v>2373</v>
      </c>
      <c r="J173" s="14" t="n">
        <v>-1.5</v>
      </c>
      <c r="K173" s="18" t="n">
        <v>500</v>
      </c>
      <c r="L173" s="25" t="s">
        <v>2078</v>
      </c>
      <c r="M173" s="29"/>
      <c r="N173" s="29"/>
      <c r="O173" s="25"/>
      <c r="P173" s="25" t="s">
        <v>1957</v>
      </c>
      <c r="Q173" s="12" t="s">
        <v>1931</v>
      </c>
    </row>
    <row r="174" customFormat="false" ht="19.5" hidden="false" customHeight="true" outlineLevel="0" collapsed="false">
      <c r="A174" s="27" t="s">
        <v>2428</v>
      </c>
      <c r="B174" s="9" t="s">
        <v>2429</v>
      </c>
      <c r="C174" s="27" t="s">
        <v>2021</v>
      </c>
      <c r="D174" s="27" t="n">
        <v>145</v>
      </c>
      <c r="E174" s="9" t="s">
        <v>2430</v>
      </c>
      <c r="F174" s="9" t="s">
        <v>1927</v>
      </c>
      <c r="G174" s="27" t="s">
        <v>2104</v>
      </c>
      <c r="H174" s="30" t="n">
        <v>1</v>
      </c>
      <c r="I174" s="27" t="s">
        <v>2373</v>
      </c>
      <c r="J174" s="11" t="n">
        <v>-1.5</v>
      </c>
      <c r="K174" s="20" t="n">
        <v>500</v>
      </c>
      <c r="L174" s="27" t="s">
        <v>2078</v>
      </c>
      <c r="M174" s="30"/>
      <c r="N174" s="30"/>
      <c r="O174" s="27"/>
      <c r="P174" s="27" t="s">
        <v>1957</v>
      </c>
      <c r="Q174" s="9" t="s">
        <v>1931</v>
      </c>
    </row>
    <row r="175" customFormat="false" ht="19.5" hidden="false" customHeight="true" outlineLevel="0" collapsed="false">
      <c r="A175" s="25" t="s">
        <v>2431</v>
      </c>
      <c r="B175" s="12" t="s">
        <v>2432</v>
      </c>
      <c r="C175" s="25" t="s">
        <v>2021</v>
      </c>
      <c r="D175" s="25" t="n">
        <v>146</v>
      </c>
      <c r="E175" s="12" t="s">
        <v>2215</v>
      </c>
      <c r="F175" s="12" t="s">
        <v>1927</v>
      </c>
      <c r="G175" s="25" t="s">
        <v>2104</v>
      </c>
      <c r="H175" s="29" t="n">
        <v>1</v>
      </c>
      <c r="I175" s="25" t="s">
        <v>2105</v>
      </c>
      <c r="J175" s="14" t="n">
        <v>-1.6</v>
      </c>
      <c r="K175" s="18" t="n">
        <v>35</v>
      </c>
      <c r="L175" s="25" t="s">
        <v>2403</v>
      </c>
      <c r="M175" s="29"/>
      <c r="N175" s="29"/>
      <c r="O175" s="25"/>
      <c r="P175" s="25" t="s">
        <v>1957</v>
      </c>
      <c r="Q175" s="12" t="s">
        <v>1931</v>
      </c>
    </row>
    <row r="176" customFormat="false" ht="19.5" hidden="false" customHeight="true" outlineLevel="0" collapsed="false">
      <c r="A176" s="27" t="s">
        <v>2433</v>
      </c>
      <c r="B176" s="9" t="s">
        <v>2434</v>
      </c>
      <c r="C176" s="27" t="s">
        <v>2021</v>
      </c>
      <c r="D176" s="27" t="n">
        <v>147</v>
      </c>
      <c r="E176" s="9" t="s">
        <v>2215</v>
      </c>
      <c r="F176" s="9" t="s">
        <v>1927</v>
      </c>
      <c r="G176" s="27" t="s">
        <v>2104</v>
      </c>
      <c r="H176" s="30" t="n">
        <v>1</v>
      </c>
      <c r="I176" s="27" t="s">
        <v>2373</v>
      </c>
      <c r="J176" s="11" t="n">
        <v>-1.6</v>
      </c>
      <c r="K176" s="20" t="n">
        <v>100</v>
      </c>
      <c r="L176" s="27" t="s">
        <v>2264</v>
      </c>
      <c r="M176" s="30"/>
      <c r="N176" s="30"/>
      <c r="O176" s="27"/>
      <c r="P176" s="27" t="s">
        <v>1957</v>
      </c>
      <c r="Q176" s="9" t="s">
        <v>1931</v>
      </c>
    </row>
    <row r="177" customFormat="false" ht="19.5" hidden="false" customHeight="true" outlineLevel="0" collapsed="false">
      <c r="A177" s="25" t="s">
        <v>2435</v>
      </c>
      <c r="B177" s="12" t="s">
        <v>2436</v>
      </c>
      <c r="C177" s="25" t="s">
        <v>2021</v>
      </c>
      <c r="D177" s="25" t="n">
        <v>148</v>
      </c>
      <c r="E177" s="12" t="s">
        <v>1926</v>
      </c>
      <c r="F177" s="12" t="s">
        <v>1927</v>
      </c>
      <c r="G177" s="25" t="s">
        <v>1928</v>
      </c>
      <c r="H177" s="29" t="n">
        <v>1</v>
      </c>
      <c r="I177" s="25" t="s">
        <v>2032</v>
      </c>
      <c r="J177" s="14" t="n">
        <v>-2</v>
      </c>
      <c r="K177" s="18" t="n">
        <v>193</v>
      </c>
      <c r="L177" s="25" t="s">
        <v>1961</v>
      </c>
      <c r="M177" s="29"/>
      <c r="N177" s="29"/>
      <c r="O177" s="25"/>
      <c r="P177" s="25" t="s">
        <v>1957</v>
      </c>
      <c r="Q177" s="12" t="s">
        <v>1931</v>
      </c>
    </row>
    <row r="178" customFormat="false" ht="19.5" hidden="false" customHeight="true" outlineLevel="0" collapsed="false">
      <c r="A178" s="27" t="s">
        <v>2437</v>
      </c>
      <c r="B178" s="9" t="s">
        <v>2438</v>
      </c>
      <c r="C178" s="27" t="s">
        <v>2021</v>
      </c>
      <c r="D178" s="27" t="n">
        <v>149</v>
      </c>
      <c r="E178" s="9" t="s">
        <v>2439</v>
      </c>
      <c r="F178" s="9" t="s">
        <v>2440</v>
      </c>
      <c r="G178" s="27" t="s">
        <v>1928</v>
      </c>
      <c r="H178" s="30" t="n">
        <v>1</v>
      </c>
      <c r="I178" s="27" t="s">
        <v>2441</v>
      </c>
      <c r="J178" s="11" t="n">
        <v>-2.45</v>
      </c>
      <c r="K178" s="20" t="n">
        <v>1800</v>
      </c>
      <c r="L178" s="27" t="s">
        <v>2194</v>
      </c>
      <c r="M178" s="30"/>
      <c r="N178" s="30"/>
      <c r="O178" s="27"/>
      <c r="P178" s="27" t="s">
        <v>1957</v>
      </c>
      <c r="Q178" s="9" t="s">
        <v>1931</v>
      </c>
    </row>
    <row r="179" customFormat="false" ht="19.5" hidden="false" customHeight="true" outlineLevel="0" collapsed="false">
      <c r="A179" s="25" t="s">
        <v>2442</v>
      </c>
      <c r="B179" s="12" t="s">
        <v>1321</v>
      </c>
      <c r="C179" s="25" t="s">
        <v>2021</v>
      </c>
      <c r="D179" s="25" t="n">
        <v>150</v>
      </c>
      <c r="E179" s="12" t="s">
        <v>2443</v>
      </c>
      <c r="F179" s="12" t="s">
        <v>2440</v>
      </c>
      <c r="G179" s="25" t="s">
        <v>1928</v>
      </c>
      <c r="H179" s="29" t="n">
        <v>1</v>
      </c>
      <c r="I179" s="25" t="s">
        <v>2183</v>
      </c>
      <c r="J179" s="14" t="n">
        <v>-2.75</v>
      </c>
      <c r="K179" s="18" t="n">
        <v>1500</v>
      </c>
      <c r="L179" s="25" t="s">
        <v>2403</v>
      </c>
      <c r="M179" s="26" t="n">
        <v>10.254012</v>
      </c>
      <c r="N179" s="26" t="n">
        <v>106.663078</v>
      </c>
      <c r="O179" s="25" t="s">
        <v>238</v>
      </c>
      <c r="P179" s="25" t="s">
        <v>223</v>
      </c>
      <c r="Q179" s="12" t="s">
        <v>1931</v>
      </c>
    </row>
    <row r="180" customFormat="false" ht="19.5" hidden="false" customHeight="true" outlineLevel="0" collapsed="false">
      <c r="A180" s="27" t="s">
        <v>2444</v>
      </c>
      <c r="B180" s="9" t="s">
        <v>2445</v>
      </c>
      <c r="C180" s="27" t="s">
        <v>2021</v>
      </c>
      <c r="D180" s="27" t="n">
        <v>151</v>
      </c>
      <c r="E180" s="9" t="s">
        <v>2446</v>
      </c>
      <c r="F180" s="9" t="s">
        <v>2440</v>
      </c>
      <c r="G180" s="27" t="s">
        <v>1928</v>
      </c>
      <c r="H180" s="30" t="n">
        <v>1</v>
      </c>
      <c r="I180" s="27" t="s">
        <v>2284</v>
      </c>
      <c r="J180" s="11" t="n">
        <v>-2.75</v>
      </c>
      <c r="K180" s="20" t="n">
        <v>450</v>
      </c>
      <c r="L180" s="27" t="s">
        <v>2403</v>
      </c>
      <c r="M180" s="30"/>
      <c r="N180" s="30"/>
      <c r="O180" s="27"/>
      <c r="P180" s="27" t="s">
        <v>1957</v>
      </c>
      <c r="Q180" s="9" t="s">
        <v>1931</v>
      </c>
    </row>
    <row r="181" customFormat="false" ht="19.5" hidden="false" customHeight="true" outlineLevel="0" collapsed="false">
      <c r="A181" s="25" t="s">
        <v>2447</v>
      </c>
      <c r="B181" s="12" t="s">
        <v>2448</v>
      </c>
      <c r="C181" s="25" t="s">
        <v>2021</v>
      </c>
      <c r="D181" s="25" t="n">
        <v>152</v>
      </c>
      <c r="E181" s="12" t="s">
        <v>2446</v>
      </c>
      <c r="F181" s="12" t="s">
        <v>2440</v>
      </c>
      <c r="G181" s="25" t="s">
        <v>1928</v>
      </c>
      <c r="H181" s="29" t="n">
        <v>1</v>
      </c>
      <c r="I181" s="25" t="s">
        <v>2284</v>
      </c>
      <c r="J181" s="14" t="n">
        <v>-2.75</v>
      </c>
      <c r="K181" s="18" t="n">
        <v>450</v>
      </c>
      <c r="L181" s="25" t="s">
        <v>2403</v>
      </c>
      <c r="M181" s="29"/>
      <c r="N181" s="29"/>
      <c r="O181" s="25"/>
      <c r="P181" s="25" t="s">
        <v>1957</v>
      </c>
      <c r="Q181" s="12" t="s">
        <v>1931</v>
      </c>
    </row>
    <row r="182" customFormat="false" ht="19.5" hidden="false" customHeight="true" outlineLevel="0" collapsed="false">
      <c r="A182" s="27" t="s">
        <v>2449</v>
      </c>
      <c r="B182" s="9" t="s">
        <v>2450</v>
      </c>
      <c r="C182" s="27" t="s">
        <v>2021</v>
      </c>
      <c r="D182" s="27" t="n">
        <v>153</v>
      </c>
      <c r="E182" s="9" t="s">
        <v>2443</v>
      </c>
      <c r="F182" s="9" t="s">
        <v>2440</v>
      </c>
      <c r="G182" s="27" t="s">
        <v>1928</v>
      </c>
      <c r="H182" s="30" t="n">
        <v>1</v>
      </c>
      <c r="I182" s="27" t="s">
        <v>2284</v>
      </c>
      <c r="J182" s="11" t="n">
        <v>-2.75</v>
      </c>
      <c r="K182" s="20" t="n">
        <v>450</v>
      </c>
      <c r="L182" s="27" t="s">
        <v>2403</v>
      </c>
      <c r="M182" s="30"/>
      <c r="N182" s="30"/>
      <c r="O182" s="27"/>
      <c r="P182" s="27" t="s">
        <v>1957</v>
      </c>
      <c r="Q182" s="9" t="s">
        <v>1931</v>
      </c>
    </row>
    <row r="183" customFormat="false" ht="19.5" hidden="false" customHeight="true" outlineLevel="0" collapsed="false">
      <c r="A183" s="25" t="s">
        <v>2451</v>
      </c>
      <c r="B183" s="12" t="s">
        <v>2452</v>
      </c>
      <c r="C183" s="25" t="s">
        <v>2021</v>
      </c>
      <c r="D183" s="25" t="n">
        <v>154</v>
      </c>
      <c r="E183" s="12" t="s">
        <v>2443</v>
      </c>
      <c r="F183" s="12" t="s">
        <v>2440</v>
      </c>
      <c r="G183" s="25" t="s">
        <v>1928</v>
      </c>
      <c r="H183" s="29" t="n">
        <v>1</v>
      </c>
      <c r="I183" s="25" t="s">
        <v>2284</v>
      </c>
      <c r="J183" s="14" t="n">
        <v>-2.75</v>
      </c>
      <c r="K183" s="18" t="n">
        <v>450</v>
      </c>
      <c r="L183" s="25" t="s">
        <v>2403</v>
      </c>
      <c r="M183" s="29"/>
      <c r="N183" s="29"/>
      <c r="O183" s="25"/>
      <c r="P183" s="25" t="s">
        <v>1957</v>
      </c>
      <c r="Q183" s="12" t="s">
        <v>1931</v>
      </c>
    </row>
    <row r="184" customFormat="false" ht="19.5" hidden="false" customHeight="true" outlineLevel="0" collapsed="false">
      <c r="A184" s="27" t="s">
        <v>2453</v>
      </c>
      <c r="B184" s="9" t="s">
        <v>2196</v>
      </c>
      <c r="C184" s="27" t="s">
        <v>2021</v>
      </c>
      <c r="D184" s="27" t="n">
        <v>155</v>
      </c>
      <c r="E184" s="9" t="s">
        <v>2443</v>
      </c>
      <c r="F184" s="9" t="s">
        <v>2440</v>
      </c>
      <c r="G184" s="27" t="s">
        <v>1928</v>
      </c>
      <c r="H184" s="30" t="n">
        <v>1</v>
      </c>
      <c r="I184" s="27" t="s">
        <v>2253</v>
      </c>
      <c r="J184" s="11" t="n">
        <v>-2.75</v>
      </c>
      <c r="K184" s="20" t="n">
        <v>550</v>
      </c>
      <c r="L184" s="27" t="s">
        <v>1988</v>
      </c>
      <c r="M184" s="30"/>
      <c r="N184" s="30"/>
      <c r="O184" s="27"/>
      <c r="P184" s="27" t="s">
        <v>1957</v>
      </c>
      <c r="Q184" s="9" t="s">
        <v>1931</v>
      </c>
    </row>
    <row r="185" customFormat="false" ht="19.5" hidden="false" customHeight="true" outlineLevel="0" collapsed="false">
      <c r="A185" s="25" t="s">
        <v>2454</v>
      </c>
      <c r="B185" s="12" t="s">
        <v>2455</v>
      </c>
      <c r="C185" s="25" t="s">
        <v>2021</v>
      </c>
      <c r="D185" s="25" t="n">
        <v>156</v>
      </c>
      <c r="E185" s="12" t="s">
        <v>2446</v>
      </c>
      <c r="F185" s="12" t="s">
        <v>2440</v>
      </c>
      <c r="G185" s="25" t="s">
        <v>2104</v>
      </c>
      <c r="H185" s="29" t="n">
        <v>2</v>
      </c>
      <c r="I185" s="25" t="s">
        <v>2456</v>
      </c>
      <c r="J185" s="14" t="n">
        <v>-1.85</v>
      </c>
      <c r="K185" s="18" t="n">
        <v>75</v>
      </c>
      <c r="L185" s="25" t="s">
        <v>2294</v>
      </c>
      <c r="M185" s="29"/>
      <c r="N185" s="29"/>
      <c r="O185" s="25"/>
      <c r="P185" s="25" t="s">
        <v>1957</v>
      </c>
      <c r="Q185" s="12" t="s">
        <v>1931</v>
      </c>
    </row>
    <row r="186" customFormat="false" ht="19.5" hidden="false" customHeight="true" outlineLevel="0" collapsed="false">
      <c r="A186" s="27" t="s">
        <v>2457</v>
      </c>
      <c r="B186" s="9" t="s">
        <v>2458</v>
      </c>
      <c r="C186" s="27" t="s">
        <v>2021</v>
      </c>
      <c r="D186" s="27" t="n">
        <v>157</v>
      </c>
      <c r="E186" s="9" t="s">
        <v>2446</v>
      </c>
      <c r="F186" s="9" t="s">
        <v>2440</v>
      </c>
      <c r="G186" s="27" t="s">
        <v>2104</v>
      </c>
      <c r="H186" s="30" t="n">
        <v>2</v>
      </c>
      <c r="I186" s="27" t="s">
        <v>2456</v>
      </c>
      <c r="J186" s="11" t="n">
        <v>-1.85</v>
      </c>
      <c r="K186" s="20" t="n">
        <v>75</v>
      </c>
      <c r="L186" s="27" t="s">
        <v>2294</v>
      </c>
      <c r="M186" s="30"/>
      <c r="N186" s="30"/>
      <c r="O186" s="27"/>
      <c r="P186" s="27" t="s">
        <v>1957</v>
      </c>
      <c r="Q186" s="9" t="s">
        <v>1931</v>
      </c>
    </row>
    <row r="187" customFormat="false" ht="19.5" hidden="false" customHeight="true" outlineLevel="0" collapsed="false">
      <c r="A187" s="25" t="s">
        <v>2459</v>
      </c>
      <c r="B187" s="12" t="s">
        <v>2460</v>
      </c>
      <c r="C187" s="25" t="s">
        <v>2021</v>
      </c>
      <c r="D187" s="25" t="n">
        <v>158</v>
      </c>
      <c r="E187" s="12" t="s">
        <v>2443</v>
      </c>
      <c r="F187" s="12" t="s">
        <v>2440</v>
      </c>
      <c r="G187" s="25" t="s">
        <v>2165</v>
      </c>
      <c r="H187" s="29" t="n">
        <v>1</v>
      </c>
      <c r="I187" s="25" t="s">
        <v>2175</v>
      </c>
      <c r="J187" s="14" t="n">
        <v>-1.75</v>
      </c>
      <c r="K187" s="18" t="n">
        <v>80</v>
      </c>
      <c r="L187" s="25" t="s">
        <v>2037</v>
      </c>
      <c r="M187" s="29"/>
      <c r="N187" s="29"/>
      <c r="O187" s="25"/>
      <c r="P187" s="25" t="s">
        <v>1957</v>
      </c>
      <c r="Q187" s="12" t="s">
        <v>1931</v>
      </c>
    </row>
    <row r="188" customFormat="false" ht="19.5" hidden="false" customHeight="true" outlineLevel="0" collapsed="false">
      <c r="A188" s="27" t="s">
        <v>2461</v>
      </c>
      <c r="B188" s="9" t="s">
        <v>2462</v>
      </c>
      <c r="C188" s="27" t="s">
        <v>2021</v>
      </c>
      <c r="D188" s="27" t="n">
        <v>159</v>
      </c>
      <c r="E188" s="9" t="s">
        <v>2439</v>
      </c>
      <c r="F188" s="9" t="s">
        <v>2440</v>
      </c>
      <c r="G188" s="27" t="s">
        <v>2104</v>
      </c>
      <c r="H188" s="30" t="n">
        <v>1</v>
      </c>
      <c r="I188" s="27" t="s">
        <v>2202</v>
      </c>
      <c r="J188" s="11" t="n">
        <v>-1.75</v>
      </c>
      <c r="K188" s="20" t="n">
        <v>150</v>
      </c>
      <c r="L188" s="27" t="s">
        <v>2260</v>
      </c>
      <c r="M188" s="30"/>
      <c r="N188" s="30"/>
      <c r="O188" s="27"/>
      <c r="P188" s="27" t="s">
        <v>1957</v>
      </c>
      <c r="Q188" s="9" t="s">
        <v>1931</v>
      </c>
    </row>
    <row r="189" customFormat="false" ht="19.5" hidden="false" customHeight="true" outlineLevel="0" collapsed="false">
      <c r="A189" s="25" t="s">
        <v>2463</v>
      </c>
      <c r="B189" s="12" t="s">
        <v>2464</v>
      </c>
      <c r="C189" s="25" t="s">
        <v>2021</v>
      </c>
      <c r="D189" s="25" t="n">
        <v>160</v>
      </c>
      <c r="E189" s="12" t="s">
        <v>2439</v>
      </c>
      <c r="F189" s="12" t="s">
        <v>2440</v>
      </c>
      <c r="G189" s="25" t="s">
        <v>2104</v>
      </c>
      <c r="H189" s="29" t="n">
        <v>1</v>
      </c>
      <c r="I189" s="25" t="s">
        <v>2202</v>
      </c>
      <c r="J189" s="14" t="n">
        <v>-1.75</v>
      </c>
      <c r="K189" s="18" t="n">
        <v>180</v>
      </c>
      <c r="L189" s="25" t="s">
        <v>2145</v>
      </c>
      <c r="M189" s="29"/>
      <c r="N189" s="29"/>
      <c r="O189" s="25"/>
      <c r="P189" s="25" t="s">
        <v>1957</v>
      </c>
      <c r="Q189" s="12" t="s">
        <v>1931</v>
      </c>
    </row>
    <row r="190" customFormat="false" ht="19.5" hidden="false" customHeight="true" outlineLevel="0" collapsed="false">
      <c r="A190" s="27" t="s">
        <v>2465</v>
      </c>
      <c r="B190" s="9" t="s">
        <v>2466</v>
      </c>
      <c r="C190" s="27" t="s">
        <v>2021</v>
      </c>
      <c r="D190" s="27" t="n">
        <v>161</v>
      </c>
      <c r="E190" s="9" t="s">
        <v>2443</v>
      </c>
      <c r="F190" s="9" t="s">
        <v>2440</v>
      </c>
      <c r="G190" s="27" t="s">
        <v>1928</v>
      </c>
      <c r="H190" s="30" t="n">
        <v>1</v>
      </c>
      <c r="I190" s="27" t="s">
        <v>2097</v>
      </c>
      <c r="J190" s="11" t="n">
        <v>-2.25</v>
      </c>
      <c r="K190" s="20" t="n">
        <v>150</v>
      </c>
      <c r="L190" s="27" t="s">
        <v>1935</v>
      </c>
      <c r="M190" s="30"/>
      <c r="N190" s="30"/>
      <c r="O190" s="27"/>
      <c r="P190" s="27" t="s">
        <v>1957</v>
      </c>
      <c r="Q190" s="9" t="s">
        <v>1931</v>
      </c>
    </row>
    <row r="191" customFormat="false" ht="19.5" hidden="false" customHeight="true" outlineLevel="0" collapsed="false">
      <c r="A191" s="25" t="s">
        <v>2467</v>
      </c>
      <c r="B191" s="12" t="s">
        <v>2468</v>
      </c>
      <c r="C191" s="25" t="s">
        <v>2021</v>
      </c>
      <c r="D191" s="25" t="n">
        <v>162</v>
      </c>
      <c r="E191" s="12" t="s">
        <v>2439</v>
      </c>
      <c r="F191" s="12" t="s">
        <v>2440</v>
      </c>
      <c r="G191" s="25" t="s">
        <v>2165</v>
      </c>
      <c r="H191" s="29" t="n">
        <v>1</v>
      </c>
      <c r="I191" s="25" t="s">
        <v>2175</v>
      </c>
      <c r="J191" s="14" t="n">
        <v>-2</v>
      </c>
      <c r="K191" s="18" t="n">
        <v>100</v>
      </c>
      <c r="L191" s="25" t="s">
        <v>2078</v>
      </c>
      <c r="M191" s="29"/>
      <c r="N191" s="29"/>
      <c r="O191" s="25"/>
      <c r="P191" s="25" t="s">
        <v>1957</v>
      </c>
      <c r="Q191" s="12" t="s">
        <v>1931</v>
      </c>
    </row>
    <row r="192" customFormat="false" ht="19.5" hidden="false" customHeight="true" outlineLevel="0" collapsed="false">
      <c r="A192" s="27" t="s">
        <v>2469</v>
      </c>
      <c r="B192" s="9" t="s">
        <v>2470</v>
      </c>
      <c r="C192" s="27" t="s">
        <v>2021</v>
      </c>
      <c r="D192" s="27" t="n">
        <v>163</v>
      </c>
      <c r="E192" s="9" t="s">
        <v>2443</v>
      </c>
      <c r="F192" s="9" t="s">
        <v>2440</v>
      </c>
      <c r="G192" s="27" t="s">
        <v>2165</v>
      </c>
      <c r="H192" s="30" t="n">
        <v>1</v>
      </c>
      <c r="I192" s="27" t="s">
        <v>2175</v>
      </c>
      <c r="J192" s="11" t="n">
        <v>-2</v>
      </c>
      <c r="K192" s="20" t="n">
        <v>100</v>
      </c>
      <c r="L192" s="27" t="s">
        <v>2078</v>
      </c>
      <c r="M192" s="30"/>
      <c r="N192" s="30"/>
      <c r="O192" s="27"/>
      <c r="P192" s="27" t="s">
        <v>1957</v>
      </c>
      <c r="Q192" s="9" t="s">
        <v>1931</v>
      </c>
    </row>
    <row r="193" customFormat="false" ht="19.5" hidden="false" customHeight="true" outlineLevel="0" collapsed="false">
      <c r="A193" s="25" t="s">
        <v>2471</v>
      </c>
      <c r="B193" s="12" t="s">
        <v>2472</v>
      </c>
      <c r="C193" s="25" t="s">
        <v>2021</v>
      </c>
      <c r="D193" s="25" t="n">
        <v>164</v>
      </c>
      <c r="E193" s="12" t="s">
        <v>2473</v>
      </c>
      <c r="F193" s="12" t="s">
        <v>462</v>
      </c>
      <c r="G193" s="25" t="s">
        <v>2104</v>
      </c>
      <c r="H193" s="29" t="n">
        <v>1</v>
      </c>
      <c r="I193" s="25" t="s">
        <v>2456</v>
      </c>
      <c r="J193" s="14" t="n">
        <v>-1.5</v>
      </c>
      <c r="K193" s="18" t="n">
        <v>160</v>
      </c>
      <c r="L193" s="25" t="s">
        <v>2028</v>
      </c>
      <c r="M193" s="29"/>
      <c r="N193" s="29"/>
      <c r="O193" s="25"/>
      <c r="P193" s="25" t="s">
        <v>1957</v>
      </c>
      <c r="Q193" s="12" t="s">
        <v>1931</v>
      </c>
    </row>
    <row r="194" customFormat="false" ht="19.5" hidden="false" customHeight="true" outlineLevel="0" collapsed="false">
      <c r="A194" s="27" t="s">
        <v>2474</v>
      </c>
      <c r="B194" s="9" t="s">
        <v>2475</v>
      </c>
      <c r="C194" s="27" t="s">
        <v>2476</v>
      </c>
      <c r="D194" s="27" t="n">
        <v>1</v>
      </c>
      <c r="E194" s="9" t="s">
        <v>2477</v>
      </c>
      <c r="F194" s="9" t="s">
        <v>1927</v>
      </c>
      <c r="G194" s="27" t="s">
        <v>2478</v>
      </c>
      <c r="H194" s="30" t="n">
        <v>8</v>
      </c>
      <c r="I194" s="27" t="s">
        <v>2479</v>
      </c>
      <c r="J194" s="30"/>
      <c r="K194" s="20" t="n">
        <v>10000</v>
      </c>
      <c r="L194" s="27" t="s">
        <v>1930</v>
      </c>
      <c r="M194" s="30"/>
      <c r="N194" s="30"/>
      <c r="O194" s="27"/>
      <c r="P194" s="27" t="s">
        <v>1957</v>
      </c>
      <c r="Q194" s="9" t="s">
        <v>2480</v>
      </c>
    </row>
  </sheetData>
  <mergeCells count="2">
    <mergeCell ref="A1:Q1"/>
    <mergeCell ref="A2:Q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6" min="3" style="0" width="42"/>
    <col collapsed="false" customWidth="true" hidden="false" outlineLevel="0" max="7" min="7" style="0" width="19"/>
    <col collapsed="false" customWidth="true" hidden="false" outlineLevel="0" max="8" min="8" style="0" width="22"/>
    <col collapsed="false" customWidth="true" hidden="false" outlineLevel="0" max="9" min="9" style="0" width="25"/>
    <col collapsed="false" customWidth="true" hidden="false" outlineLevel="0" max="10" min="10" style="0" width="28"/>
    <col collapsed="false" customWidth="true" hidden="false" outlineLevel="0" max="11" min="11" style="0" width="26"/>
    <col collapsed="false" customWidth="true" hidden="false" outlineLevel="0" max="12" min="12" style="0" width="31"/>
    <col collapsed="false" customWidth="true" hidden="false" outlineLevel="0" max="13" min="13" style="0" width="42"/>
  </cols>
  <sheetData>
    <row r="1" customFormat="false" ht="27.75" hidden="false" customHeight="true" outlineLevel="0" collapsed="false">
      <c r="A1" s="1" t="s">
        <v>2481</v>
      </c>
      <c r="B1" s="1"/>
      <c r="C1" s="1"/>
      <c r="D1" s="1"/>
      <c r="E1" s="1"/>
      <c r="F1" s="1"/>
      <c r="G1" s="1"/>
      <c r="H1" s="1"/>
      <c r="I1" s="1"/>
      <c r="J1" s="1"/>
      <c r="K1" s="1"/>
      <c r="L1" s="1"/>
      <c r="M1" s="1"/>
    </row>
    <row r="2" customFormat="false" ht="19.5" hidden="false" customHeight="true" outlineLevel="0" collapsed="false">
      <c r="A2" s="2" t="s">
        <v>2482</v>
      </c>
      <c r="B2" s="2"/>
      <c r="C2" s="2"/>
      <c r="D2" s="2"/>
      <c r="E2" s="2"/>
      <c r="F2" s="2"/>
      <c r="G2" s="2"/>
      <c r="H2" s="2"/>
      <c r="I2" s="2"/>
      <c r="J2" s="2"/>
      <c r="K2" s="2"/>
      <c r="L2" s="2"/>
      <c r="M2" s="2"/>
    </row>
    <row r="4" customFormat="false" ht="15" hidden="false" customHeight="false" outlineLevel="0" collapsed="false">
      <c r="A4" s="6" t="s">
        <v>2483</v>
      </c>
    </row>
    <row r="5" customFormat="false" ht="24" hidden="false" customHeight="true" outlineLevel="0" collapsed="false">
      <c r="A5" s="24" t="s">
        <v>2484</v>
      </c>
      <c r="B5" s="24" t="s">
        <v>2485</v>
      </c>
      <c r="C5" s="7" t="s">
        <v>2486</v>
      </c>
      <c r="D5" s="7" t="s">
        <v>2487</v>
      </c>
      <c r="E5" s="7" t="s">
        <v>2488</v>
      </c>
      <c r="F5" s="7" t="s">
        <v>2489</v>
      </c>
      <c r="G5" s="8" t="s">
        <v>2490</v>
      </c>
      <c r="H5" s="24" t="s">
        <v>2491</v>
      </c>
      <c r="I5" s="24" t="s">
        <v>2492</v>
      </c>
      <c r="J5" s="24" t="s">
        <v>1909</v>
      </c>
      <c r="K5" s="8" t="s">
        <v>1910</v>
      </c>
      <c r="L5" s="8" t="s">
        <v>2493</v>
      </c>
      <c r="M5" s="7" t="s">
        <v>2494</v>
      </c>
    </row>
    <row r="6" customFormat="false" ht="19.5" hidden="false" customHeight="true" outlineLevel="0" collapsed="false">
      <c r="A6" s="27" t="s">
        <v>2495</v>
      </c>
      <c r="B6" s="27" t="s">
        <v>2496</v>
      </c>
      <c r="C6" s="9" t="s">
        <v>2497</v>
      </c>
      <c r="D6" s="9" t="s">
        <v>2498</v>
      </c>
      <c r="E6" s="9" t="s">
        <v>260</v>
      </c>
      <c r="F6" s="9" t="s">
        <v>2499</v>
      </c>
      <c r="G6" s="20" t="n">
        <v>30890</v>
      </c>
      <c r="H6" s="27" t="s">
        <v>2500</v>
      </c>
      <c r="I6" s="27" t="s">
        <v>2501</v>
      </c>
      <c r="J6" s="27" t="s">
        <v>2502</v>
      </c>
      <c r="K6" s="20" t="n">
        <v>4603</v>
      </c>
      <c r="L6" s="11" t="n">
        <v>115.5</v>
      </c>
      <c r="M6" s="9" t="s">
        <v>2503</v>
      </c>
    </row>
    <row r="7" customFormat="false" ht="19.5" hidden="false" customHeight="true" outlineLevel="0" collapsed="false">
      <c r="A7" s="25" t="s">
        <v>2504</v>
      </c>
      <c r="B7" s="25" t="s">
        <v>2496</v>
      </c>
      <c r="C7" s="12" t="s">
        <v>2505</v>
      </c>
      <c r="D7" s="12" t="s">
        <v>2506</v>
      </c>
      <c r="E7" s="12" t="s">
        <v>2507</v>
      </c>
      <c r="F7" s="12" t="s">
        <v>2508</v>
      </c>
      <c r="G7" s="18" t="n">
        <v>19830</v>
      </c>
      <c r="H7" s="25" t="s">
        <v>2509</v>
      </c>
      <c r="I7" s="25" t="s">
        <v>2510</v>
      </c>
      <c r="J7" s="25" t="s">
        <v>2511</v>
      </c>
      <c r="K7" s="18" t="n">
        <v>9040</v>
      </c>
      <c r="L7" s="14" t="n">
        <v>130.8</v>
      </c>
      <c r="M7" s="12" t="s">
        <v>2503</v>
      </c>
    </row>
    <row r="8" customFormat="false" ht="19.5" hidden="false" customHeight="true" outlineLevel="0" collapsed="false">
      <c r="A8" s="27" t="s">
        <v>2512</v>
      </c>
      <c r="B8" s="27" t="s">
        <v>2496</v>
      </c>
      <c r="C8" s="9" t="s">
        <v>468</v>
      </c>
      <c r="D8" s="9" t="s">
        <v>2513</v>
      </c>
      <c r="E8" s="9" t="s">
        <v>260</v>
      </c>
      <c r="F8" s="9" t="s">
        <v>2514</v>
      </c>
      <c r="G8" s="20" t="n">
        <v>19800</v>
      </c>
      <c r="H8" s="27" t="s">
        <v>2500</v>
      </c>
      <c r="I8" s="27" t="s">
        <v>2515</v>
      </c>
      <c r="J8" s="27" t="s">
        <v>2516</v>
      </c>
      <c r="K8" s="20" t="n">
        <v>10300</v>
      </c>
      <c r="L8" s="11" t="n">
        <v>100.9</v>
      </c>
      <c r="M8" s="9" t="s">
        <v>2503</v>
      </c>
    </row>
    <row r="9" customFormat="false" ht="19.5" hidden="false" customHeight="true" outlineLevel="0" collapsed="false">
      <c r="A9" s="25" t="s">
        <v>2517</v>
      </c>
      <c r="B9" s="25" t="s">
        <v>2496</v>
      </c>
      <c r="C9" s="12" t="s">
        <v>2518</v>
      </c>
      <c r="D9" s="12" t="s">
        <v>2519</v>
      </c>
      <c r="E9" s="12" t="s">
        <v>2520</v>
      </c>
      <c r="F9" s="12" t="s">
        <v>2521</v>
      </c>
      <c r="G9" s="18" t="n">
        <v>18800</v>
      </c>
      <c r="H9" s="25" t="s">
        <v>2522</v>
      </c>
      <c r="I9" s="25" t="s">
        <v>2523</v>
      </c>
      <c r="J9" s="25" t="s">
        <v>2524</v>
      </c>
      <c r="K9" s="18" t="n">
        <v>33000</v>
      </c>
      <c r="L9" s="14" t="n">
        <v>119.7</v>
      </c>
      <c r="M9" s="12" t="s">
        <v>2503</v>
      </c>
    </row>
    <row r="10" customFormat="false" ht="19.5" hidden="false" customHeight="true" outlineLevel="0" collapsed="false">
      <c r="A10" s="27" t="s">
        <v>2525</v>
      </c>
      <c r="B10" s="27" t="s">
        <v>2496</v>
      </c>
      <c r="C10" s="9" t="s">
        <v>1937</v>
      </c>
      <c r="D10" s="9" t="s">
        <v>2526</v>
      </c>
      <c r="E10" s="9" t="s">
        <v>260</v>
      </c>
      <c r="F10" s="9" t="s">
        <v>2527</v>
      </c>
      <c r="G10" s="20" t="n">
        <v>10090</v>
      </c>
      <c r="H10" s="27" t="s">
        <v>2528</v>
      </c>
      <c r="I10" s="27" t="s">
        <v>2529</v>
      </c>
      <c r="J10" s="27" t="s">
        <v>2530</v>
      </c>
      <c r="K10" s="20" t="n">
        <v>3080</v>
      </c>
      <c r="L10" s="11" t="n">
        <v>136.1</v>
      </c>
      <c r="M10" s="9" t="s">
        <v>2503</v>
      </c>
    </row>
    <row r="11" customFormat="false" ht="19.5" hidden="false" customHeight="true" outlineLevel="0" collapsed="false">
      <c r="A11" s="25" t="s">
        <v>2531</v>
      </c>
      <c r="B11" s="25" t="s">
        <v>2496</v>
      </c>
      <c r="C11" s="12" t="s">
        <v>2532</v>
      </c>
      <c r="D11" s="12" t="s">
        <v>2533</v>
      </c>
      <c r="E11" s="12" t="s">
        <v>260</v>
      </c>
      <c r="F11" s="12" t="s">
        <v>2534</v>
      </c>
      <c r="G11" s="18" t="n">
        <v>4262</v>
      </c>
      <c r="H11" s="25" t="s">
        <v>2535</v>
      </c>
      <c r="I11" s="25" t="s">
        <v>2536</v>
      </c>
      <c r="J11" s="25" t="s">
        <v>2524</v>
      </c>
      <c r="K11" s="18" t="n">
        <v>1550</v>
      </c>
      <c r="L11" s="14" t="n">
        <v>105.5</v>
      </c>
      <c r="M11" s="12" t="s">
        <v>2503</v>
      </c>
    </row>
    <row r="12" customFormat="false" ht="19.5" hidden="false" customHeight="true" outlineLevel="0" collapsed="false">
      <c r="A12" s="27" t="s">
        <v>2537</v>
      </c>
      <c r="B12" s="27" t="s">
        <v>2538</v>
      </c>
      <c r="C12" s="9" t="s">
        <v>2539</v>
      </c>
      <c r="D12" s="9" t="s">
        <v>2540</v>
      </c>
      <c r="E12" s="9" t="s">
        <v>2541</v>
      </c>
      <c r="F12" s="9" t="s">
        <v>2542</v>
      </c>
      <c r="G12" s="20" t="n">
        <v>11550</v>
      </c>
      <c r="H12" s="27" t="s">
        <v>2543</v>
      </c>
      <c r="I12" s="27" t="s">
        <v>2544</v>
      </c>
      <c r="J12" s="27" t="s">
        <v>2545</v>
      </c>
      <c r="K12" s="20" t="n">
        <v>2310</v>
      </c>
      <c r="L12" s="11" t="n">
        <v>15.35</v>
      </c>
      <c r="M12" s="9" t="s">
        <v>2503</v>
      </c>
    </row>
    <row r="13" customFormat="false" ht="19.5" hidden="false" customHeight="true" outlineLevel="0" collapsed="false">
      <c r="A13" s="25" t="s">
        <v>2546</v>
      </c>
      <c r="B13" s="25" t="s">
        <v>2538</v>
      </c>
      <c r="C13" s="12" t="s">
        <v>2542</v>
      </c>
      <c r="D13" s="12" t="s">
        <v>2540</v>
      </c>
      <c r="E13" s="12" t="s">
        <v>2547</v>
      </c>
      <c r="F13" s="12" t="s">
        <v>2548</v>
      </c>
      <c r="G13" s="18" t="n">
        <v>20390</v>
      </c>
      <c r="H13" s="25" t="s">
        <v>2549</v>
      </c>
      <c r="I13" s="25" t="s">
        <v>2550</v>
      </c>
      <c r="J13" s="25" t="s">
        <v>2551</v>
      </c>
      <c r="K13" s="18" t="n">
        <v>2039</v>
      </c>
      <c r="L13" s="14" t="n">
        <v>12.5</v>
      </c>
      <c r="M13" s="12" t="s">
        <v>2503</v>
      </c>
    </row>
    <row r="14" customFormat="false" ht="19.5" hidden="false" customHeight="true" outlineLevel="0" collapsed="false">
      <c r="A14" s="27" t="s">
        <v>2552</v>
      </c>
      <c r="B14" s="27" t="s">
        <v>2538</v>
      </c>
      <c r="C14" s="9" t="s">
        <v>2553</v>
      </c>
      <c r="D14" s="9" t="s">
        <v>2554</v>
      </c>
      <c r="E14" s="9" t="s">
        <v>2521</v>
      </c>
      <c r="F14" s="9" t="s">
        <v>2555</v>
      </c>
      <c r="G14" s="20" t="n">
        <v>16354</v>
      </c>
      <c r="H14" s="27" t="s">
        <v>2556</v>
      </c>
      <c r="I14" s="27" t="s">
        <v>2557</v>
      </c>
      <c r="J14" s="27" t="s">
        <v>2558</v>
      </c>
      <c r="K14" s="20" t="n">
        <v>2844</v>
      </c>
      <c r="L14" s="11" t="n">
        <v>29.86</v>
      </c>
      <c r="M14" s="9" t="s">
        <v>2503</v>
      </c>
    </row>
    <row r="15" customFormat="false" ht="19.5" hidden="false" customHeight="true" outlineLevel="0" collapsed="false">
      <c r="A15" s="25" t="s">
        <v>2559</v>
      </c>
      <c r="B15" s="25" t="s">
        <v>2538</v>
      </c>
      <c r="C15" s="12" t="s">
        <v>2521</v>
      </c>
      <c r="D15" s="12" t="s">
        <v>2554</v>
      </c>
      <c r="E15" s="12" t="s">
        <v>260</v>
      </c>
      <c r="F15" s="12" t="s">
        <v>2560</v>
      </c>
      <c r="G15" s="18" t="n">
        <v>22840</v>
      </c>
      <c r="H15" s="25" t="s">
        <v>2556</v>
      </c>
      <c r="I15" s="25" t="s">
        <v>2561</v>
      </c>
      <c r="J15" s="25" t="s">
        <v>2562</v>
      </c>
      <c r="K15" s="18" t="n">
        <v>1800</v>
      </c>
      <c r="L15" s="14" t="n">
        <v>36.75</v>
      </c>
      <c r="M15" s="12" t="s">
        <v>2503</v>
      </c>
    </row>
    <row r="16" customFormat="false" ht="19.5" hidden="false" customHeight="true" outlineLevel="0" collapsed="false">
      <c r="A16" s="27" t="s">
        <v>2563</v>
      </c>
      <c r="B16" s="27" t="s">
        <v>2538</v>
      </c>
      <c r="C16" s="9" t="s">
        <v>401</v>
      </c>
      <c r="D16" s="9" t="s">
        <v>2564</v>
      </c>
      <c r="E16" s="9" t="s">
        <v>2555</v>
      </c>
      <c r="F16" s="9" t="s">
        <v>2565</v>
      </c>
      <c r="G16" s="20" t="n">
        <v>10550</v>
      </c>
      <c r="H16" s="27" t="s">
        <v>2556</v>
      </c>
      <c r="I16" s="27" t="s">
        <v>2566</v>
      </c>
      <c r="J16" s="27" t="s">
        <v>2558</v>
      </c>
      <c r="K16" s="20" t="n">
        <v>2120</v>
      </c>
      <c r="L16" s="11" t="n">
        <v>22.26</v>
      </c>
      <c r="M16" s="9" t="s">
        <v>2503</v>
      </c>
    </row>
    <row r="17" customFormat="false" ht="19.5" hidden="false" customHeight="true" outlineLevel="0" collapsed="false">
      <c r="A17" s="25" t="s">
        <v>2567</v>
      </c>
      <c r="B17" s="25" t="s">
        <v>2538</v>
      </c>
      <c r="C17" s="12" t="s">
        <v>2555</v>
      </c>
      <c r="D17" s="12" t="s">
        <v>2568</v>
      </c>
      <c r="E17" s="12" t="s">
        <v>2521</v>
      </c>
      <c r="F17" s="12" t="s">
        <v>2569</v>
      </c>
      <c r="G17" s="18" t="n">
        <v>11110</v>
      </c>
      <c r="H17" s="25" t="s">
        <v>2556</v>
      </c>
      <c r="I17" s="25" t="s">
        <v>2570</v>
      </c>
      <c r="J17" s="25" t="s">
        <v>2558</v>
      </c>
      <c r="K17" s="18" t="n">
        <v>790</v>
      </c>
      <c r="L17" s="14" t="n">
        <v>28.35</v>
      </c>
      <c r="M17" s="12" t="s">
        <v>2503</v>
      </c>
    </row>
    <row r="18" customFormat="false" ht="19.5" hidden="false" customHeight="true" outlineLevel="0" collapsed="false">
      <c r="A18" s="27" t="s">
        <v>2571</v>
      </c>
      <c r="B18" s="27" t="s">
        <v>2538</v>
      </c>
      <c r="C18" s="9" t="s">
        <v>2572</v>
      </c>
      <c r="D18" s="9" t="s">
        <v>2564</v>
      </c>
      <c r="E18" s="9" t="s">
        <v>2555</v>
      </c>
      <c r="F18" s="9" t="s">
        <v>2573</v>
      </c>
      <c r="G18" s="20" t="n">
        <v>8600</v>
      </c>
      <c r="H18" s="27" t="s">
        <v>2566</v>
      </c>
      <c r="I18" s="27" t="s">
        <v>2574</v>
      </c>
      <c r="J18" s="27" t="s">
        <v>2562</v>
      </c>
      <c r="K18" s="20" t="n">
        <v>860</v>
      </c>
      <c r="L18" s="11" t="n">
        <v>18.38</v>
      </c>
      <c r="M18" s="9" t="s">
        <v>2503</v>
      </c>
    </row>
    <row r="19" customFormat="false" ht="19.5" hidden="false" customHeight="true" outlineLevel="0" collapsed="false">
      <c r="A19" s="25" t="s">
        <v>2575</v>
      </c>
      <c r="B19" s="25" t="s">
        <v>2538</v>
      </c>
      <c r="C19" s="12" t="s">
        <v>422</v>
      </c>
      <c r="D19" s="12" t="s">
        <v>2568</v>
      </c>
      <c r="E19" s="12" t="s">
        <v>2521</v>
      </c>
      <c r="F19" s="12" t="s">
        <v>2576</v>
      </c>
      <c r="G19" s="18" t="n">
        <v>11800</v>
      </c>
      <c r="H19" s="25" t="s">
        <v>2577</v>
      </c>
      <c r="I19" s="25" t="s">
        <v>2578</v>
      </c>
      <c r="J19" s="25" t="s">
        <v>2579</v>
      </c>
      <c r="K19" s="18" t="n">
        <v>2800</v>
      </c>
      <c r="L19" s="14" t="n">
        <v>26.25</v>
      </c>
      <c r="M19" s="12" t="s">
        <v>2503</v>
      </c>
    </row>
    <row r="20" customFormat="false" ht="19.5" hidden="false" customHeight="true" outlineLevel="0" collapsed="false">
      <c r="A20" s="27" t="s">
        <v>2580</v>
      </c>
      <c r="B20" s="27" t="s">
        <v>2538</v>
      </c>
      <c r="C20" s="9" t="s">
        <v>2581</v>
      </c>
      <c r="D20" s="9" t="s">
        <v>2582</v>
      </c>
      <c r="E20" s="9" t="s">
        <v>260</v>
      </c>
      <c r="F20" s="9" t="s">
        <v>2583</v>
      </c>
      <c r="G20" s="20" t="n">
        <v>26710</v>
      </c>
      <c r="H20" s="27" t="s">
        <v>2584</v>
      </c>
      <c r="I20" s="27" t="s">
        <v>2585</v>
      </c>
      <c r="J20" s="27" t="s">
        <v>2586</v>
      </c>
      <c r="K20" s="20" t="n">
        <v>3650</v>
      </c>
      <c r="L20" s="11" t="n">
        <v>58.5</v>
      </c>
      <c r="M20" s="9" t="s">
        <v>2503</v>
      </c>
    </row>
    <row r="21" customFormat="false" ht="19.5" hidden="false" customHeight="true" outlineLevel="0" collapsed="false">
      <c r="A21" s="25" t="s">
        <v>2587</v>
      </c>
      <c r="B21" s="25" t="s">
        <v>2538</v>
      </c>
      <c r="C21" s="12" t="s">
        <v>2588</v>
      </c>
      <c r="D21" s="12" t="s">
        <v>2589</v>
      </c>
      <c r="E21" s="12" t="s">
        <v>2590</v>
      </c>
      <c r="F21" s="12" t="s">
        <v>2591</v>
      </c>
      <c r="G21" s="18" t="n">
        <v>17000</v>
      </c>
      <c r="H21" s="25" t="s">
        <v>2592</v>
      </c>
      <c r="I21" s="25" t="s">
        <v>2593</v>
      </c>
      <c r="J21" s="25" t="s">
        <v>2594</v>
      </c>
      <c r="K21" s="18" t="n">
        <v>2250</v>
      </c>
      <c r="L21" s="14" t="n">
        <v>30.1</v>
      </c>
      <c r="M21" s="12" t="s">
        <v>2503</v>
      </c>
    </row>
    <row r="22" customFormat="false" ht="19.5" hidden="false" customHeight="true" outlineLevel="0" collapsed="false">
      <c r="A22" s="27" t="s">
        <v>2595</v>
      </c>
      <c r="B22" s="27" t="s">
        <v>2538</v>
      </c>
      <c r="C22" s="9" t="s">
        <v>2596</v>
      </c>
      <c r="D22" s="9" t="s">
        <v>2597</v>
      </c>
      <c r="E22" s="9" t="s">
        <v>2590</v>
      </c>
      <c r="F22" s="9" t="s">
        <v>330</v>
      </c>
      <c r="G22" s="20" t="n">
        <v>15930</v>
      </c>
      <c r="H22" s="27" t="s">
        <v>2598</v>
      </c>
      <c r="I22" s="27" t="s">
        <v>2593</v>
      </c>
      <c r="J22" s="27" t="s">
        <v>2599</v>
      </c>
      <c r="K22" s="20" t="n">
        <v>1737</v>
      </c>
      <c r="L22" s="11" t="n">
        <v>17.2</v>
      </c>
      <c r="M22" s="9" t="s">
        <v>2503</v>
      </c>
    </row>
    <row r="23" customFormat="false" ht="19.5" hidden="false" customHeight="true" outlineLevel="0" collapsed="false">
      <c r="A23" s="25" t="s">
        <v>2600</v>
      </c>
      <c r="B23" s="25" t="s">
        <v>2538</v>
      </c>
      <c r="C23" s="12" t="s">
        <v>2601</v>
      </c>
      <c r="D23" s="12" t="s">
        <v>2602</v>
      </c>
      <c r="E23" s="12" t="s">
        <v>2590</v>
      </c>
      <c r="F23" s="12" t="s">
        <v>2603</v>
      </c>
      <c r="G23" s="18" t="n">
        <v>12600</v>
      </c>
      <c r="H23" s="25" t="s">
        <v>2515</v>
      </c>
      <c r="I23" s="25" t="s">
        <v>2604</v>
      </c>
      <c r="J23" s="25" t="s">
        <v>2605</v>
      </c>
      <c r="K23" s="18" t="n">
        <v>3000</v>
      </c>
      <c r="L23" s="14" t="n">
        <v>22</v>
      </c>
      <c r="M23" s="12" t="s">
        <v>2503</v>
      </c>
    </row>
    <row r="24" customFormat="false" ht="19.5" hidden="false" customHeight="true" outlineLevel="0" collapsed="false">
      <c r="A24" s="27" t="s">
        <v>2606</v>
      </c>
      <c r="B24" s="27" t="s">
        <v>2538</v>
      </c>
      <c r="C24" s="9" t="s">
        <v>2607</v>
      </c>
      <c r="D24" s="9" t="s">
        <v>2608</v>
      </c>
      <c r="E24" s="9" t="s">
        <v>260</v>
      </c>
      <c r="F24" s="9" t="s">
        <v>2609</v>
      </c>
      <c r="G24" s="20" t="n">
        <v>5570</v>
      </c>
      <c r="H24" s="27" t="s">
        <v>2610</v>
      </c>
      <c r="I24" s="27" t="s">
        <v>2611</v>
      </c>
      <c r="J24" s="27" t="s">
        <v>2612</v>
      </c>
      <c r="K24" s="20" t="n">
        <v>427</v>
      </c>
      <c r="L24" s="11" t="n">
        <v>15.1</v>
      </c>
      <c r="M24" s="9" t="s">
        <v>2503</v>
      </c>
    </row>
    <row r="25" customFormat="false" ht="19.5" hidden="false" customHeight="true" outlineLevel="0" collapsed="false">
      <c r="A25" s="25" t="s">
        <v>2613</v>
      </c>
      <c r="B25" s="25" t="s">
        <v>2538</v>
      </c>
      <c r="C25" s="12" t="s">
        <v>2614</v>
      </c>
      <c r="D25" s="12" t="s">
        <v>2615</v>
      </c>
      <c r="E25" s="12" t="s">
        <v>468</v>
      </c>
      <c r="F25" s="12" t="s">
        <v>2541</v>
      </c>
      <c r="G25" s="18" t="n">
        <v>16400</v>
      </c>
      <c r="H25" s="25" t="s">
        <v>2616</v>
      </c>
      <c r="I25" s="25" t="s">
        <v>2617</v>
      </c>
      <c r="J25" s="25" t="s">
        <v>2618</v>
      </c>
      <c r="K25" s="18" t="n">
        <v>1290</v>
      </c>
      <c r="L25" s="14" t="n">
        <v>39.66</v>
      </c>
      <c r="M25" s="12" t="s">
        <v>2503</v>
      </c>
    </row>
    <row r="26" customFormat="false" ht="19.5" hidden="false" customHeight="true" outlineLevel="0" collapsed="false">
      <c r="A26" s="27" t="s">
        <v>2619</v>
      </c>
      <c r="B26" s="27" t="s">
        <v>2538</v>
      </c>
      <c r="C26" s="9" t="s">
        <v>2620</v>
      </c>
      <c r="D26" s="9" t="s">
        <v>2621</v>
      </c>
      <c r="E26" s="9" t="s">
        <v>260</v>
      </c>
      <c r="F26" s="9" t="s">
        <v>2622</v>
      </c>
      <c r="G26" s="20" t="n">
        <v>8110</v>
      </c>
      <c r="H26" s="27" t="s">
        <v>2515</v>
      </c>
      <c r="I26" s="27" t="s">
        <v>2593</v>
      </c>
      <c r="J26" s="27" t="s">
        <v>2623</v>
      </c>
      <c r="K26" s="20" t="n">
        <v>800</v>
      </c>
      <c r="L26" s="11" t="n">
        <v>85.42</v>
      </c>
      <c r="M26" s="9" t="s">
        <v>2503</v>
      </c>
    </row>
    <row r="27" customFormat="false" ht="19.5" hidden="false" customHeight="true" outlineLevel="0" collapsed="false">
      <c r="A27" s="25" t="s">
        <v>2624</v>
      </c>
      <c r="B27" s="25" t="s">
        <v>2538</v>
      </c>
      <c r="C27" s="12" t="s">
        <v>475</v>
      </c>
      <c r="D27" s="12" t="s">
        <v>2625</v>
      </c>
      <c r="E27" s="12" t="s">
        <v>468</v>
      </c>
      <c r="F27" s="12" t="s">
        <v>2626</v>
      </c>
      <c r="G27" s="18" t="n">
        <v>19500</v>
      </c>
      <c r="H27" s="25" t="s">
        <v>2627</v>
      </c>
      <c r="I27" s="25" t="s">
        <v>2628</v>
      </c>
      <c r="J27" s="25" t="s">
        <v>2629</v>
      </c>
      <c r="K27" s="18" t="n">
        <v>600</v>
      </c>
      <c r="L27" s="14" t="n">
        <v>11.42</v>
      </c>
      <c r="M27" s="12" t="s">
        <v>2503</v>
      </c>
    </row>
    <row r="28" customFormat="false" ht="19.5" hidden="false" customHeight="true" outlineLevel="0" collapsed="false">
      <c r="A28" s="27" t="s">
        <v>2630</v>
      </c>
      <c r="B28" s="27" t="s">
        <v>2538</v>
      </c>
      <c r="C28" s="9" t="s">
        <v>2631</v>
      </c>
      <c r="D28" s="9" t="s">
        <v>2564</v>
      </c>
      <c r="E28" s="9" t="s">
        <v>401</v>
      </c>
      <c r="F28" s="9" t="s">
        <v>2632</v>
      </c>
      <c r="G28" s="20" t="n">
        <v>12890</v>
      </c>
      <c r="H28" s="27" t="s">
        <v>2566</v>
      </c>
      <c r="I28" s="27" t="s">
        <v>2633</v>
      </c>
      <c r="J28" s="27" t="s">
        <v>2634</v>
      </c>
      <c r="K28" s="20" t="n">
        <v>8500</v>
      </c>
      <c r="L28" s="11" t="n">
        <v>22.05</v>
      </c>
      <c r="M28" s="9" t="s">
        <v>2503</v>
      </c>
    </row>
    <row r="29" customFormat="false" ht="19.5" hidden="false" customHeight="true" outlineLevel="0" collapsed="false">
      <c r="A29" s="25" t="s">
        <v>2635</v>
      </c>
      <c r="B29" s="25" t="s">
        <v>2538</v>
      </c>
      <c r="C29" s="12" t="s">
        <v>2636</v>
      </c>
      <c r="D29" s="12" t="s">
        <v>2637</v>
      </c>
      <c r="E29" s="12" t="s">
        <v>2638</v>
      </c>
      <c r="F29" s="12" t="s">
        <v>2639</v>
      </c>
      <c r="G29" s="18" t="n">
        <v>19300</v>
      </c>
      <c r="H29" s="25" t="s">
        <v>2501</v>
      </c>
      <c r="I29" s="25" t="s">
        <v>2640</v>
      </c>
      <c r="J29" s="25" t="s">
        <v>2641</v>
      </c>
      <c r="K29" s="18" t="n">
        <v>10000</v>
      </c>
      <c r="L29" s="14" t="n">
        <v>26.25</v>
      </c>
      <c r="M29" s="12" t="s">
        <v>2503</v>
      </c>
    </row>
    <row r="30" customFormat="false" ht="19.5" hidden="false" customHeight="true" outlineLevel="0" collapsed="false">
      <c r="A30" s="27" t="s">
        <v>2642</v>
      </c>
      <c r="B30" s="27" t="s">
        <v>2643</v>
      </c>
      <c r="C30" s="9" t="s">
        <v>2644</v>
      </c>
      <c r="D30" s="9" t="s">
        <v>2645</v>
      </c>
      <c r="E30" s="9" t="s">
        <v>2590</v>
      </c>
      <c r="F30" s="9" t="s">
        <v>2646</v>
      </c>
      <c r="G30" s="20" t="n">
        <v>2800</v>
      </c>
      <c r="H30" s="27" t="s">
        <v>2501</v>
      </c>
      <c r="I30" s="27" t="s">
        <v>2647</v>
      </c>
      <c r="J30" s="27" t="s">
        <v>2634</v>
      </c>
      <c r="K30" s="20" t="n">
        <v>150</v>
      </c>
      <c r="L30" s="11" t="n">
        <v>7.2</v>
      </c>
      <c r="M30" s="9" t="s">
        <v>2503</v>
      </c>
    </row>
    <row r="31" customFormat="false" ht="19.5" hidden="false" customHeight="true" outlineLevel="0" collapsed="false">
      <c r="A31" s="25" t="s">
        <v>2648</v>
      </c>
      <c r="B31" s="25" t="s">
        <v>2643</v>
      </c>
      <c r="C31" s="12" t="s">
        <v>2534</v>
      </c>
      <c r="D31" s="12" t="s">
        <v>2649</v>
      </c>
      <c r="E31" s="12" t="s">
        <v>2590</v>
      </c>
      <c r="F31" s="12" t="s">
        <v>2650</v>
      </c>
      <c r="G31" s="18" t="n">
        <v>2700</v>
      </c>
      <c r="H31" s="25" t="s">
        <v>2566</v>
      </c>
      <c r="I31" s="25" t="s">
        <v>2651</v>
      </c>
      <c r="J31" s="25" t="s">
        <v>2634</v>
      </c>
      <c r="K31" s="18" t="n">
        <v>120</v>
      </c>
      <c r="L31" s="14" t="n">
        <v>5.9</v>
      </c>
      <c r="M31" s="12" t="s">
        <v>2503</v>
      </c>
    </row>
    <row r="33" customFormat="false" ht="15" hidden="false" customHeight="false" outlineLevel="0" collapsed="false">
      <c r="A33" s="6" t="s">
        <v>2652</v>
      </c>
    </row>
    <row r="34" customFormat="false" ht="24" hidden="false" customHeight="true" outlineLevel="0" collapsed="false">
      <c r="A34" s="24" t="s">
        <v>2653</v>
      </c>
      <c r="B34" s="24" t="s">
        <v>2654</v>
      </c>
      <c r="C34" s="7" t="s">
        <v>2655</v>
      </c>
      <c r="D34" s="7" t="s">
        <v>2656</v>
      </c>
      <c r="E34" s="7" t="s">
        <v>2657</v>
      </c>
      <c r="F34" s="7" t="s">
        <v>2658</v>
      </c>
      <c r="G34" s="8" t="s">
        <v>2490</v>
      </c>
      <c r="H34" s="24" t="s">
        <v>2659</v>
      </c>
      <c r="I34" s="24" t="s">
        <v>2660</v>
      </c>
      <c r="J34" s="24" t="s">
        <v>2661</v>
      </c>
      <c r="K34" s="24" t="s">
        <v>2662</v>
      </c>
      <c r="L34" s="24" t="s">
        <v>1911</v>
      </c>
      <c r="M34" s="7" t="s">
        <v>2663</v>
      </c>
    </row>
    <row r="35" customFormat="false" ht="19.5" hidden="false" customHeight="true" outlineLevel="0" collapsed="false">
      <c r="A35" s="25" t="s">
        <v>2664</v>
      </c>
      <c r="B35" s="25" t="n">
        <v>1</v>
      </c>
      <c r="C35" s="12" t="s">
        <v>2665</v>
      </c>
      <c r="D35" s="12" t="s">
        <v>2666</v>
      </c>
      <c r="E35" s="12" t="s">
        <v>2667</v>
      </c>
      <c r="F35" s="12" t="s">
        <v>2668</v>
      </c>
      <c r="G35" s="29" t="s">
        <v>2669</v>
      </c>
      <c r="H35" s="25" t="s">
        <v>1969</v>
      </c>
      <c r="I35" s="25" t="s">
        <v>2670</v>
      </c>
      <c r="J35" s="25" t="s">
        <v>2671</v>
      </c>
      <c r="K35" s="25" t="s">
        <v>2672</v>
      </c>
      <c r="L35" s="25" t="s">
        <v>2673</v>
      </c>
      <c r="M35" s="12" t="s">
        <v>2674</v>
      </c>
    </row>
    <row r="36" customFormat="false" ht="19.5" hidden="false" customHeight="true" outlineLevel="0" collapsed="false">
      <c r="A36" s="27" t="s">
        <v>2675</v>
      </c>
      <c r="B36" s="27" t="n">
        <v>2</v>
      </c>
      <c r="C36" s="9" t="s">
        <v>2676</v>
      </c>
      <c r="D36" s="9" t="s">
        <v>2677</v>
      </c>
      <c r="E36" s="9" t="s">
        <v>2678</v>
      </c>
      <c r="F36" s="9" t="s">
        <v>2679</v>
      </c>
      <c r="G36" s="30" t="s">
        <v>2680</v>
      </c>
      <c r="H36" s="27" t="s">
        <v>2253</v>
      </c>
      <c r="I36" s="27" t="s">
        <v>2681</v>
      </c>
      <c r="J36" s="27" t="s">
        <v>2281</v>
      </c>
      <c r="K36" s="27" t="s">
        <v>2281</v>
      </c>
      <c r="L36" s="27" t="s">
        <v>2682</v>
      </c>
      <c r="M36" s="9"/>
    </row>
    <row r="37" customFormat="false" ht="19.5" hidden="false" customHeight="true" outlineLevel="0" collapsed="false">
      <c r="A37" s="25" t="s">
        <v>2683</v>
      </c>
      <c r="B37" s="25" t="n">
        <v>3</v>
      </c>
      <c r="C37" s="12" t="s">
        <v>2684</v>
      </c>
      <c r="D37" s="12" t="s">
        <v>2677</v>
      </c>
      <c r="E37" s="12" t="s">
        <v>2685</v>
      </c>
      <c r="F37" s="12" t="s">
        <v>2686</v>
      </c>
      <c r="G37" s="29" t="s">
        <v>2687</v>
      </c>
      <c r="H37" s="25" t="s">
        <v>2085</v>
      </c>
      <c r="I37" s="25" t="s">
        <v>2688</v>
      </c>
      <c r="J37" s="25" t="s">
        <v>2097</v>
      </c>
      <c r="K37" s="25" t="s">
        <v>2097</v>
      </c>
      <c r="L37" s="25" t="s">
        <v>1978</v>
      </c>
      <c r="M37" s="12"/>
    </row>
    <row r="38" customFormat="false" ht="19.5" hidden="false" customHeight="true" outlineLevel="0" collapsed="false">
      <c r="A38" s="27" t="s">
        <v>2689</v>
      </c>
      <c r="B38" s="27" t="n">
        <v>4</v>
      </c>
      <c r="C38" s="9" t="s">
        <v>2690</v>
      </c>
      <c r="D38" s="9" t="s">
        <v>2677</v>
      </c>
      <c r="E38" s="9" t="s">
        <v>2691</v>
      </c>
      <c r="F38" s="9" t="s">
        <v>2692</v>
      </c>
      <c r="G38" s="30" t="s">
        <v>2693</v>
      </c>
      <c r="H38" s="27" t="s">
        <v>2085</v>
      </c>
      <c r="I38" s="27" t="s">
        <v>2688</v>
      </c>
      <c r="J38" s="27" t="s">
        <v>2097</v>
      </c>
      <c r="K38" s="27" t="s">
        <v>2097</v>
      </c>
      <c r="L38" s="27" t="s">
        <v>1978</v>
      </c>
      <c r="M38" s="9"/>
    </row>
    <row r="39" customFormat="false" ht="19.5" hidden="false" customHeight="true" outlineLevel="0" collapsed="false">
      <c r="A39" s="25" t="s">
        <v>2694</v>
      </c>
      <c r="B39" s="25" t="n">
        <v>5</v>
      </c>
      <c r="C39" s="12" t="s">
        <v>2695</v>
      </c>
      <c r="D39" s="12" t="s">
        <v>2696</v>
      </c>
      <c r="E39" s="12" t="s">
        <v>2697</v>
      </c>
      <c r="F39" s="12" t="s">
        <v>2698</v>
      </c>
      <c r="G39" s="29" t="s">
        <v>2699</v>
      </c>
      <c r="H39" s="25" t="s">
        <v>2700</v>
      </c>
      <c r="I39" s="25" t="s">
        <v>2701</v>
      </c>
      <c r="J39" s="25" t="s">
        <v>2281</v>
      </c>
      <c r="K39" s="25" t="s">
        <v>2281</v>
      </c>
      <c r="L39" s="25" t="s">
        <v>2260</v>
      </c>
      <c r="M39" s="12" t="s">
        <v>2702</v>
      </c>
    </row>
    <row r="40" customFormat="false" ht="19.5" hidden="false" customHeight="true" outlineLevel="0" collapsed="false">
      <c r="A40" s="27" t="s">
        <v>2703</v>
      </c>
      <c r="B40" s="27" t="n">
        <v>6</v>
      </c>
      <c r="C40" s="9" t="s">
        <v>2704</v>
      </c>
      <c r="D40" s="9" t="s">
        <v>2705</v>
      </c>
      <c r="E40" s="9" t="s">
        <v>2706</v>
      </c>
      <c r="F40" s="9" t="s">
        <v>2707</v>
      </c>
      <c r="G40" s="30" t="s">
        <v>2708</v>
      </c>
      <c r="H40" s="27" t="s">
        <v>2709</v>
      </c>
      <c r="I40" s="27" t="s">
        <v>2710</v>
      </c>
      <c r="J40" s="27" t="s">
        <v>2281</v>
      </c>
      <c r="K40" s="27" t="s">
        <v>2281</v>
      </c>
      <c r="L40" s="27" t="s">
        <v>2711</v>
      </c>
      <c r="M40" s="9"/>
    </row>
    <row r="41" customFormat="false" ht="19.5" hidden="false" customHeight="true" outlineLevel="0" collapsed="false">
      <c r="A41" s="25" t="s">
        <v>2712</v>
      </c>
      <c r="B41" s="25" t="n">
        <v>7</v>
      </c>
      <c r="C41" s="12" t="s">
        <v>2713</v>
      </c>
      <c r="D41" s="12" t="s">
        <v>2714</v>
      </c>
      <c r="E41" s="12" t="s">
        <v>2715</v>
      </c>
      <c r="F41" s="12" t="s">
        <v>2716</v>
      </c>
      <c r="G41" s="29" t="s">
        <v>2717</v>
      </c>
      <c r="H41" s="25" t="s">
        <v>2718</v>
      </c>
      <c r="I41" s="25" t="s">
        <v>2719</v>
      </c>
      <c r="J41" s="25" t="s">
        <v>2281</v>
      </c>
      <c r="K41" s="25" t="s">
        <v>2281</v>
      </c>
      <c r="L41" s="25" t="s">
        <v>2145</v>
      </c>
      <c r="M41" s="12"/>
    </row>
    <row r="42" customFormat="false" ht="19.5" hidden="false" customHeight="true" outlineLevel="0" collapsed="false">
      <c r="A42" s="27" t="s">
        <v>2720</v>
      </c>
      <c r="B42" s="27" t="n">
        <v>8</v>
      </c>
      <c r="C42" s="9" t="s">
        <v>2721</v>
      </c>
      <c r="D42" s="9" t="s">
        <v>2722</v>
      </c>
      <c r="E42" s="9" t="s">
        <v>2723</v>
      </c>
      <c r="F42" s="9" t="s">
        <v>2724</v>
      </c>
      <c r="G42" s="30" t="s">
        <v>2725</v>
      </c>
      <c r="H42" s="27" t="s">
        <v>2085</v>
      </c>
      <c r="I42" s="27" t="s">
        <v>2726</v>
      </c>
      <c r="J42" s="27" t="s">
        <v>2281</v>
      </c>
      <c r="K42" s="27" t="s">
        <v>2281</v>
      </c>
      <c r="L42" s="27" t="s">
        <v>2024</v>
      </c>
      <c r="M42" s="9"/>
    </row>
    <row r="43" customFormat="false" ht="19.5" hidden="false" customHeight="true" outlineLevel="0" collapsed="false">
      <c r="A43" s="25" t="s">
        <v>2727</v>
      </c>
      <c r="B43" s="25" t="n">
        <v>9</v>
      </c>
      <c r="C43" s="12" t="s">
        <v>2728</v>
      </c>
      <c r="D43" s="12" t="s">
        <v>2729</v>
      </c>
      <c r="E43" s="12" t="s">
        <v>2730</v>
      </c>
      <c r="F43" s="12" t="s">
        <v>2731</v>
      </c>
      <c r="G43" s="29" t="s">
        <v>2732</v>
      </c>
      <c r="H43" s="25" t="s">
        <v>2085</v>
      </c>
      <c r="I43" s="25" t="s">
        <v>2733</v>
      </c>
      <c r="J43" s="25" t="s">
        <v>2281</v>
      </c>
      <c r="K43" s="25" t="s">
        <v>2281</v>
      </c>
      <c r="L43" s="25" t="s">
        <v>1988</v>
      </c>
      <c r="M43" s="12"/>
    </row>
    <row r="44" customFormat="false" ht="19.5" hidden="false" customHeight="true" outlineLevel="0" collapsed="false">
      <c r="A44" s="27" t="s">
        <v>2734</v>
      </c>
      <c r="B44" s="27" t="n">
        <v>10</v>
      </c>
      <c r="C44" s="9" t="s">
        <v>2735</v>
      </c>
      <c r="D44" s="9" t="s">
        <v>2736</v>
      </c>
      <c r="E44" s="9" t="s">
        <v>2737</v>
      </c>
      <c r="F44" s="9" t="s">
        <v>2738</v>
      </c>
      <c r="G44" s="30" t="s">
        <v>2739</v>
      </c>
      <c r="H44" s="27" t="s">
        <v>1955</v>
      </c>
      <c r="I44" s="27" t="s">
        <v>2740</v>
      </c>
      <c r="J44" s="27" t="s">
        <v>2741</v>
      </c>
      <c r="K44" s="27" t="s">
        <v>2741</v>
      </c>
      <c r="L44" s="27" t="s">
        <v>2028</v>
      </c>
      <c r="M44" s="9"/>
    </row>
    <row r="45" customFormat="false" ht="19.5" hidden="false" customHeight="true" outlineLevel="0" collapsed="false">
      <c r="A45" s="25" t="s">
        <v>2742</v>
      </c>
      <c r="B45" s="25" t="n">
        <v>11</v>
      </c>
      <c r="C45" s="12" t="s">
        <v>2743</v>
      </c>
      <c r="D45" s="12" t="s">
        <v>2744</v>
      </c>
      <c r="E45" s="12" t="s">
        <v>2745</v>
      </c>
      <c r="F45" s="12" t="s">
        <v>2746</v>
      </c>
      <c r="G45" s="29" t="s">
        <v>2747</v>
      </c>
      <c r="H45" s="25" t="s">
        <v>2748</v>
      </c>
      <c r="I45" s="25" t="s">
        <v>2749</v>
      </c>
      <c r="J45" s="25" t="s">
        <v>2281</v>
      </c>
      <c r="K45" s="25" t="s">
        <v>2281</v>
      </c>
      <c r="L45" s="25" t="s">
        <v>2260</v>
      </c>
      <c r="M45" s="12"/>
    </row>
    <row r="46" customFormat="false" ht="19.5" hidden="false" customHeight="true" outlineLevel="0" collapsed="false">
      <c r="A46" s="27" t="s">
        <v>2750</v>
      </c>
      <c r="B46" s="27" t="n">
        <v>12</v>
      </c>
      <c r="C46" s="9" t="s">
        <v>1339</v>
      </c>
      <c r="D46" s="9" t="s">
        <v>2751</v>
      </c>
      <c r="E46" s="9" t="s">
        <v>2752</v>
      </c>
      <c r="F46" s="9" t="s">
        <v>2753</v>
      </c>
      <c r="G46" s="30" t="s">
        <v>2754</v>
      </c>
      <c r="H46" s="27" t="s">
        <v>2755</v>
      </c>
      <c r="I46" s="27" t="s">
        <v>2756</v>
      </c>
      <c r="J46" s="27" t="s">
        <v>2281</v>
      </c>
      <c r="K46" s="27" t="s">
        <v>2281</v>
      </c>
      <c r="L46" s="27" t="s">
        <v>2260</v>
      </c>
      <c r="M46" s="9"/>
    </row>
    <row r="47" customFormat="false" ht="19.5" hidden="false" customHeight="true" outlineLevel="0" collapsed="false">
      <c r="A47" s="25" t="s">
        <v>2757</v>
      </c>
      <c r="B47" s="25" t="n">
        <v>13</v>
      </c>
      <c r="C47" s="12" t="s">
        <v>2758</v>
      </c>
      <c r="D47" s="12" t="s">
        <v>2759</v>
      </c>
      <c r="E47" s="12" t="s">
        <v>2753</v>
      </c>
      <c r="F47" s="12" t="s">
        <v>2760</v>
      </c>
      <c r="G47" s="29" t="s">
        <v>2761</v>
      </c>
      <c r="H47" s="25" t="s">
        <v>2052</v>
      </c>
      <c r="I47" s="25" t="s">
        <v>2756</v>
      </c>
      <c r="J47" s="25" t="s">
        <v>2281</v>
      </c>
      <c r="K47" s="25" t="s">
        <v>2281</v>
      </c>
      <c r="L47" s="25" t="s">
        <v>2260</v>
      </c>
      <c r="M47" s="12"/>
    </row>
    <row r="48" customFormat="false" ht="19.5" hidden="false" customHeight="true" outlineLevel="0" collapsed="false">
      <c r="A48" s="27" t="s">
        <v>2762</v>
      </c>
      <c r="B48" s="27" t="n">
        <v>14</v>
      </c>
      <c r="C48" s="9" t="s">
        <v>2763</v>
      </c>
      <c r="D48" s="9" t="s">
        <v>2764</v>
      </c>
      <c r="E48" s="9" t="s">
        <v>2765</v>
      </c>
      <c r="F48" s="9" t="s">
        <v>2766</v>
      </c>
      <c r="G48" s="30" t="s">
        <v>2767</v>
      </c>
      <c r="H48" s="27" t="s">
        <v>2768</v>
      </c>
      <c r="I48" s="27" t="s">
        <v>2710</v>
      </c>
      <c r="J48" s="27" t="s">
        <v>2281</v>
      </c>
      <c r="K48" s="27" t="s">
        <v>2281</v>
      </c>
      <c r="L48" s="27" t="s">
        <v>2238</v>
      </c>
      <c r="M48" s="9"/>
    </row>
    <row r="49" customFormat="false" ht="19.5" hidden="false" customHeight="true" outlineLevel="0" collapsed="false">
      <c r="A49" s="25" t="s">
        <v>2769</v>
      </c>
      <c r="B49" s="25" t="n">
        <v>15</v>
      </c>
      <c r="C49" s="12" t="s">
        <v>2770</v>
      </c>
      <c r="D49" s="12" t="s">
        <v>2771</v>
      </c>
      <c r="E49" s="12" t="s">
        <v>2772</v>
      </c>
      <c r="F49" s="12" t="s">
        <v>2773</v>
      </c>
      <c r="G49" s="29" t="s">
        <v>2774</v>
      </c>
      <c r="H49" s="25" t="s">
        <v>2768</v>
      </c>
      <c r="I49" s="25" t="s">
        <v>2775</v>
      </c>
      <c r="J49" s="25" t="s">
        <v>2281</v>
      </c>
      <c r="K49" s="25" t="s">
        <v>2281</v>
      </c>
      <c r="L49" s="25" t="s">
        <v>2260</v>
      </c>
      <c r="M49" s="12"/>
    </row>
    <row r="50" customFormat="false" ht="19.5" hidden="false" customHeight="true" outlineLevel="0" collapsed="false">
      <c r="A50" s="27" t="s">
        <v>2776</v>
      </c>
      <c r="B50" s="27" t="n">
        <v>16</v>
      </c>
      <c r="C50" s="9" t="s">
        <v>2777</v>
      </c>
      <c r="D50" s="9" t="s">
        <v>2778</v>
      </c>
      <c r="E50" s="9" t="s">
        <v>2779</v>
      </c>
      <c r="F50" s="9" t="s">
        <v>2772</v>
      </c>
      <c r="G50" s="30" t="s">
        <v>2780</v>
      </c>
      <c r="H50" s="27" t="s">
        <v>2700</v>
      </c>
      <c r="I50" s="27" t="s">
        <v>2756</v>
      </c>
      <c r="J50" s="27" t="s">
        <v>2281</v>
      </c>
      <c r="K50" s="27" t="s">
        <v>2281</v>
      </c>
      <c r="L50" s="27" t="s">
        <v>2227</v>
      </c>
      <c r="M50" s="9"/>
    </row>
    <row r="51" customFormat="false" ht="19.5" hidden="false" customHeight="true" outlineLevel="0" collapsed="false">
      <c r="A51" s="25" t="s">
        <v>2781</v>
      </c>
      <c r="B51" s="25" t="n">
        <v>17</v>
      </c>
      <c r="C51" s="12" t="s">
        <v>2782</v>
      </c>
      <c r="D51" s="12" t="s">
        <v>2783</v>
      </c>
      <c r="E51" s="12" t="s">
        <v>2784</v>
      </c>
      <c r="F51" s="12" t="s">
        <v>2779</v>
      </c>
      <c r="G51" s="29" t="s">
        <v>2785</v>
      </c>
      <c r="H51" s="25" t="s">
        <v>2700</v>
      </c>
      <c r="I51" s="25" t="s">
        <v>2756</v>
      </c>
      <c r="J51" s="25" t="s">
        <v>2281</v>
      </c>
      <c r="K51" s="25" t="s">
        <v>2281</v>
      </c>
      <c r="L51" s="25" t="s">
        <v>2238</v>
      </c>
      <c r="M51" s="12"/>
    </row>
    <row r="52" customFormat="false" ht="19.5" hidden="false" customHeight="true" outlineLevel="0" collapsed="false">
      <c r="A52" s="27" t="s">
        <v>2786</v>
      </c>
      <c r="B52" s="27" t="n">
        <v>18</v>
      </c>
      <c r="C52" s="9" t="s">
        <v>2787</v>
      </c>
      <c r="D52" s="9" t="s">
        <v>2788</v>
      </c>
      <c r="E52" s="9" t="s">
        <v>2789</v>
      </c>
      <c r="F52" s="9" t="s">
        <v>2784</v>
      </c>
      <c r="G52" s="30" t="s">
        <v>2790</v>
      </c>
      <c r="H52" s="27" t="s">
        <v>2791</v>
      </c>
      <c r="I52" s="27" t="s">
        <v>2756</v>
      </c>
      <c r="J52" s="27" t="s">
        <v>2281</v>
      </c>
      <c r="K52" s="27" t="s">
        <v>2281</v>
      </c>
      <c r="L52" s="27" t="s">
        <v>2241</v>
      </c>
      <c r="M52" s="9"/>
    </row>
    <row r="53" customFormat="false" ht="19.5" hidden="false" customHeight="true" outlineLevel="0" collapsed="false">
      <c r="A53" s="25" t="s">
        <v>2792</v>
      </c>
      <c r="B53" s="25" t="n">
        <v>19</v>
      </c>
      <c r="C53" s="12" t="s">
        <v>866</v>
      </c>
      <c r="D53" s="12" t="s">
        <v>2793</v>
      </c>
      <c r="E53" s="12" t="s">
        <v>2794</v>
      </c>
      <c r="F53" s="12" t="s">
        <v>2789</v>
      </c>
      <c r="G53" s="29" t="s">
        <v>2795</v>
      </c>
      <c r="H53" s="25" t="s">
        <v>2085</v>
      </c>
      <c r="I53" s="25" t="s">
        <v>2796</v>
      </c>
      <c r="J53" s="25" t="s">
        <v>2281</v>
      </c>
      <c r="K53" s="25" t="s">
        <v>2281</v>
      </c>
      <c r="L53" s="25" t="s">
        <v>2235</v>
      </c>
      <c r="M53" s="12"/>
    </row>
    <row r="54" customFormat="false" ht="19.5" hidden="false" customHeight="true" outlineLevel="0" collapsed="false">
      <c r="A54" s="27" t="s">
        <v>2797</v>
      </c>
      <c r="B54" s="27" t="n">
        <v>20</v>
      </c>
      <c r="C54" s="9" t="s">
        <v>2798</v>
      </c>
      <c r="D54" s="9" t="s">
        <v>2793</v>
      </c>
      <c r="E54" s="9" t="s">
        <v>2799</v>
      </c>
      <c r="F54" s="9" t="s">
        <v>2800</v>
      </c>
      <c r="G54" s="30" t="s">
        <v>2801</v>
      </c>
      <c r="H54" s="27" t="s">
        <v>2052</v>
      </c>
      <c r="I54" s="27" t="s">
        <v>2796</v>
      </c>
      <c r="J54" s="27" t="s">
        <v>2281</v>
      </c>
      <c r="K54" s="27" t="s">
        <v>2281</v>
      </c>
      <c r="L54" s="27" t="s">
        <v>2260</v>
      </c>
      <c r="M54" s="9"/>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42"/>
    <col collapsed="false" customWidth="true" hidden="false" outlineLevel="0" max="6" min="6" style="0" width="41"/>
    <col collapsed="false" customWidth="true" hidden="false" outlineLevel="0" max="9" min="7" style="0" width="42"/>
    <col collapsed="false" customWidth="true" hidden="false" outlineLevel="0" max="10" min="10" style="0" width="28"/>
    <col collapsed="false" customWidth="true" hidden="false" outlineLevel="0" max="11" min="11" style="0" width="42"/>
  </cols>
  <sheetData>
    <row r="1" customFormat="false" ht="27.75" hidden="false" customHeight="true" outlineLevel="0" collapsed="false">
      <c r="A1" s="1" t="s">
        <v>2802</v>
      </c>
      <c r="B1" s="1"/>
      <c r="C1" s="1"/>
      <c r="D1" s="1"/>
      <c r="E1" s="1"/>
      <c r="F1" s="1"/>
      <c r="G1" s="1"/>
      <c r="H1" s="1"/>
      <c r="I1" s="1"/>
      <c r="J1" s="1"/>
      <c r="K1" s="1"/>
    </row>
    <row r="2" customFormat="false" ht="19.5" hidden="false" customHeight="true" outlineLevel="0" collapsed="false">
      <c r="A2" s="2" t="s">
        <v>2803</v>
      </c>
      <c r="B2" s="2"/>
      <c r="C2" s="2"/>
      <c r="D2" s="2"/>
      <c r="E2" s="2"/>
      <c r="F2" s="2"/>
      <c r="G2" s="2"/>
      <c r="H2" s="2"/>
      <c r="I2" s="2"/>
      <c r="J2" s="2"/>
      <c r="K2" s="2"/>
    </row>
    <row r="4" customFormat="false" ht="24" hidden="false" customHeight="true" outlineLevel="0" collapsed="false">
      <c r="A4" s="24" t="s">
        <v>2804</v>
      </c>
      <c r="B4" s="7" t="s">
        <v>2805</v>
      </c>
      <c r="C4" s="7" t="s">
        <v>2806</v>
      </c>
      <c r="D4" s="7" t="s">
        <v>2807</v>
      </c>
      <c r="E4" s="7" t="s">
        <v>2808</v>
      </c>
      <c r="F4" s="24" t="s">
        <v>2809</v>
      </c>
      <c r="G4" s="24" t="s">
        <v>2810</v>
      </c>
      <c r="H4" s="24" t="s">
        <v>2811</v>
      </c>
      <c r="I4" s="7" t="s">
        <v>2812</v>
      </c>
      <c r="J4" s="24" t="s">
        <v>213</v>
      </c>
      <c r="K4" s="7" t="s">
        <v>2813</v>
      </c>
    </row>
    <row r="5" customFormat="false" ht="19.5" hidden="false" customHeight="true" outlineLevel="0" collapsed="false">
      <c r="A5" s="25" t="s">
        <v>2814</v>
      </c>
      <c r="B5" s="12" t="s">
        <v>1918</v>
      </c>
      <c r="C5" s="12" t="s">
        <v>2815</v>
      </c>
      <c r="D5" s="12" t="s">
        <v>2816</v>
      </c>
      <c r="E5" s="12" t="s">
        <v>2817</v>
      </c>
      <c r="F5" s="25" t="s">
        <v>2818</v>
      </c>
      <c r="G5" s="25" t="s">
        <v>2819</v>
      </c>
      <c r="H5" s="25" t="s">
        <v>2820</v>
      </c>
      <c r="I5" s="12" t="s">
        <v>2821</v>
      </c>
      <c r="J5" s="25" t="s">
        <v>139</v>
      </c>
      <c r="K5" s="22" t="s">
        <v>2822</v>
      </c>
    </row>
    <row r="6" customFormat="false" ht="19.5" hidden="false" customHeight="true" outlineLevel="0" collapsed="false">
      <c r="A6" s="27" t="s">
        <v>2823</v>
      </c>
      <c r="B6" s="9" t="s">
        <v>1918</v>
      </c>
      <c r="C6" s="9" t="s">
        <v>2815</v>
      </c>
      <c r="D6" s="9" t="s">
        <v>2824</v>
      </c>
      <c r="E6" s="9" t="s">
        <v>2825</v>
      </c>
      <c r="F6" s="27" t="s">
        <v>2826</v>
      </c>
      <c r="G6" s="27" t="s">
        <v>2827</v>
      </c>
      <c r="H6" s="27" t="s">
        <v>2828</v>
      </c>
      <c r="I6" s="9" t="s">
        <v>2829</v>
      </c>
      <c r="J6" s="27" t="s">
        <v>86</v>
      </c>
      <c r="K6" s="23" t="s">
        <v>2830</v>
      </c>
    </row>
    <row r="7" customFormat="false" ht="19.5" hidden="false" customHeight="true" outlineLevel="0" collapsed="false">
      <c r="A7" s="25" t="s">
        <v>2831</v>
      </c>
      <c r="B7" s="12" t="s">
        <v>462</v>
      </c>
      <c r="C7" s="12" t="s">
        <v>2832</v>
      </c>
      <c r="D7" s="12" t="s">
        <v>2833</v>
      </c>
      <c r="E7" s="12" t="s">
        <v>2834</v>
      </c>
      <c r="F7" s="25" t="s">
        <v>2818</v>
      </c>
      <c r="G7" s="25" t="s">
        <v>2835</v>
      </c>
      <c r="H7" s="25" t="s">
        <v>2836</v>
      </c>
      <c r="I7" s="12" t="s">
        <v>2837</v>
      </c>
      <c r="J7" s="25" t="s">
        <v>86</v>
      </c>
      <c r="K7" s="22" t="s">
        <v>2830</v>
      </c>
    </row>
    <row r="8" customFormat="false" ht="19.5" hidden="false" customHeight="true" outlineLevel="0" collapsed="false">
      <c r="A8" s="27" t="s">
        <v>2838</v>
      </c>
      <c r="B8" s="9" t="s">
        <v>1927</v>
      </c>
      <c r="C8" s="9" t="s">
        <v>2839</v>
      </c>
      <c r="D8" s="9" t="s">
        <v>2840</v>
      </c>
      <c r="E8" s="9" t="s">
        <v>2841</v>
      </c>
      <c r="F8" s="27" t="s">
        <v>2818</v>
      </c>
      <c r="G8" s="27" t="s">
        <v>2842</v>
      </c>
      <c r="H8" s="27" t="s">
        <v>2843</v>
      </c>
      <c r="I8" s="9" t="s">
        <v>2844</v>
      </c>
      <c r="J8" s="27" t="s">
        <v>86</v>
      </c>
      <c r="K8" s="23" t="s">
        <v>2845</v>
      </c>
    </row>
    <row r="9" customFormat="false" ht="19.5" hidden="false" customHeight="true" outlineLevel="0" collapsed="false">
      <c r="A9" s="25" t="s">
        <v>2846</v>
      </c>
      <c r="B9" s="12" t="s">
        <v>1927</v>
      </c>
      <c r="C9" s="12" t="s">
        <v>2847</v>
      </c>
      <c r="D9" s="12" t="s">
        <v>2848</v>
      </c>
      <c r="E9" s="12" t="s">
        <v>2849</v>
      </c>
      <c r="F9" s="25" t="s">
        <v>2850</v>
      </c>
      <c r="G9" s="25" t="s">
        <v>2851</v>
      </c>
      <c r="H9" s="25" t="s">
        <v>2852</v>
      </c>
      <c r="I9" s="12" t="s">
        <v>2853</v>
      </c>
      <c r="J9" s="25" t="s">
        <v>86</v>
      </c>
      <c r="K9" s="22" t="s">
        <v>2845</v>
      </c>
    </row>
    <row r="10" customFormat="false" ht="19.5" hidden="false" customHeight="true" outlineLevel="0" collapsed="false">
      <c r="A10" s="27" t="s">
        <v>2854</v>
      </c>
      <c r="B10" s="9" t="s">
        <v>2855</v>
      </c>
      <c r="C10" s="9" t="s">
        <v>2856</v>
      </c>
      <c r="D10" s="9" t="s">
        <v>2857</v>
      </c>
      <c r="E10" s="9" t="s">
        <v>2858</v>
      </c>
      <c r="F10" s="27" t="s">
        <v>2818</v>
      </c>
      <c r="G10" s="27" t="s">
        <v>2859</v>
      </c>
      <c r="H10" s="27" t="s">
        <v>2860</v>
      </c>
      <c r="I10" s="9" t="s">
        <v>2861</v>
      </c>
      <c r="J10" s="27" t="s">
        <v>122</v>
      </c>
      <c r="K10" s="23" t="s">
        <v>2822</v>
      </c>
    </row>
    <row r="11" customFormat="false" ht="19.5" hidden="false" customHeight="true" outlineLevel="0" collapsed="false">
      <c r="A11" s="25" t="s">
        <v>2862</v>
      </c>
      <c r="B11" s="12" t="s">
        <v>2863</v>
      </c>
      <c r="C11" s="12" t="s">
        <v>2864</v>
      </c>
      <c r="D11" s="12" t="s">
        <v>2865</v>
      </c>
      <c r="E11" s="12" t="s">
        <v>2866</v>
      </c>
      <c r="F11" s="25" t="s">
        <v>2818</v>
      </c>
      <c r="G11" s="25" t="s">
        <v>2867</v>
      </c>
      <c r="H11" s="25" t="s">
        <v>2868</v>
      </c>
      <c r="I11" s="12" t="s">
        <v>2869</v>
      </c>
      <c r="J11" s="25" t="s">
        <v>86</v>
      </c>
      <c r="K11" s="22" t="s">
        <v>93</v>
      </c>
    </row>
    <row r="12" customFormat="false" ht="19.5" hidden="false" customHeight="true" outlineLevel="0" collapsed="false">
      <c r="A12" s="27" t="s">
        <v>2870</v>
      </c>
      <c r="B12" s="9" t="s">
        <v>2871</v>
      </c>
      <c r="C12" s="9" t="s">
        <v>2872</v>
      </c>
      <c r="D12" s="9" t="s">
        <v>2873</v>
      </c>
      <c r="E12" s="9" t="s">
        <v>2874</v>
      </c>
      <c r="F12" s="27" t="s">
        <v>2875</v>
      </c>
      <c r="G12" s="27" t="s">
        <v>2876</v>
      </c>
      <c r="H12" s="27" t="s">
        <v>2877</v>
      </c>
      <c r="I12" s="9" t="s">
        <v>2878</v>
      </c>
      <c r="J12" s="27" t="s">
        <v>131</v>
      </c>
      <c r="K12" s="23" t="s">
        <v>129</v>
      </c>
    </row>
  </sheetData>
  <mergeCells count="2">
    <mergeCell ref="A1:K1"/>
    <mergeCell ref="A2:K2"/>
  </mergeCells>
  <hyperlinks>
    <hyperlink ref="K5" r:id="rId1" display="https://baodongthap.vn/tien-giang-chu-dong-giai-phap-ung-pho-han-man-a13295.html"/>
    <hyperlink ref="K6" r:id="rId2" display="https://baodongthap.vn/dong-thap-chu-dong-van-hanh-cong-trinh-thuy-loi-phong-chong-trieu-cuong-xam-nhap-man-dau-thang-2--a238315.html"/>
    <hyperlink ref="K7" r:id="rId3" display="https://baodongthap.vn/dong-thap-chu-dong-van-hanh-cong-trinh-thuy-loi-phong-chong-trieu-cuong-xam-nhap-man-dau-thang-2--a238315.html"/>
    <hyperlink ref="K8" r:id="rId4" display="https://www.sggp.org.vn/van-hanh-cong-trinh-thuy-loi-tru-nuoc-trong-vung-du-an-ngot-hoa-go-cong-tien-giang-post774932.html"/>
    <hyperlink ref="K9" r:id="rId5" display="https://www.sggp.org.vn/van-hanh-cong-trinh-thuy-loi-tru-nuoc-trong-vung-du-an-ngot-hoa-go-cong-tien-giang-post774932.html"/>
    <hyperlink ref="K10" r:id="rId6" display="https://baodongthap.vn/tien-giang-chu-dong-giai-phap-ung-pho-han-man-a13295.html"/>
    <hyperlink ref="K11" r:id="rId7" display="http://thuyloitiengiang.vn/en/web/thuyloitiengiang/chi-tiet-tin-tuc?id=522066"/>
    <hyperlink ref="K12" r:id="rId8" display="https://thuvienphapluat.vn/van-ban/Tai-nguyen-Moi-truong/Quyet-dinh-12-2023-QD-UBND-sua-doi-phan-cap-quan-ly-khai-thac-bao-ve-cong-trinh-thuy-loi-Tien-Giang-572905.aspx"/>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7"/>
    <col collapsed="false" customWidth="true" hidden="false" outlineLevel="0" max="4" min="3" style="0" width="42"/>
    <col collapsed="false" customWidth="true" hidden="false" outlineLevel="0" max="5" min="5" style="0" width="36"/>
    <col collapsed="false" customWidth="true" hidden="false" outlineLevel="0" max="6" min="6" style="0" width="39"/>
    <col collapsed="false" customWidth="true" hidden="false" outlineLevel="0" max="8" min="7" style="0" width="42"/>
  </cols>
  <sheetData>
    <row r="1" customFormat="false" ht="27.75" hidden="false" customHeight="true" outlineLevel="0" collapsed="false">
      <c r="A1" s="1" t="s">
        <v>2879</v>
      </c>
      <c r="B1" s="1"/>
      <c r="C1" s="1"/>
      <c r="D1" s="1"/>
      <c r="E1" s="1"/>
      <c r="F1" s="1"/>
      <c r="G1" s="1"/>
      <c r="H1" s="1"/>
    </row>
    <row r="2" customFormat="false" ht="19.5" hidden="false" customHeight="true" outlineLevel="0" collapsed="false">
      <c r="A2" s="2" t="s">
        <v>2880</v>
      </c>
      <c r="B2" s="2"/>
      <c r="C2" s="2"/>
      <c r="D2" s="2"/>
      <c r="E2" s="2"/>
      <c r="F2" s="2"/>
      <c r="G2" s="2"/>
      <c r="H2" s="2"/>
    </row>
    <row r="4" customFormat="false" ht="24" hidden="false" customHeight="true" outlineLevel="0" collapsed="false">
      <c r="A4" s="24" t="s">
        <v>2881</v>
      </c>
      <c r="B4" s="24" t="s">
        <v>2882</v>
      </c>
      <c r="C4" s="7" t="s">
        <v>205</v>
      </c>
      <c r="D4" s="7" t="s">
        <v>2883</v>
      </c>
      <c r="E4" s="24" t="s">
        <v>2884</v>
      </c>
      <c r="F4" s="24" t="s">
        <v>2885</v>
      </c>
      <c r="G4" s="7" t="s">
        <v>2886</v>
      </c>
      <c r="H4" s="7" t="s">
        <v>2887</v>
      </c>
    </row>
    <row r="5" customFormat="false" ht="19.5" hidden="false" customHeight="true" outlineLevel="0" collapsed="false">
      <c r="A5" s="25" t="s">
        <v>2888</v>
      </c>
      <c r="B5" s="25" t="s">
        <v>848</v>
      </c>
      <c r="C5" s="12" t="s">
        <v>2889</v>
      </c>
      <c r="D5" s="12" t="s">
        <v>2890</v>
      </c>
      <c r="E5" s="25" t="s">
        <v>2891</v>
      </c>
      <c r="F5" s="25" t="s">
        <v>2892</v>
      </c>
      <c r="G5" s="12" t="s">
        <v>2893</v>
      </c>
      <c r="H5" s="22" t="s">
        <v>849</v>
      </c>
    </row>
    <row r="6" customFormat="false" ht="19.5" hidden="false" customHeight="true" outlineLevel="0" collapsed="false">
      <c r="A6" s="27" t="s">
        <v>2894</v>
      </c>
      <c r="B6" s="27" t="s">
        <v>895</v>
      </c>
      <c r="C6" s="9" t="s">
        <v>2895</v>
      </c>
      <c r="D6" s="9" t="s">
        <v>2896</v>
      </c>
      <c r="E6" s="27" t="s">
        <v>2897</v>
      </c>
      <c r="F6" s="27" t="s">
        <v>2892</v>
      </c>
      <c r="G6" s="9" t="s">
        <v>2898</v>
      </c>
      <c r="H6" s="23" t="s">
        <v>896</v>
      </c>
    </row>
    <row r="7" customFormat="false" ht="19.5" hidden="false" customHeight="true" outlineLevel="0" collapsed="false">
      <c r="A7" s="25" t="s">
        <v>2899</v>
      </c>
      <c r="B7" s="25" t="s">
        <v>2900</v>
      </c>
      <c r="C7" s="12" t="s">
        <v>1918</v>
      </c>
      <c r="D7" s="12" t="s">
        <v>2901</v>
      </c>
      <c r="E7" s="25" t="s">
        <v>2902</v>
      </c>
      <c r="F7" s="25" t="s">
        <v>2903</v>
      </c>
      <c r="G7" s="12" t="s">
        <v>2904</v>
      </c>
      <c r="H7" s="22" t="s">
        <v>2905</v>
      </c>
    </row>
    <row r="8" customFormat="false" ht="19.5" hidden="false" customHeight="true" outlineLevel="0" collapsed="false">
      <c r="A8" s="27" t="s">
        <v>2906</v>
      </c>
      <c r="B8" s="27" t="s">
        <v>913</v>
      </c>
      <c r="C8" s="9" t="s">
        <v>2889</v>
      </c>
      <c r="D8" s="9" t="s">
        <v>2907</v>
      </c>
      <c r="E8" s="27" t="s">
        <v>2908</v>
      </c>
      <c r="F8" s="27" t="s">
        <v>2892</v>
      </c>
      <c r="G8" s="9" t="s">
        <v>2909</v>
      </c>
      <c r="H8" s="23" t="s">
        <v>914</v>
      </c>
    </row>
    <row r="9" customFormat="false" ht="19.5" hidden="false" customHeight="true" outlineLevel="0" collapsed="false">
      <c r="A9" s="25" t="s">
        <v>2910</v>
      </c>
      <c r="B9" s="25" t="s">
        <v>949</v>
      </c>
      <c r="C9" s="12" t="s">
        <v>2911</v>
      </c>
      <c r="D9" s="12" t="s">
        <v>2912</v>
      </c>
      <c r="E9" s="25" t="s">
        <v>2913</v>
      </c>
      <c r="F9" s="25" t="s">
        <v>2892</v>
      </c>
      <c r="G9" s="12" t="s">
        <v>2914</v>
      </c>
      <c r="H9" s="22" t="s">
        <v>950</v>
      </c>
    </row>
    <row r="10" customFormat="false" ht="19.5" hidden="false" customHeight="true" outlineLevel="0" collapsed="false">
      <c r="A10" s="27" t="s">
        <v>2915</v>
      </c>
      <c r="B10" s="27" t="s">
        <v>2916</v>
      </c>
      <c r="C10" s="9" t="s">
        <v>219</v>
      </c>
      <c r="D10" s="9" t="s">
        <v>844</v>
      </c>
      <c r="E10" s="27" t="s">
        <v>2917</v>
      </c>
      <c r="F10" s="27" t="s">
        <v>2892</v>
      </c>
      <c r="G10" s="9" t="s">
        <v>2918</v>
      </c>
      <c r="H10" s="23" t="s">
        <v>968</v>
      </c>
    </row>
    <row r="11" customFormat="false" ht="19.5" hidden="false" customHeight="true" outlineLevel="0" collapsed="false">
      <c r="A11" s="25" t="s">
        <v>2919</v>
      </c>
      <c r="B11" s="25" t="s">
        <v>1031</v>
      </c>
      <c r="C11" s="12" t="s">
        <v>2920</v>
      </c>
      <c r="D11" s="12" t="s">
        <v>2921</v>
      </c>
      <c r="E11" s="25" t="s">
        <v>2891</v>
      </c>
      <c r="F11" s="25" t="s">
        <v>2892</v>
      </c>
      <c r="G11" s="12" t="s">
        <v>2922</v>
      </c>
      <c r="H11" s="22" t="s">
        <v>1032</v>
      </c>
    </row>
    <row r="12" customFormat="false" ht="19.5" hidden="false" customHeight="true" outlineLevel="0" collapsed="false">
      <c r="A12" s="27" t="s">
        <v>2923</v>
      </c>
      <c r="B12" s="27" t="s">
        <v>1051</v>
      </c>
      <c r="C12" s="9" t="s">
        <v>219</v>
      </c>
      <c r="D12" s="9" t="s">
        <v>2924</v>
      </c>
      <c r="E12" s="27" t="s">
        <v>2891</v>
      </c>
      <c r="F12" s="27" t="s">
        <v>2892</v>
      </c>
      <c r="G12" s="9" t="s">
        <v>2925</v>
      </c>
      <c r="H12" s="23" t="s">
        <v>1052</v>
      </c>
    </row>
    <row r="13" customFormat="false" ht="19.5" hidden="false" customHeight="true" outlineLevel="0" collapsed="false">
      <c r="A13" s="25" t="s">
        <v>2926</v>
      </c>
      <c r="B13" s="25" t="s">
        <v>1070</v>
      </c>
      <c r="C13" s="12" t="s">
        <v>2889</v>
      </c>
      <c r="D13" s="12" t="s">
        <v>2927</v>
      </c>
      <c r="E13" s="25" t="s">
        <v>2913</v>
      </c>
      <c r="F13" s="25" t="s">
        <v>2892</v>
      </c>
      <c r="G13" s="12" t="s">
        <v>2928</v>
      </c>
      <c r="H13" s="22" t="s">
        <v>1071</v>
      </c>
    </row>
    <row r="14" customFormat="false" ht="19.5" hidden="false" customHeight="true" outlineLevel="0" collapsed="false">
      <c r="A14" s="27" t="s">
        <v>2929</v>
      </c>
      <c r="B14" s="27" t="s">
        <v>1078</v>
      </c>
      <c r="C14" s="9" t="s">
        <v>2889</v>
      </c>
      <c r="D14" s="9" t="s">
        <v>2930</v>
      </c>
      <c r="E14" s="27" t="s">
        <v>2931</v>
      </c>
      <c r="F14" s="27" t="s">
        <v>2892</v>
      </c>
      <c r="G14" s="9" t="s">
        <v>2932</v>
      </c>
      <c r="H14" s="23" t="s">
        <v>1079</v>
      </c>
    </row>
    <row r="15" customFormat="false" ht="19.5" hidden="false" customHeight="true" outlineLevel="0" collapsed="false">
      <c r="A15" s="25" t="s">
        <v>2933</v>
      </c>
      <c r="B15" s="25" t="s">
        <v>1194</v>
      </c>
      <c r="C15" s="12" t="s">
        <v>2934</v>
      </c>
      <c r="D15" s="12" t="s">
        <v>2935</v>
      </c>
      <c r="E15" s="25" t="s">
        <v>2931</v>
      </c>
      <c r="F15" s="25" t="s">
        <v>2892</v>
      </c>
      <c r="G15" s="12" t="s">
        <v>2936</v>
      </c>
      <c r="H15" s="22" t="s">
        <v>197</v>
      </c>
    </row>
    <row r="16" customFormat="false" ht="19.5" hidden="false" customHeight="true" outlineLevel="0" collapsed="false">
      <c r="A16" s="27" t="s">
        <v>2937</v>
      </c>
      <c r="B16" s="27" t="s">
        <v>1231</v>
      </c>
      <c r="C16" s="9" t="s">
        <v>2934</v>
      </c>
      <c r="D16" s="9" t="s">
        <v>2938</v>
      </c>
      <c r="E16" s="27" t="s">
        <v>2939</v>
      </c>
      <c r="F16" s="27" t="s">
        <v>2892</v>
      </c>
      <c r="G16" s="9" t="s">
        <v>2940</v>
      </c>
      <c r="H16" s="23" t="s">
        <v>664</v>
      </c>
    </row>
    <row r="17" customFormat="false" ht="19.5" hidden="false" customHeight="true" outlineLevel="0" collapsed="false">
      <c r="A17" s="25" t="s">
        <v>2941</v>
      </c>
      <c r="B17" s="25" t="s">
        <v>1246</v>
      </c>
      <c r="C17" s="12" t="s">
        <v>2934</v>
      </c>
      <c r="D17" s="12" t="s">
        <v>2938</v>
      </c>
      <c r="E17" s="25" t="s">
        <v>2939</v>
      </c>
      <c r="F17" s="25" t="s">
        <v>2892</v>
      </c>
      <c r="G17" s="12" t="s">
        <v>2942</v>
      </c>
      <c r="H17" s="22" t="s">
        <v>664</v>
      </c>
    </row>
    <row r="18" customFormat="false" ht="19.5" hidden="false" customHeight="true" outlineLevel="0" collapsed="false">
      <c r="A18" s="27" t="s">
        <v>2943</v>
      </c>
      <c r="B18" s="27" t="s">
        <v>1261</v>
      </c>
      <c r="C18" s="9" t="s">
        <v>2934</v>
      </c>
      <c r="D18" s="9" t="s">
        <v>2938</v>
      </c>
      <c r="E18" s="27" t="s">
        <v>2939</v>
      </c>
      <c r="F18" s="27" t="s">
        <v>2892</v>
      </c>
      <c r="G18" s="9" t="s">
        <v>2944</v>
      </c>
      <c r="H18" s="23" t="s">
        <v>681</v>
      </c>
    </row>
    <row r="19" customFormat="false" ht="19.5" hidden="false" customHeight="true" outlineLevel="0" collapsed="false">
      <c r="A19" s="25" t="s">
        <v>2945</v>
      </c>
      <c r="B19" s="25" t="s">
        <v>1276</v>
      </c>
      <c r="C19" s="12" t="s">
        <v>2934</v>
      </c>
      <c r="D19" s="12" t="s">
        <v>2938</v>
      </c>
      <c r="E19" s="25" t="s">
        <v>2939</v>
      </c>
      <c r="F19" s="25" t="s">
        <v>2892</v>
      </c>
      <c r="G19" s="12" t="s">
        <v>2946</v>
      </c>
      <c r="H19" s="22" t="s">
        <v>697</v>
      </c>
    </row>
    <row r="20" customFormat="false" ht="19.5" hidden="false" customHeight="true" outlineLevel="0" collapsed="false">
      <c r="A20" s="27" t="s">
        <v>2947</v>
      </c>
      <c r="B20" s="27" t="s">
        <v>1291</v>
      </c>
      <c r="C20" s="9" t="s">
        <v>2934</v>
      </c>
      <c r="D20" s="9" t="s">
        <v>2938</v>
      </c>
      <c r="E20" s="27" t="s">
        <v>2939</v>
      </c>
      <c r="F20" s="27" t="s">
        <v>2892</v>
      </c>
      <c r="G20" s="9" t="s">
        <v>2948</v>
      </c>
      <c r="H20" s="23" t="s">
        <v>713</v>
      </c>
    </row>
    <row r="21" customFormat="false" ht="19.5" hidden="false" customHeight="true" outlineLevel="0" collapsed="false">
      <c r="A21" s="25" t="s">
        <v>2949</v>
      </c>
      <c r="B21" s="25" t="s">
        <v>1306</v>
      </c>
      <c r="C21" s="12" t="s">
        <v>2934</v>
      </c>
      <c r="D21" s="12" t="s">
        <v>2938</v>
      </c>
      <c r="E21" s="25" t="s">
        <v>2939</v>
      </c>
      <c r="F21" s="25" t="s">
        <v>2892</v>
      </c>
      <c r="G21" s="12" t="s">
        <v>2950</v>
      </c>
      <c r="H21" s="22" t="s">
        <v>729</v>
      </c>
    </row>
    <row r="22" customFormat="false" ht="19.5" hidden="false" customHeight="true" outlineLevel="0" collapsed="false">
      <c r="A22" s="27" t="s">
        <v>2951</v>
      </c>
      <c r="B22" s="27" t="s">
        <v>1374</v>
      </c>
      <c r="C22" s="9" t="s">
        <v>219</v>
      </c>
      <c r="D22" s="9" t="s">
        <v>2952</v>
      </c>
      <c r="E22" s="27" t="s">
        <v>2953</v>
      </c>
      <c r="F22" s="27" t="s">
        <v>2892</v>
      </c>
      <c r="G22" s="9" t="s">
        <v>2954</v>
      </c>
      <c r="H22" s="23" t="s">
        <v>1326</v>
      </c>
    </row>
    <row r="23" customFormat="false" ht="19.5" hidden="false" customHeight="true" outlineLevel="0" collapsed="false">
      <c r="A23" s="25" t="s">
        <v>2955</v>
      </c>
      <c r="B23" s="25" t="s">
        <v>1374</v>
      </c>
      <c r="C23" s="12" t="s">
        <v>219</v>
      </c>
      <c r="D23" s="12" t="s">
        <v>2956</v>
      </c>
      <c r="E23" s="25" t="s">
        <v>2957</v>
      </c>
      <c r="F23" s="25" t="s">
        <v>2892</v>
      </c>
      <c r="G23" s="12" t="s">
        <v>2958</v>
      </c>
      <c r="H23" s="22" t="s">
        <v>1326</v>
      </c>
    </row>
    <row r="24" customFormat="false" ht="19.5" hidden="false" customHeight="true" outlineLevel="0" collapsed="false">
      <c r="A24" s="27" t="s">
        <v>2959</v>
      </c>
      <c r="B24" s="27" t="s">
        <v>1374</v>
      </c>
      <c r="C24" s="9" t="s">
        <v>219</v>
      </c>
      <c r="D24" s="9" t="s">
        <v>2960</v>
      </c>
      <c r="E24" s="27" t="s">
        <v>2961</v>
      </c>
      <c r="F24" s="27" t="s">
        <v>2892</v>
      </c>
      <c r="G24" s="9" t="s">
        <v>2962</v>
      </c>
      <c r="H24" s="23" t="s">
        <v>1326</v>
      </c>
    </row>
    <row r="25" customFormat="false" ht="19.5" hidden="false" customHeight="true" outlineLevel="0" collapsed="false">
      <c r="A25" s="25" t="s">
        <v>2963</v>
      </c>
      <c r="B25" s="25" t="s">
        <v>1374</v>
      </c>
      <c r="C25" s="12" t="s">
        <v>219</v>
      </c>
      <c r="D25" s="12" t="s">
        <v>2964</v>
      </c>
      <c r="E25" s="25" t="s">
        <v>2961</v>
      </c>
      <c r="F25" s="25" t="s">
        <v>2903</v>
      </c>
      <c r="G25" s="12" t="s">
        <v>2965</v>
      </c>
      <c r="H25" s="22" t="s">
        <v>1326</v>
      </c>
    </row>
    <row r="26" customFormat="false" ht="19.5" hidden="false" customHeight="true" outlineLevel="0" collapsed="false">
      <c r="A26" s="27" t="s">
        <v>2966</v>
      </c>
      <c r="B26" s="27" t="s">
        <v>1374</v>
      </c>
      <c r="C26" s="9" t="s">
        <v>2967</v>
      </c>
      <c r="D26" s="9" t="s">
        <v>2968</v>
      </c>
      <c r="E26" s="27" t="s">
        <v>2957</v>
      </c>
      <c r="F26" s="27" t="s">
        <v>2892</v>
      </c>
      <c r="G26" s="9" t="s">
        <v>2969</v>
      </c>
      <c r="H26" s="23" t="s">
        <v>1326</v>
      </c>
    </row>
    <row r="27" customFormat="false" ht="19.5" hidden="false" customHeight="true" outlineLevel="0" collapsed="false">
      <c r="A27" s="25" t="s">
        <v>2970</v>
      </c>
      <c r="B27" s="25" t="s">
        <v>1374</v>
      </c>
      <c r="C27" s="12" t="s">
        <v>2967</v>
      </c>
      <c r="D27" s="12" t="s">
        <v>2971</v>
      </c>
      <c r="E27" s="25" t="s">
        <v>2961</v>
      </c>
      <c r="F27" s="25" t="s">
        <v>2892</v>
      </c>
      <c r="G27" s="12" t="s">
        <v>2972</v>
      </c>
      <c r="H27" s="22" t="s">
        <v>1326</v>
      </c>
    </row>
    <row r="28" customFormat="false" ht="19.5" hidden="false" customHeight="true" outlineLevel="0" collapsed="false">
      <c r="A28" s="27" t="s">
        <v>2973</v>
      </c>
      <c r="B28" s="27" t="s">
        <v>1374</v>
      </c>
      <c r="C28" s="9" t="s">
        <v>2967</v>
      </c>
      <c r="D28" s="9" t="s">
        <v>2626</v>
      </c>
      <c r="E28" s="27" t="s">
        <v>2961</v>
      </c>
      <c r="F28" s="27" t="s">
        <v>2903</v>
      </c>
      <c r="G28" s="9" t="s">
        <v>2974</v>
      </c>
      <c r="H28" s="23" t="s">
        <v>1326</v>
      </c>
    </row>
    <row r="29" customFormat="false" ht="19.5" hidden="false" customHeight="true" outlineLevel="0" collapsed="false">
      <c r="A29" s="25" t="s">
        <v>2975</v>
      </c>
      <c r="B29" s="25" t="s">
        <v>1374</v>
      </c>
      <c r="C29" s="12" t="s">
        <v>2976</v>
      </c>
      <c r="D29" s="12" t="s">
        <v>2977</v>
      </c>
      <c r="E29" s="25" t="s">
        <v>2957</v>
      </c>
      <c r="F29" s="25" t="s">
        <v>2892</v>
      </c>
      <c r="G29" s="12" t="s">
        <v>2978</v>
      </c>
      <c r="H29" s="22" t="s">
        <v>1326</v>
      </c>
    </row>
    <row r="30" customFormat="false" ht="19.5" hidden="false" customHeight="true" outlineLevel="0" collapsed="false">
      <c r="A30" s="27" t="s">
        <v>2979</v>
      </c>
      <c r="B30" s="27" t="s">
        <v>1400</v>
      </c>
      <c r="C30" s="9" t="s">
        <v>219</v>
      </c>
      <c r="D30" s="9" t="s">
        <v>2952</v>
      </c>
      <c r="E30" s="27" t="s">
        <v>2953</v>
      </c>
      <c r="F30" s="27" t="s">
        <v>2892</v>
      </c>
      <c r="G30" s="9" t="s">
        <v>2980</v>
      </c>
      <c r="H30" s="23" t="s">
        <v>1383</v>
      </c>
    </row>
    <row r="31" customFormat="false" ht="19.5" hidden="false" customHeight="true" outlineLevel="0" collapsed="false">
      <c r="A31" s="25" t="s">
        <v>2981</v>
      </c>
      <c r="B31" s="25" t="s">
        <v>1400</v>
      </c>
      <c r="C31" s="12" t="s">
        <v>219</v>
      </c>
      <c r="D31" s="12" t="s">
        <v>2956</v>
      </c>
      <c r="E31" s="25" t="s">
        <v>2957</v>
      </c>
      <c r="F31" s="25" t="s">
        <v>2892</v>
      </c>
      <c r="G31" s="12" t="s">
        <v>2958</v>
      </c>
      <c r="H31" s="22" t="s">
        <v>1383</v>
      </c>
    </row>
    <row r="32" customFormat="false" ht="19.5" hidden="false" customHeight="true" outlineLevel="0" collapsed="false">
      <c r="A32" s="27" t="s">
        <v>2982</v>
      </c>
      <c r="B32" s="27" t="s">
        <v>1400</v>
      </c>
      <c r="C32" s="9" t="s">
        <v>219</v>
      </c>
      <c r="D32" s="9" t="s">
        <v>2960</v>
      </c>
      <c r="E32" s="27" t="s">
        <v>2961</v>
      </c>
      <c r="F32" s="27" t="s">
        <v>2892</v>
      </c>
      <c r="G32" s="9" t="s">
        <v>2972</v>
      </c>
      <c r="H32" s="23" t="s">
        <v>1383</v>
      </c>
    </row>
    <row r="33" customFormat="false" ht="19.5" hidden="false" customHeight="true" outlineLevel="0" collapsed="false">
      <c r="A33" s="25" t="s">
        <v>2983</v>
      </c>
      <c r="B33" s="25" t="s">
        <v>1400</v>
      </c>
      <c r="C33" s="12" t="s">
        <v>219</v>
      </c>
      <c r="D33" s="12" t="s">
        <v>2984</v>
      </c>
      <c r="E33" s="25" t="s">
        <v>2961</v>
      </c>
      <c r="F33" s="25" t="s">
        <v>2903</v>
      </c>
      <c r="G33" s="12" t="s">
        <v>2985</v>
      </c>
      <c r="H33" s="22" t="s">
        <v>1383</v>
      </c>
    </row>
    <row r="34" customFormat="false" ht="19.5" hidden="false" customHeight="true" outlineLevel="0" collapsed="false">
      <c r="A34" s="27" t="s">
        <v>2986</v>
      </c>
      <c r="B34" s="27" t="s">
        <v>1400</v>
      </c>
      <c r="C34" s="9" t="s">
        <v>2967</v>
      </c>
      <c r="D34" s="9" t="s">
        <v>2987</v>
      </c>
      <c r="E34" s="27" t="s">
        <v>2908</v>
      </c>
      <c r="F34" s="27" t="s">
        <v>2988</v>
      </c>
      <c r="G34" s="9" t="s">
        <v>2989</v>
      </c>
      <c r="H34" s="23" t="s">
        <v>1383</v>
      </c>
    </row>
    <row r="35" customFormat="false" ht="19.5" hidden="false" customHeight="true" outlineLevel="0" collapsed="false">
      <c r="A35" s="25" t="s">
        <v>2990</v>
      </c>
      <c r="B35" s="25" t="s">
        <v>1400</v>
      </c>
      <c r="C35" s="12" t="s">
        <v>2976</v>
      </c>
      <c r="D35" s="12" t="s">
        <v>2991</v>
      </c>
      <c r="E35" s="25" t="s">
        <v>2957</v>
      </c>
      <c r="F35" s="25" t="s">
        <v>2892</v>
      </c>
      <c r="G35" s="12" t="s">
        <v>2992</v>
      </c>
      <c r="H35" s="22" t="s">
        <v>1383</v>
      </c>
    </row>
    <row r="36" customFormat="false" ht="19.5" hidden="false" customHeight="true" outlineLevel="0" collapsed="false">
      <c r="A36" s="27" t="s">
        <v>2993</v>
      </c>
      <c r="B36" s="27" t="s">
        <v>1419</v>
      </c>
      <c r="C36" s="9" t="s">
        <v>219</v>
      </c>
      <c r="D36" s="9" t="s">
        <v>2994</v>
      </c>
      <c r="E36" s="27" t="s">
        <v>2957</v>
      </c>
      <c r="F36" s="27" t="s">
        <v>2892</v>
      </c>
      <c r="G36" s="9" t="s">
        <v>2958</v>
      </c>
      <c r="H36" s="23" t="s">
        <v>1376</v>
      </c>
    </row>
    <row r="37" customFormat="false" ht="19.5" hidden="false" customHeight="true" outlineLevel="0" collapsed="false">
      <c r="A37" s="25" t="s">
        <v>2995</v>
      </c>
      <c r="B37" s="25" t="s">
        <v>1419</v>
      </c>
      <c r="C37" s="12" t="s">
        <v>219</v>
      </c>
      <c r="D37" s="12" t="s">
        <v>2996</v>
      </c>
      <c r="E37" s="25" t="s">
        <v>2961</v>
      </c>
      <c r="F37" s="25" t="s">
        <v>2892</v>
      </c>
      <c r="G37" s="12" t="s">
        <v>2972</v>
      </c>
      <c r="H37" s="22" t="s">
        <v>1376</v>
      </c>
    </row>
    <row r="38" customFormat="false" ht="19.5" hidden="false" customHeight="true" outlineLevel="0" collapsed="false">
      <c r="A38" s="27" t="s">
        <v>2997</v>
      </c>
      <c r="B38" s="27" t="s">
        <v>1419</v>
      </c>
      <c r="C38" s="9" t="s">
        <v>219</v>
      </c>
      <c r="D38" s="9" t="s">
        <v>2952</v>
      </c>
      <c r="E38" s="27" t="s">
        <v>2998</v>
      </c>
      <c r="F38" s="27" t="s">
        <v>2903</v>
      </c>
      <c r="G38" s="9" t="s">
        <v>2999</v>
      </c>
      <c r="H38" s="23" t="s">
        <v>1376</v>
      </c>
    </row>
    <row r="39" customFormat="false" ht="19.5" hidden="false" customHeight="true" outlineLevel="0" collapsed="false">
      <c r="A39" s="25" t="s">
        <v>3000</v>
      </c>
      <c r="B39" s="25" t="s">
        <v>1419</v>
      </c>
      <c r="C39" s="12" t="s">
        <v>219</v>
      </c>
      <c r="D39" s="12" t="s">
        <v>3001</v>
      </c>
      <c r="E39" s="25" t="s">
        <v>2961</v>
      </c>
      <c r="F39" s="25" t="s">
        <v>2903</v>
      </c>
      <c r="G39" s="12" t="s">
        <v>3002</v>
      </c>
      <c r="H39" s="22" t="s">
        <v>1376</v>
      </c>
    </row>
    <row r="40" customFormat="false" ht="19.5" hidden="false" customHeight="true" outlineLevel="0" collapsed="false">
      <c r="A40" s="27" t="s">
        <v>3003</v>
      </c>
      <c r="B40" s="27" t="s">
        <v>1419</v>
      </c>
      <c r="C40" s="9" t="s">
        <v>2967</v>
      </c>
      <c r="D40" s="9" t="s">
        <v>3004</v>
      </c>
      <c r="E40" s="27" t="s">
        <v>2961</v>
      </c>
      <c r="F40" s="27" t="s">
        <v>2903</v>
      </c>
      <c r="G40" s="9" t="s">
        <v>3005</v>
      </c>
      <c r="H40" s="23" t="s">
        <v>1376</v>
      </c>
    </row>
    <row r="41" customFormat="false" ht="19.5" hidden="false" customHeight="true" outlineLevel="0" collapsed="false">
      <c r="A41" s="25" t="s">
        <v>3006</v>
      </c>
      <c r="B41" s="25" t="s">
        <v>1419</v>
      </c>
      <c r="C41" s="12" t="s">
        <v>2976</v>
      </c>
      <c r="D41" s="12" t="s">
        <v>2991</v>
      </c>
      <c r="E41" s="25" t="s">
        <v>2957</v>
      </c>
      <c r="F41" s="25" t="s">
        <v>2892</v>
      </c>
      <c r="G41" s="12" t="s">
        <v>2958</v>
      </c>
      <c r="H41" s="22" t="s">
        <v>1376</v>
      </c>
    </row>
    <row r="42" customFormat="false" ht="19.5" hidden="false" customHeight="true" outlineLevel="0" collapsed="false">
      <c r="A42" s="27" t="s">
        <v>3007</v>
      </c>
      <c r="B42" s="27" t="s">
        <v>1469</v>
      </c>
      <c r="C42" s="9" t="s">
        <v>219</v>
      </c>
      <c r="D42" s="9" t="s">
        <v>844</v>
      </c>
      <c r="E42" s="27" t="s">
        <v>2953</v>
      </c>
      <c r="F42" s="27" t="s">
        <v>2892</v>
      </c>
      <c r="G42" s="9" t="s">
        <v>3008</v>
      </c>
      <c r="H42" s="23" t="s">
        <v>1437</v>
      </c>
    </row>
    <row r="43" customFormat="false" ht="19.5" hidden="false" customHeight="true" outlineLevel="0" collapsed="false">
      <c r="A43" s="25" t="s">
        <v>3009</v>
      </c>
      <c r="B43" s="25" t="s">
        <v>1469</v>
      </c>
      <c r="C43" s="12" t="s">
        <v>219</v>
      </c>
      <c r="D43" s="12" t="s">
        <v>3010</v>
      </c>
      <c r="E43" s="25" t="s">
        <v>2961</v>
      </c>
      <c r="F43" s="25" t="s">
        <v>2892</v>
      </c>
      <c r="G43" s="12" t="s">
        <v>3011</v>
      </c>
      <c r="H43" s="22" t="s">
        <v>1437</v>
      </c>
    </row>
    <row r="44" customFormat="false" ht="19.5" hidden="false" customHeight="true" outlineLevel="0" collapsed="false">
      <c r="A44" s="27" t="s">
        <v>3012</v>
      </c>
      <c r="B44" s="27" t="s">
        <v>1469</v>
      </c>
      <c r="C44" s="9" t="s">
        <v>219</v>
      </c>
      <c r="D44" s="9" t="s">
        <v>3013</v>
      </c>
      <c r="E44" s="27" t="s">
        <v>3014</v>
      </c>
      <c r="F44" s="27" t="s">
        <v>2903</v>
      </c>
      <c r="G44" s="9" t="s">
        <v>3015</v>
      </c>
      <c r="H44" s="23" t="s">
        <v>1437</v>
      </c>
    </row>
    <row r="45" customFormat="false" ht="19.5" hidden="false" customHeight="true" outlineLevel="0" collapsed="false">
      <c r="A45" s="25" t="s">
        <v>3016</v>
      </c>
      <c r="B45" s="25" t="s">
        <v>1469</v>
      </c>
      <c r="C45" s="12" t="s">
        <v>2967</v>
      </c>
      <c r="D45" s="12" t="s">
        <v>3017</v>
      </c>
      <c r="E45" s="25" t="s">
        <v>2961</v>
      </c>
      <c r="F45" s="25" t="s">
        <v>2903</v>
      </c>
      <c r="G45" s="12" t="s">
        <v>3018</v>
      </c>
      <c r="H45" s="22" t="s">
        <v>1437</v>
      </c>
    </row>
    <row r="46" customFormat="false" ht="19.5" hidden="false" customHeight="true" outlineLevel="0" collapsed="false">
      <c r="A46" s="27" t="s">
        <v>3019</v>
      </c>
      <c r="B46" s="27" t="s">
        <v>1469</v>
      </c>
      <c r="C46" s="9" t="s">
        <v>3020</v>
      </c>
      <c r="D46" s="9" t="s">
        <v>2816</v>
      </c>
      <c r="E46" s="27" t="s">
        <v>2998</v>
      </c>
      <c r="F46" s="27" t="s">
        <v>2892</v>
      </c>
      <c r="G46" s="9" t="s">
        <v>3021</v>
      </c>
      <c r="H46" s="23" t="s">
        <v>1437</v>
      </c>
    </row>
    <row r="47" customFormat="false" ht="19.5" hidden="false" customHeight="true" outlineLevel="0" collapsed="false">
      <c r="A47" s="25" t="s">
        <v>3022</v>
      </c>
      <c r="B47" s="25" t="s">
        <v>1469</v>
      </c>
      <c r="C47" s="12" t="s">
        <v>3023</v>
      </c>
      <c r="D47" s="12" t="s">
        <v>3024</v>
      </c>
      <c r="E47" s="25" t="s">
        <v>2908</v>
      </c>
      <c r="F47" s="25" t="s">
        <v>2988</v>
      </c>
      <c r="G47" s="12" t="s">
        <v>3025</v>
      </c>
      <c r="H47" s="22" t="s">
        <v>1437</v>
      </c>
    </row>
    <row r="48" customFormat="false" ht="19.5" hidden="false" customHeight="true" outlineLevel="0" collapsed="false">
      <c r="A48" s="27" t="s">
        <v>3026</v>
      </c>
      <c r="B48" s="27" t="s">
        <v>1469</v>
      </c>
      <c r="C48" s="9" t="s">
        <v>3027</v>
      </c>
      <c r="D48" s="9" t="s">
        <v>3028</v>
      </c>
      <c r="E48" s="27" t="s">
        <v>2908</v>
      </c>
      <c r="F48" s="27" t="s">
        <v>2988</v>
      </c>
      <c r="G48" s="9" t="s">
        <v>3029</v>
      </c>
      <c r="H48" s="23" t="s">
        <v>1437</v>
      </c>
    </row>
    <row r="49" customFormat="false" ht="19.5" hidden="false" customHeight="true" outlineLevel="0" collapsed="false">
      <c r="A49" s="25" t="s">
        <v>3030</v>
      </c>
      <c r="B49" s="25" t="s">
        <v>1490</v>
      </c>
      <c r="C49" s="12" t="s">
        <v>219</v>
      </c>
      <c r="D49" s="12" t="s">
        <v>3031</v>
      </c>
      <c r="E49" s="25" t="s">
        <v>2961</v>
      </c>
      <c r="F49" s="25" t="s">
        <v>2892</v>
      </c>
      <c r="G49" s="12" t="s">
        <v>3032</v>
      </c>
      <c r="H49" s="22" t="s">
        <v>1476</v>
      </c>
    </row>
    <row r="50" customFormat="false" ht="19.5" hidden="false" customHeight="true" outlineLevel="0" collapsed="false">
      <c r="A50" s="27" t="s">
        <v>3033</v>
      </c>
      <c r="B50" s="27" t="s">
        <v>1490</v>
      </c>
      <c r="C50" s="9" t="s">
        <v>219</v>
      </c>
      <c r="D50" s="9" t="s">
        <v>3034</v>
      </c>
      <c r="E50" s="27" t="s">
        <v>3014</v>
      </c>
      <c r="F50" s="27" t="s">
        <v>2903</v>
      </c>
      <c r="G50" s="9" t="s">
        <v>3035</v>
      </c>
      <c r="H50" s="23" t="s">
        <v>1476</v>
      </c>
    </row>
    <row r="51" customFormat="false" ht="19.5" hidden="false" customHeight="true" outlineLevel="0" collapsed="false">
      <c r="A51" s="25" t="s">
        <v>3036</v>
      </c>
      <c r="B51" s="25" t="s">
        <v>1490</v>
      </c>
      <c r="C51" s="12" t="s">
        <v>2967</v>
      </c>
      <c r="D51" s="12" t="s">
        <v>3037</v>
      </c>
      <c r="E51" s="25" t="s">
        <v>3014</v>
      </c>
      <c r="F51" s="25" t="s">
        <v>2903</v>
      </c>
      <c r="G51" s="12" t="s">
        <v>3038</v>
      </c>
      <c r="H51" s="22" t="s">
        <v>1476</v>
      </c>
    </row>
    <row r="52" customFormat="false" ht="19.5" hidden="false" customHeight="true" outlineLevel="0" collapsed="false">
      <c r="A52" s="27" t="s">
        <v>3039</v>
      </c>
      <c r="B52" s="27" t="s">
        <v>1490</v>
      </c>
      <c r="C52" s="9" t="s">
        <v>3040</v>
      </c>
      <c r="D52" s="9" t="s">
        <v>3041</v>
      </c>
      <c r="E52" s="27" t="s">
        <v>3042</v>
      </c>
      <c r="F52" s="27" t="s">
        <v>2892</v>
      </c>
      <c r="G52" s="9" t="s">
        <v>3043</v>
      </c>
      <c r="H52" s="23" t="s">
        <v>1476</v>
      </c>
    </row>
    <row r="53" customFormat="false" ht="19.5" hidden="false" customHeight="true" outlineLevel="0" collapsed="false">
      <c r="A53" s="25" t="s">
        <v>3044</v>
      </c>
      <c r="B53" s="25" t="s">
        <v>1510</v>
      </c>
      <c r="C53" s="12" t="s">
        <v>219</v>
      </c>
      <c r="D53" s="12" t="s">
        <v>3045</v>
      </c>
      <c r="E53" s="25" t="s">
        <v>2897</v>
      </c>
      <c r="F53" s="25" t="s">
        <v>2988</v>
      </c>
      <c r="G53" s="12" t="s">
        <v>3046</v>
      </c>
      <c r="H53" s="22" t="s">
        <v>1497</v>
      </c>
    </row>
    <row r="54" customFormat="false" ht="19.5" hidden="false" customHeight="true" outlineLevel="0" collapsed="false">
      <c r="A54" s="27" t="s">
        <v>3047</v>
      </c>
      <c r="B54" s="27" t="s">
        <v>1510</v>
      </c>
      <c r="C54" s="9" t="s">
        <v>2967</v>
      </c>
      <c r="D54" s="9" t="s">
        <v>3048</v>
      </c>
      <c r="E54" s="27" t="s">
        <v>2908</v>
      </c>
      <c r="F54" s="27" t="s">
        <v>2988</v>
      </c>
      <c r="G54" s="9" t="s">
        <v>3049</v>
      </c>
      <c r="H54" s="23" t="s">
        <v>1497</v>
      </c>
    </row>
    <row r="55" customFormat="false" ht="19.5" hidden="false" customHeight="true" outlineLevel="0" collapsed="false">
      <c r="A55" s="25" t="s">
        <v>3050</v>
      </c>
      <c r="B55" s="25" t="s">
        <v>1510</v>
      </c>
      <c r="C55" s="12" t="s">
        <v>3051</v>
      </c>
      <c r="D55" s="12" t="s">
        <v>3052</v>
      </c>
      <c r="E55" s="25" t="s">
        <v>2897</v>
      </c>
      <c r="F55" s="25" t="s">
        <v>2892</v>
      </c>
      <c r="G55" s="12" t="s">
        <v>3053</v>
      </c>
      <c r="H55" s="22" t="s">
        <v>1497</v>
      </c>
    </row>
    <row r="56" customFormat="false" ht="19.5" hidden="false" customHeight="true" outlineLevel="0" collapsed="false">
      <c r="A56" s="27" t="s">
        <v>3054</v>
      </c>
      <c r="B56" s="27" t="s">
        <v>1532</v>
      </c>
      <c r="C56" s="9" t="s">
        <v>219</v>
      </c>
      <c r="D56" s="9" t="s">
        <v>3055</v>
      </c>
      <c r="E56" s="27" t="s">
        <v>3056</v>
      </c>
      <c r="F56" s="27" t="s">
        <v>2892</v>
      </c>
      <c r="G56" s="9" t="s">
        <v>3057</v>
      </c>
      <c r="H56" s="23" t="s">
        <v>1517</v>
      </c>
    </row>
    <row r="57" customFormat="false" ht="19.5" hidden="false" customHeight="true" outlineLevel="0" collapsed="false">
      <c r="A57" s="25" t="s">
        <v>3058</v>
      </c>
      <c r="B57" s="25" t="s">
        <v>1532</v>
      </c>
      <c r="C57" s="12" t="s">
        <v>219</v>
      </c>
      <c r="D57" s="12" t="s">
        <v>3059</v>
      </c>
      <c r="E57" s="25" t="s">
        <v>2998</v>
      </c>
      <c r="F57" s="25" t="s">
        <v>2903</v>
      </c>
      <c r="G57" s="12" t="s">
        <v>3060</v>
      </c>
      <c r="H57" s="22" t="s">
        <v>1517</v>
      </c>
    </row>
    <row r="58" customFormat="false" ht="19.5" hidden="false" customHeight="true" outlineLevel="0" collapsed="false">
      <c r="A58" s="27" t="s">
        <v>3061</v>
      </c>
      <c r="B58" s="27" t="s">
        <v>1532</v>
      </c>
      <c r="C58" s="9" t="s">
        <v>3051</v>
      </c>
      <c r="D58" s="9" t="s">
        <v>3062</v>
      </c>
      <c r="E58" s="27" t="s">
        <v>3063</v>
      </c>
      <c r="F58" s="27" t="s">
        <v>2892</v>
      </c>
      <c r="G58" s="9" t="s">
        <v>3064</v>
      </c>
      <c r="H58" s="23" t="s">
        <v>1517</v>
      </c>
    </row>
    <row r="59" customFormat="false" ht="19.5" hidden="false" customHeight="true" outlineLevel="0" collapsed="false">
      <c r="A59" s="25" t="s">
        <v>3065</v>
      </c>
      <c r="B59" s="25" t="s">
        <v>1555</v>
      </c>
      <c r="C59" s="12" t="s">
        <v>219</v>
      </c>
      <c r="D59" s="12" t="s">
        <v>3066</v>
      </c>
      <c r="E59" s="25" t="s">
        <v>3056</v>
      </c>
      <c r="F59" s="25" t="s">
        <v>2892</v>
      </c>
      <c r="G59" s="12" t="s">
        <v>3067</v>
      </c>
      <c r="H59" s="22" t="s">
        <v>93</v>
      </c>
    </row>
    <row r="60" customFormat="false" ht="19.5" hidden="false" customHeight="true" outlineLevel="0" collapsed="false">
      <c r="A60" s="27" t="s">
        <v>3068</v>
      </c>
      <c r="B60" s="27" t="s">
        <v>1555</v>
      </c>
      <c r="C60" s="9" t="s">
        <v>219</v>
      </c>
      <c r="D60" s="9" t="s">
        <v>3069</v>
      </c>
      <c r="E60" s="27" t="s">
        <v>2998</v>
      </c>
      <c r="F60" s="27" t="s">
        <v>2903</v>
      </c>
      <c r="G60" s="9" t="s">
        <v>3070</v>
      </c>
      <c r="H60" s="23" t="s">
        <v>93</v>
      </c>
    </row>
    <row r="61" customFormat="false" ht="19.5" hidden="false" customHeight="true" outlineLevel="0" collapsed="false">
      <c r="A61" s="25" t="s">
        <v>3071</v>
      </c>
      <c r="B61" s="25" t="s">
        <v>1555</v>
      </c>
      <c r="C61" s="12" t="s">
        <v>2976</v>
      </c>
      <c r="D61" s="12" t="s">
        <v>3072</v>
      </c>
      <c r="E61" s="25" t="s">
        <v>3063</v>
      </c>
      <c r="F61" s="25" t="s">
        <v>2988</v>
      </c>
      <c r="G61" s="12" t="s">
        <v>3073</v>
      </c>
      <c r="H61" s="22" t="s">
        <v>93</v>
      </c>
    </row>
  </sheetData>
  <mergeCells count="2">
    <mergeCell ref="A1:H1"/>
    <mergeCell ref="A2:H2"/>
  </mergeCells>
  <hyperlinks>
    <hyperlink ref="H5" r:id="rId1" display="https://baodongthap.vn/tien-giang-man-xam-nhap-den-khu-vuc-cau-phu-phong-huyen-chau-thanh-a57394.html"/>
    <hyperlink ref="H6" r:id="rId2" display="https://nhandan.vn/tien-giang-quyet-liet-trien-khai-cac-giai-phap-phong-chong-han-man-post799553.html"/>
    <hyperlink ref="H7" r:id="rId3" display="https://dantri.com.vn/thoi-su/vi-sao-cong-ngan-man-lon-thu-2-mien-tay-mo-chua-lau-lai-dong-20240508151519524.htm"/>
    <hyperlink ref="H8" r:id="rId4" display="https://baodongthap.vn/tien-giang-xam-nhap-man-tiep-tuc-tang-theo-ky-trieu-cuong-a70919.html"/>
    <hyperlink ref="H9" r:id="rId5" display="https://baodongthap.vn/tien-giang-xam-nhap-man-giam-cac-cong-thuoc-du-an-bao-dinh-van-hanh-lay-nuoc-a72711.html"/>
    <hyperlink ref="H10" r:id="rId6" display="https://baodongthap.vn/tien-giang-xam-nhap-man-tang-tro-lai-a34313.html"/>
    <hyperlink ref="H11" r:id="rId7" display="https://baodongthap.vn/tien-giang-xam-nhap-man-giam-theo-trieu-cuong-nhung-van-o-muc-cao-a1148.html"/>
    <hyperlink ref="H12" r:id="rId8" display="https://baodongthap.vn/tien-giang-muc-nuoc-tai-cac-kinh-rach-vung-ngot-hoa-go-cong-dang-dan-xuong-thap-a4427.html"/>
    <hyperlink ref="H13" r:id="rId9" display="https://baodongthap.vn/xam-nhap-man-giam-cong-xuan-hoa-lay-gan-nuoc-ngot-a5603.html"/>
    <hyperlink ref="H14" r:id="rId10" display="https://baodongthap.vn/xam-nhap-man-dat-dinh-va-se-giam-dan-trong-nhung-ngay-toi-a6163.html"/>
    <hyperlink ref="H15" r:id="rId11" display="https://phongchongthientaitiengiang.vn/?p=7360"/>
    <hyperlink ref="H16" r:id="rId12" display="http://thuyloitiengiang.vn/web/thuyloitiengiang/chi-tiet-tin-tuc?id=455328"/>
    <hyperlink ref="H17" r:id="rId13" display="http://thuyloitiengiang.vn/web/thuyloitiengiang/chi-tiet-tin-tuc?id=455328"/>
    <hyperlink ref="H18" r:id="rId14" display="http://thuyloitiengiang.vn/web/thuyloitiengiang/chi-tiet-tin-tuc?id=455332"/>
    <hyperlink ref="H19" r:id="rId15" display="http://thuyloitiengiang.vn/web/thuyloitiengiang/chi-tiet-tin-tuc?id=455336"/>
    <hyperlink ref="H20" r:id="rId16" display="http://thuyloitiengiang.vn/web/thuyloitiengiang/chi-tiet-tin-tuc?id=455412"/>
    <hyperlink ref="H21" r:id="rId17" display="http://thuyloitiengiang.vn/web/thuyloitiengiang/chi-tiet-tin-tuc?id=455416"/>
    <hyperlink ref="H22" r:id="rId18" display="http://thuyloitiengiang.vn/web/thuyloitiengiang/chi-tiet-tin-tuc?id=464847"/>
    <hyperlink ref="H23" r:id="rId19" display="http://thuyloitiengiang.vn/web/thuyloitiengiang/chi-tiet-tin-tuc?id=464847"/>
    <hyperlink ref="H24" r:id="rId20" display="http://thuyloitiengiang.vn/web/thuyloitiengiang/chi-tiet-tin-tuc?id=464847"/>
    <hyperlink ref="H25" r:id="rId21" display="http://thuyloitiengiang.vn/web/thuyloitiengiang/chi-tiet-tin-tuc?id=464847"/>
    <hyperlink ref="H26" r:id="rId22" display="http://thuyloitiengiang.vn/web/thuyloitiengiang/chi-tiet-tin-tuc?id=464847"/>
    <hyperlink ref="H27" r:id="rId23" display="http://thuyloitiengiang.vn/web/thuyloitiengiang/chi-tiet-tin-tuc?id=464847"/>
    <hyperlink ref="H28" r:id="rId24" display="http://thuyloitiengiang.vn/web/thuyloitiengiang/chi-tiet-tin-tuc?id=464847"/>
    <hyperlink ref="H29" r:id="rId25" display="http://thuyloitiengiang.vn/web/thuyloitiengiang/chi-tiet-tin-tuc?id=464847"/>
    <hyperlink ref="H30" r:id="rId26" display="http://thuyloitiengiang.vn/web/thuyloitiengiang/chi-tiet-tin-tuc?id=464851"/>
    <hyperlink ref="H31" r:id="rId27" display="http://thuyloitiengiang.vn/web/thuyloitiengiang/chi-tiet-tin-tuc?id=464851"/>
    <hyperlink ref="H32" r:id="rId28" display="http://thuyloitiengiang.vn/web/thuyloitiengiang/chi-tiet-tin-tuc?id=464851"/>
    <hyperlink ref="H33" r:id="rId29" display="http://thuyloitiengiang.vn/web/thuyloitiengiang/chi-tiet-tin-tuc?id=464851"/>
    <hyperlink ref="H34" r:id="rId30" display="http://thuyloitiengiang.vn/web/thuyloitiengiang/chi-tiet-tin-tuc?id=464851"/>
    <hyperlink ref="H35" r:id="rId31" display="http://thuyloitiengiang.vn/web/thuyloitiengiang/chi-tiet-tin-tuc?id=464851"/>
    <hyperlink ref="H36" r:id="rId32" display="http://thuyloitiengiang.vn/web/thuyloitiengiang/chi-tiet-tin-tuc?id=464854"/>
    <hyperlink ref="H37" r:id="rId33" display="http://thuyloitiengiang.vn/web/thuyloitiengiang/chi-tiet-tin-tuc?id=464854"/>
    <hyperlink ref="H38" r:id="rId34" display="http://thuyloitiengiang.vn/web/thuyloitiengiang/chi-tiet-tin-tuc?id=464854"/>
    <hyperlink ref="H39" r:id="rId35" display="http://thuyloitiengiang.vn/web/thuyloitiengiang/chi-tiet-tin-tuc?id=464854"/>
    <hyperlink ref="H40" r:id="rId36" display="http://thuyloitiengiang.vn/web/thuyloitiengiang/chi-tiet-tin-tuc?id=464854"/>
    <hyperlink ref="H41" r:id="rId37" display="http://thuyloitiengiang.vn/web/thuyloitiengiang/chi-tiet-tin-tuc?id=464854"/>
    <hyperlink ref="H42" r:id="rId38" display="http://thuyloitiengiang.vn/ja/web/thuyloitiengiang/chi-tiet-tin-tuc?id=520619"/>
    <hyperlink ref="H43" r:id="rId39" display="http://thuyloitiengiang.vn/ja/web/thuyloitiengiang/chi-tiet-tin-tuc?id=520619"/>
    <hyperlink ref="H44" r:id="rId40" display="http://thuyloitiengiang.vn/ja/web/thuyloitiengiang/chi-tiet-tin-tuc?id=520619"/>
    <hyperlink ref="H45" r:id="rId41" display="http://thuyloitiengiang.vn/ja/web/thuyloitiengiang/chi-tiet-tin-tuc?id=520619"/>
    <hyperlink ref="H46" r:id="rId42" display="http://thuyloitiengiang.vn/ja/web/thuyloitiengiang/chi-tiet-tin-tuc?id=520619"/>
    <hyperlink ref="H47" r:id="rId43" display="http://thuyloitiengiang.vn/ja/web/thuyloitiengiang/chi-tiet-tin-tuc?id=520619"/>
    <hyperlink ref="H48" r:id="rId44" display="http://thuyloitiengiang.vn/ja/web/thuyloitiengiang/chi-tiet-tin-tuc?id=520619"/>
    <hyperlink ref="H49" r:id="rId45" display="http://thuyloitiengiang.vn/ja/web/thuyloitiengiang/chi-tiet-tin-tuc?id=520621"/>
    <hyperlink ref="H50" r:id="rId46" display="http://thuyloitiengiang.vn/ja/web/thuyloitiengiang/chi-tiet-tin-tuc?id=520621"/>
    <hyperlink ref="H51" r:id="rId47" display="http://thuyloitiengiang.vn/ja/web/thuyloitiengiang/chi-tiet-tin-tuc?id=520621"/>
    <hyperlink ref="H52" r:id="rId48" display="http://thuyloitiengiang.vn/ja/web/thuyloitiengiang/chi-tiet-tin-tuc?id=520621"/>
    <hyperlink ref="H53" r:id="rId49" display="http://thuyloitiengiang.vn/ja/web/thuyloitiengiang/chi-tiet-tin-tuc?id=520623"/>
    <hyperlink ref="H54" r:id="rId50" display="http://thuyloitiengiang.vn/ja/web/thuyloitiengiang/chi-tiet-tin-tuc?id=520623"/>
    <hyperlink ref="H55" r:id="rId51" display="http://thuyloitiengiang.vn/ja/web/thuyloitiengiang/chi-tiet-tin-tuc?id=520623"/>
    <hyperlink ref="H56" r:id="rId52" display="http://thuyloitiengiang.vn/en/web/thuyloitiengiang/chi-tiet-tin-tuc?id=520630"/>
    <hyperlink ref="H57" r:id="rId53" display="http://thuyloitiengiang.vn/en/web/thuyloitiengiang/chi-tiet-tin-tuc?id=520630"/>
    <hyperlink ref="H58" r:id="rId54" display="http://thuyloitiengiang.vn/en/web/thuyloitiengiang/chi-tiet-tin-tuc?id=520630"/>
    <hyperlink ref="H59" r:id="rId55" display="http://thuyloitiengiang.vn/en/web/thuyloitiengiang/chi-tiet-tin-tuc?id=522066"/>
    <hyperlink ref="H60" r:id="rId56" display="http://thuyloitiengiang.vn/en/web/thuyloitiengiang/chi-tiet-tin-tuc?id=522066"/>
    <hyperlink ref="H61" r:id="rId57" display="http://thuyloitiengiang.vn/en/web/thuyloitiengiang/chi-tiet-tin-tuc?id=522066"/>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3"/>
    <col collapsed="false" customWidth="true" hidden="false" outlineLevel="0" max="4" min="4" style="0" width="12"/>
    <col collapsed="false" customWidth="true" hidden="false" outlineLevel="0" max="5" min="5" style="0" width="26"/>
    <col collapsed="false" customWidth="true" hidden="false" outlineLevel="0" max="6" min="6" style="0" width="42"/>
    <col collapsed="false" customWidth="true" hidden="false" outlineLevel="0" max="7" min="7" style="0" width="18"/>
    <col collapsed="false" customWidth="true" hidden="false" outlineLevel="0" max="8" min="8" style="0" width="35"/>
    <col collapsed="false" customWidth="true" hidden="false" outlineLevel="0" max="9" min="9" style="0" width="32"/>
    <col collapsed="false" customWidth="true" hidden="false" outlineLevel="0" max="10" min="10" style="0" width="41"/>
    <col collapsed="false" customWidth="true" hidden="false" outlineLevel="0" max="12" min="11" style="0" width="25"/>
    <col collapsed="false" customWidth="true" hidden="false" outlineLevel="0" max="13" min="13" style="0" width="28"/>
    <col collapsed="false" customWidth="true" hidden="false" outlineLevel="0" max="14" min="14" style="0" width="40"/>
    <col collapsed="false" customWidth="true" hidden="false" outlineLevel="0" max="15" min="15" style="0" width="27"/>
    <col collapsed="false" customWidth="true" hidden="false" outlineLevel="0" max="16" min="16" style="0" width="28"/>
    <col collapsed="false" customWidth="true" hidden="false" outlineLevel="0" max="18" min="17" style="0" width="42"/>
  </cols>
  <sheetData>
    <row r="1" customFormat="false" ht="27.75" hidden="false" customHeight="true" outlineLevel="0" collapsed="false">
      <c r="A1" s="1" t="s">
        <v>3074</v>
      </c>
      <c r="B1" s="1"/>
      <c r="C1" s="1"/>
      <c r="D1" s="1"/>
      <c r="E1" s="1"/>
      <c r="F1" s="1"/>
      <c r="G1" s="1"/>
      <c r="H1" s="1"/>
      <c r="I1" s="1"/>
      <c r="J1" s="1"/>
      <c r="K1" s="1"/>
      <c r="L1" s="1"/>
      <c r="M1" s="1"/>
      <c r="N1" s="1"/>
      <c r="O1" s="1"/>
      <c r="P1" s="1"/>
      <c r="Q1" s="1"/>
      <c r="R1" s="1"/>
    </row>
    <row r="2" customFormat="false" ht="19.5" hidden="false" customHeight="true" outlineLevel="0" collapsed="false">
      <c r="A2" s="2" t="s">
        <v>3075</v>
      </c>
      <c r="B2" s="2"/>
      <c r="C2" s="2"/>
      <c r="D2" s="2"/>
      <c r="E2" s="2"/>
      <c r="F2" s="2"/>
      <c r="G2" s="2"/>
      <c r="H2" s="2"/>
      <c r="I2" s="2"/>
      <c r="J2" s="2"/>
      <c r="K2" s="2"/>
      <c r="L2" s="2"/>
      <c r="M2" s="2"/>
      <c r="N2" s="2"/>
      <c r="O2" s="2"/>
      <c r="P2" s="2"/>
      <c r="Q2" s="2"/>
      <c r="R2" s="2"/>
    </row>
    <row r="4" customFormat="false" ht="24" hidden="false" customHeight="true" outlineLevel="0" collapsed="false">
      <c r="A4" s="24" t="s">
        <v>613</v>
      </c>
      <c r="B4" s="24" t="s">
        <v>3076</v>
      </c>
      <c r="C4" s="24" t="s">
        <v>3077</v>
      </c>
      <c r="D4" s="24" t="s">
        <v>1574</v>
      </c>
      <c r="E4" s="24" t="s">
        <v>201</v>
      </c>
      <c r="F4" s="7" t="s">
        <v>3078</v>
      </c>
      <c r="G4" s="24" t="s">
        <v>616</v>
      </c>
      <c r="H4" s="24" t="s">
        <v>617</v>
      </c>
      <c r="I4" s="24" t="s">
        <v>3079</v>
      </c>
      <c r="J4" s="8" t="s">
        <v>3080</v>
      </c>
      <c r="K4" s="8" t="s">
        <v>3081</v>
      </c>
      <c r="L4" s="8" t="s">
        <v>3082</v>
      </c>
      <c r="M4" s="8" t="s">
        <v>3083</v>
      </c>
      <c r="N4" s="24" t="s">
        <v>3084</v>
      </c>
      <c r="O4" s="24" t="s">
        <v>77</v>
      </c>
      <c r="P4" s="24" t="s">
        <v>3085</v>
      </c>
      <c r="Q4" s="7" t="s">
        <v>3086</v>
      </c>
      <c r="R4" s="7" t="s">
        <v>214</v>
      </c>
    </row>
    <row r="5" customFormat="false" ht="19.5" hidden="false" customHeight="true" outlineLevel="0" collapsed="false">
      <c r="A5" s="25" t="s">
        <v>3087</v>
      </c>
      <c r="B5" s="25" t="s">
        <v>3088</v>
      </c>
      <c r="C5" s="25" t="s">
        <v>3089</v>
      </c>
      <c r="D5" s="25" t="s">
        <v>3090</v>
      </c>
      <c r="E5" s="25" t="s">
        <v>257</v>
      </c>
      <c r="F5" s="12" t="s">
        <v>3091</v>
      </c>
      <c r="G5" s="25" t="s">
        <v>1353</v>
      </c>
      <c r="H5" s="25" t="s">
        <v>3092</v>
      </c>
      <c r="I5" s="25" t="s">
        <v>3093</v>
      </c>
      <c r="J5" s="14" t="n">
        <v>1.02</v>
      </c>
      <c r="K5" s="29"/>
      <c r="L5" s="29"/>
      <c r="M5" s="14" t="n">
        <v>-0.17</v>
      </c>
      <c r="N5" s="25" t="s">
        <v>3094</v>
      </c>
      <c r="O5" s="25" t="s">
        <v>86</v>
      </c>
      <c r="P5" s="25" t="s">
        <v>1580</v>
      </c>
      <c r="Q5" s="22" t="s">
        <v>1326</v>
      </c>
      <c r="R5" s="12" t="s">
        <v>3095</v>
      </c>
    </row>
    <row r="6" customFormat="false" ht="19.5" hidden="false" customHeight="true" outlineLevel="0" collapsed="false">
      <c r="A6" s="27" t="s">
        <v>3096</v>
      </c>
      <c r="B6" s="27" t="s">
        <v>3088</v>
      </c>
      <c r="C6" s="27" t="s">
        <v>3089</v>
      </c>
      <c r="D6" s="27" t="s">
        <v>3090</v>
      </c>
      <c r="E6" s="27" t="s">
        <v>257</v>
      </c>
      <c r="F6" s="9" t="s">
        <v>3091</v>
      </c>
      <c r="G6" s="27" t="s">
        <v>1353</v>
      </c>
      <c r="H6" s="27" t="s">
        <v>3097</v>
      </c>
      <c r="I6" s="27" t="s">
        <v>3098</v>
      </c>
      <c r="J6" s="11" t="n">
        <v>-1.04</v>
      </c>
      <c r="K6" s="30"/>
      <c r="L6" s="30"/>
      <c r="M6" s="11" t="n">
        <v>0.08</v>
      </c>
      <c r="N6" s="27" t="s">
        <v>3094</v>
      </c>
      <c r="O6" s="27" t="s">
        <v>86</v>
      </c>
      <c r="P6" s="27" t="s">
        <v>1580</v>
      </c>
      <c r="Q6" s="23" t="s">
        <v>1326</v>
      </c>
      <c r="R6" s="9" t="s">
        <v>3095</v>
      </c>
    </row>
    <row r="7" customFormat="false" ht="19.5" hidden="false" customHeight="true" outlineLevel="0" collapsed="false">
      <c r="A7" s="25" t="s">
        <v>3099</v>
      </c>
      <c r="B7" s="25" t="s">
        <v>3088</v>
      </c>
      <c r="C7" s="25" t="s">
        <v>3089</v>
      </c>
      <c r="D7" s="25" t="s">
        <v>3090</v>
      </c>
      <c r="E7" s="25" t="s">
        <v>257</v>
      </c>
      <c r="F7" s="12" t="s">
        <v>3091</v>
      </c>
      <c r="G7" s="25" t="s">
        <v>1353</v>
      </c>
      <c r="H7" s="25" t="s">
        <v>3100</v>
      </c>
      <c r="I7" s="25" t="s">
        <v>3093</v>
      </c>
      <c r="J7" s="14" t="n">
        <v>0.93</v>
      </c>
      <c r="K7" s="29"/>
      <c r="L7" s="29"/>
      <c r="M7" s="14" t="n">
        <v>-0.05</v>
      </c>
      <c r="N7" s="25" t="s">
        <v>3094</v>
      </c>
      <c r="O7" s="25" t="s">
        <v>86</v>
      </c>
      <c r="P7" s="25" t="s">
        <v>1580</v>
      </c>
      <c r="Q7" s="22" t="s">
        <v>1326</v>
      </c>
      <c r="R7" s="12" t="s">
        <v>3095</v>
      </c>
    </row>
    <row r="8" customFormat="false" ht="19.5" hidden="false" customHeight="true" outlineLevel="0" collapsed="false">
      <c r="A8" s="27" t="s">
        <v>3101</v>
      </c>
      <c r="B8" s="27" t="s">
        <v>3088</v>
      </c>
      <c r="C8" s="27" t="s">
        <v>3089</v>
      </c>
      <c r="D8" s="27" t="s">
        <v>3090</v>
      </c>
      <c r="E8" s="27" t="s">
        <v>257</v>
      </c>
      <c r="F8" s="9" t="s">
        <v>3091</v>
      </c>
      <c r="G8" s="27" t="s">
        <v>1374</v>
      </c>
      <c r="H8" s="27" t="s">
        <v>3102</v>
      </c>
      <c r="I8" s="27" t="s">
        <v>3098</v>
      </c>
      <c r="J8" s="11" t="n">
        <v>0.48</v>
      </c>
      <c r="K8" s="30"/>
      <c r="L8" s="30"/>
      <c r="M8" s="11" t="n">
        <v>0.24</v>
      </c>
      <c r="N8" s="27" t="s">
        <v>3094</v>
      </c>
      <c r="O8" s="27" t="s">
        <v>86</v>
      </c>
      <c r="P8" s="27" t="s">
        <v>1580</v>
      </c>
      <c r="Q8" s="23" t="s">
        <v>1326</v>
      </c>
      <c r="R8" s="9" t="s">
        <v>3095</v>
      </c>
    </row>
    <row r="9" customFormat="false" ht="19.5" hidden="false" customHeight="true" outlineLevel="0" collapsed="false">
      <c r="A9" s="25" t="s">
        <v>3103</v>
      </c>
      <c r="B9" s="25" t="s">
        <v>3088</v>
      </c>
      <c r="C9" s="25" t="s">
        <v>3089</v>
      </c>
      <c r="D9" s="25" t="s">
        <v>3090</v>
      </c>
      <c r="E9" s="25" t="s">
        <v>257</v>
      </c>
      <c r="F9" s="12" t="s">
        <v>3091</v>
      </c>
      <c r="G9" s="25" t="s">
        <v>1374</v>
      </c>
      <c r="H9" s="25" t="s">
        <v>3104</v>
      </c>
      <c r="I9" s="25" t="s">
        <v>3093</v>
      </c>
      <c r="J9" s="14" t="n">
        <v>0.92</v>
      </c>
      <c r="K9" s="29"/>
      <c r="L9" s="29"/>
      <c r="M9" s="14" t="n">
        <v>-0.1</v>
      </c>
      <c r="N9" s="25" t="s">
        <v>3094</v>
      </c>
      <c r="O9" s="25" t="s">
        <v>86</v>
      </c>
      <c r="P9" s="25" t="s">
        <v>1580</v>
      </c>
      <c r="Q9" s="22" t="s">
        <v>1383</v>
      </c>
      <c r="R9" s="12" t="s">
        <v>3095</v>
      </c>
    </row>
    <row r="10" customFormat="false" ht="19.5" hidden="false" customHeight="true" outlineLevel="0" collapsed="false">
      <c r="A10" s="27" t="s">
        <v>3105</v>
      </c>
      <c r="B10" s="27" t="s">
        <v>3088</v>
      </c>
      <c r="C10" s="27" t="s">
        <v>3089</v>
      </c>
      <c r="D10" s="27" t="s">
        <v>3090</v>
      </c>
      <c r="E10" s="27" t="s">
        <v>257</v>
      </c>
      <c r="F10" s="9" t="s">
        <v>3091</v>
      </c>
      <c r="G10" s="27" t="s">
        <v>1374</v>
      </c>
      <c r="H10" s="27" t="s">
        <v>1475</v>
      </c>
      <c r="I10" s="27" t="s">
        <v>3098</v>
      </c>
      <c r="J10" s="11" t="n">
        <v>-1.01</v>
      </c>
      <c r="K10" s="30"/>
      <c r="L10" s="30"/>
      <c r="M10" s="11" t="n">
        <v>0.03</v>
      </c>
      <c r="N10" s="27" t="s">
        <v>3094</v>
      </c>
      <c r="O10" s="27" t="s">
        <v>86</v>
      </c>
      <c r="P10" s="27" t="s">
        <v>1580</v>
      </c>
      <c r="Q10" s="23" t="s">
        <v>1383</v>
      </c>
      <c r="R10" s="9" t="s">
        <v>3095</v>
      </c>
    </row>
    <row r="11" customFormat="false" ht="19.5" hidden="false" customHeight="true" outlineLevel="0" collapsed="false">
      <c r="A11" s="25" t="s">
        <v>3106</v>
      </c>
      <c r="B11" s="25" t="s">
        <v>3088</v>
      </c>
      <c r="C11" s="25" t="s">
        <v>3089</v>
      </c>
      <c r="D11" s="25" t="s">
        <v>3090</v>
      </c>
      <c r="E11" s="25" t="s">
        <v>257</v>
      </c>
      <c r="F11" s="12" t="s">
        <v>3091</v>
      </c>
      <c r="G11" s="25" t="s">
        <v>1374</v>
      </c>
      <c r="H11" s="25" t="s">
        <v>3107</v>
      </c>
      <c r="I11" s="25" t="s">
        <v>3093</v>
      </c>
      <c r="J11" s="14" t="n">
        <v>0.96</v>
      </c>
      <c r="K11" s="29"/>
      <c r="L11" s="29"/>
      <c r="M11" s="14" t="n">
        <v>0.03</v>
      </c>
      <c r="N11" s="25" t="s">
        <v>3094</v>
      </c>
      <c r="O11" s="25" t="s">
        <v>86</v>
      </c>
      <c r="P11" s="25" t="s">
        <v>1580</v>
      </c>
      <c r="Q11" s="22" t="s">
        <v>1383</v>
      </c>
      <c r="R11" s="12" t="s">
        <v>3095</v>
      </c>
    </row>
    <row r="12" customFormat="false" ht="19.5" hidden="false" customHeight="true" outlineLevel="0" collapsed="false">
      <c r="A12" s="27" t="s">
        <v>3108</v>
      </c>
      <c r="B12" s="27" t="s">
        <v>3088</v>
      </c>
      <c r="C12" s="27" t="s">
        <v>3089</v>
      </c>
      <c r="D12" s="27" t="s">
        <v>3090</v>
      </c>
      <c r="E12" s="27" t="s">
        <v>257</v>
      </c>
      <c r="F12" s="9" t="s">
        <v>3091</v>
      </c>
      <c r="G12" s="27" t="s">
        <v>1400</v>
      </c>
      <c r="H12" s="27" t="s">
        <v>3109</v>
      </c>
      <c r="I12" s="27" t="s">
        <v>3098</v>
      </c>
      <c r="J12" s="11" t="n">
        <v>0.3</v>
      </c>
      <c r="K12" s="30"/>
      <c r="L12" s="30"/>
      <c r="M12" s="11" t="n">
        <v>-0.18</v>
      </c>
      <c r="N12" s="27" t="s">
        <v>3094</v>
      </c>
      <c r="O12" s="27" t="s">
        <v>86</v>
      </c>
      <c r="P12" s="27" t="s">
        <v>1580</v>
      </c>
      <c r="Q12" s="23" t="s">
        <v>1383</v>
      </c>
      <c r="R12" s="9" t="s">
        <v>3095</v>
      </c>
    </row>
    <row r="13" customFormat="false" ht="19.5" hidden="false" customHeight="true" outlineLevel="0" collapsed="false">
      <c r="A13" s="25" t="s">
        <v>3110</v>
      </c>
      <c r="B13" s="25" t="s">
        <v>3088</v>
      </c>
      <c r="C13" s="25" t="s">
        <v>3089</v>
      </c>
      <c r="D13" s="25" t="s">
        <v>3090</v>
      </c>
      <c r="E13" s="25" t="s">
        <v>257</v>
      </c>
      <c r="F13" s="12" t="s">
        <v>3091</v>
      </c>
      <c r="G13" s="25" t="s">
        <v>1400</v>
      </c>
      <c r="H13" s="25" t="s">
        <v>3111</v>
      </c>
      <c r="I13" s="25" t="s">
        <v>3098</v>
      </c>
      <c r="J13" s="14" t="n">
        <v>-0.98</v>
      </c>
      <c r="K13" s="29"/>
      <c r="L13" s="29"/>
      <c r="M13" s="14" t="n">
        <v>-0.03</v>
      </c>
      <c r="N13" s="25" t="s">
        <v>3094</v>
      </c>
      <c r="O13" s="25" t="s">
        <v>86</v>
      </c>
      <c r="P13" s="25" t="s">
        <v>1580</v>
      </c>
      <c r="Q13" s="22" t="s">
        <v>1376</v>
      </c>
      <c r="R13" s="12" t="s">
        <v>3095</v>
      </c>
    </row>
    <row r="14" customFormat="false" ht="19.5" hidden="false" customHeight="true" outlineLevel="0" collapsed="false">
      <c r="A14" s="27" t="s">
        <v>3112</v>
      </c>
      <c r="B14" s="27" t="s">
        <v>3088</v>
      </c>
      <c r="C14" s="27" t="s">
        <v>3089</v>
      </c>
      <c r="D14" s="27" t="s">
        <v>3090</v>
      </c>
      <c r="E14" s="27" t="s">
        <v>257</v>
      </c>
      <c r="F14" s="9" t="s">
        <v>3091</v>
      </c>
      <c r="G14" s="27" t="s">
        <v>1419</v>
      </c>
      <c r="H14" s="27" t="s">
        <v>3113</v>
      </c>
      <c r="I14" s="27" t="s">
        <v>3093</v>
      </c>
      <c r="J14" s="11" t="n">
        <v>0.97</v>
      </c>
      <c r="K14" s="30"/>
      <c r="L14" s="30"/>
      <c r="M14" s="11" t="n">
        <v>0.01</v>
      </c>
      <c r="N14" s="27" t="s">
        <v>3094</v>
      </c>
      <c r="O14" s="27" t="s">
        <v>86</v>
      </c>
      <c r="P14" s="27" t="s">
        <v>1580</v>
      </c>
      <c r="Q14" s="23" t="s">
        <v>1376</v>
      </c>
      <c r="R14" s="9" t="s">
        <v>3095</v>
      </c>
    </row>
    <row r="15" customFormat="false" ht="19.5" hidden="false" customHeight="true" outlineLevel="0" collapsed="false">
      <c r="A15" s="25" t="s">
        <v>3114</v>
      </c>
      <c r="B15" s="25" t="s">
        <v>3088</v>
      </c>
      <c r="C15" s="25" t="s">
        <v>3089</v>
      </c>
      <c r="D15" s="25" t="s">
        <v>3090</v>
      </c>
      <c r="E15" s="25" t="s">
        <v>257</v>
      </c>
      <c r="F15" s="12" t="s">
        <v>3091</v>
      </c>
      <c r="G15" s="25" t="s">
        <v>1450</v>
      </c>
      <c r="H15" s="25" t="s">
        <v>3115</v>
      </c>
      <c r="I15" s="25" t="s">
        <v>3098</v>
      </c>
      <c r="J15" s="14" t="n">
        <v>-0.18</v>
      </c>
      <c r="K15" s="29"/>
      <c r="L15" s="29"/>
      <c r="M15" s="14" t="n">
        <v>-0.32</v>
      </c>
      <c r="N15" s="25" t="s">
        <v>3094</v>
      </c>
      <c r="O15" s="25" t="s">
        <v>86</v>
      </c>
      <c r="P15" s="25" t="s">
        <v>1580</v>
      </c>
      <c r="Q15" s="22" t="s">
        <v>1437</v>
      </c>
      <c r="R15" s="12" t="s">
        <v>3095</v>
      </c>
    </row>
    <row r="16" customFormat="false" ht="19.5" hidden="false" customHeight="true" outlineLevel="0" collapsed="false">
      <c r="A16" s="27" t="s">
        <v>3116</v>
      </c>
      <c r="B16" s="27" t="s">
        <v>3088</v>
      </c>
      <c r="C16" s="27" t="s">
        <v>3089</v>
      </c>
      <c r="D16" s="27" t="s">
        <v>3090</v>
      </c>
      <c r="E16" s="27" t="s">
        <v>257</v>
      </c>
      <c r="F16" s="9" t="s">
        <v>3091</v>
      </c>
      <c r="G16" s="27" t="s">
        <v>1450</v>
      </c>
      <c r="H16" s="27" t="s">
        <v>3117</v>
      </c>
      <c r="I16" s="27" t="s">
        <v>3093</v>
      </c>
      <c r="J16" s="11" t="n">
        <v>1.22</v>
      </c>
      <c r="K16" s="30"/>
      <c r="L16" s="30"/>
      <c r="M16" s="11" t="n">
        <v>0.29</v>
      </c>
      <c r="N16" s="27" t="s">
        <v>3094</v>
      </c>
      <c r="O16" s="27" t="s">
        <v>86</v>
      </c>
      <c r="P16" s="27" t="s">
        <v>1580</v>
      </c>
      <c r="Q16" s="23" t="s">
        <v>1437</v>
      </c>
      <c r="R16" s="9" t="s">
        <v>3095</v>
      </c>
    </row>
    <row r="17" customFormat="false" ht="19.5" hidden="false" customHeight="true" outlineLevel="0" collapsed="false">
      <c r="A17" s="25" t="s">
        <v>3118</v>
      </c>
      <c r="B17" s="25" t="s">
        <v>3088</v>
      </c>
      <c r="C17" s="25" t="s">
        <v>3089</v>
      </c>
      <c r="D17" s="25" t="s">
        <v>3090</v>
      </c>
      <c r="E17" s="25" t="s">
        <v>257</v>
      </c>
      <c r="F17" s="12" t="s">
        <v>3091</v>
      </c>
      <c r="G17" s="25" t="s">
        <v>1450</v>
      </c>
      <c r="H17" s="25" t="s">
        <v>3119</v>
      </c>
      <c r="I17" s="25" t="s">
        <v>3098</v>
      </c>
      <c r="J17" s="14" t="n">
        <v>-1.05</v>
      </c>
      <c r="K17" s="29"/>
      <c r="L17" s="29"/>
      <c r="M17" s="14" t="n">
        <v>0.14</v>
      </c>
      <c r="N17" s="25" t="s">
        <v>3094</v>
      </c>
      <c r="O17" s="25" t="s">
        <v>86</v>
      </c>
      <c r="P17" s="25" t="s">
        <v>1580</v>
      </c>
      <c r="Q17" s="22" t="s">
        <v>1437</v>
      </c>
      <c r="R17" s="12" t="s">
        <v>3095</v>
      </c>
    </row>
    <row r="18" customFormat="false" ht="19.5" hidden="false" customHeight="true" outlineLevel="0" collapsed="false">
      <c r="A18" s="27" t="s">
        <v>3120</v>
      </c>
      <c r="B18" s="27" t="s">
        <v>3088</v>
      </c>
      <c r="C18" s="27" t="s">
        <v>3089</v>
      </c>
      <c r="D18" s="27" t="s">
        <v>3090</v>
      </c>
      <c r="E18" s="27" t="s">
        <v>257</v>
      </c>
      <c r="F18" s="9" t="s">
        <v>3091</v>
      </c>
      <c r="G18" s="27" t="s">
        <v>1469</v>
      </c>
      <c r="H18" s="27" t="s">
        <v>3109</v>
      </c>
      <c r="I18" s="27" t="s">
        <v>3093</v>
      </c>
      <c r="J18" s="11" t="n">
        <v>1.44</v>
      </c>
      <c r="K18" s="30"/>
      <c r="L18" s="30"/>
      <c r="M18" s="11" t="n">
        <v>0.04</v>
      </c>
      <c r="N18" s="27" t="s">
        <v>3094</v>
      </c>
      <c r="O18" s="27" t="s">
        <v>86</v>
      </c>
      <c r="P18" s="27" t="s">
        <v>1580</v>
      </c>
      <c r="Q18" s="23" t="s">
        <v>1437</v>
      </c>
      <c r="R18" s="9" t="s">
        <v>3095</v>
      </c>
    </row>
    <row r="19" customFormat="false" ht="19.5" hidden="false" customHeight="true" outlineLevel="0" collapsed="false">
      <c r="A19" s="25" t="s">
        <v>3121</v>
      </c>
      <c r="B19" s="25" t="s">
        <v>3088</v>
      </c>
      <c r="C19" s="25" t="s">
        <v>3089</v>
      </c>
      <c r="D19" s="25" t="s">
        <v>3090</v>
      </c>
      <c r="E19" s="25" t="s">
        <v>257</v>
      </c>
      <c r="F19" s="12" t="s">
        <v>3091</v>
      </c>
      <c r="G19" s="25" t="s">
        <v>1469</v>
      </c>
      <c r="H19" s="25" t="s">
        <v>3122</v>
      </c>
      <c r="I19" s="25" t="s">
        <v>3098</v>
      </c>
      <c r="J19" s="14" t="n">
        <v>-0.46</v>
      </c>
      <c r="K19" s="29"/>
      <c r="L19" s="29"/>
      <c r="M19" s="14" t="n">
        <v>-0.28</v>
      </c>
      <c r="N19" s="25" t="s">
        <v>3094</v>
      </c>
      <c r="O19" s="25" t="s">
        <v>86</v>
      </c>
      <c r="P19" s="25" t="s">
        <v>1580</v>
      </c>
      <c r="Q19" s="22" t="s">
        <v>1476</v>
      </c>
      <c r="R19" s="12" t="s">
        <v>3095</v>
      </c>
    </row>
    <row r="20" customFormat="false" ht="19.5" hidden="false" customHeight="true" outlineLevel="0" collapsed="false">
      <c r="A20" s="27" t="s">
        <v>3123</v>
      </c>
      <c r="B20" s="27" t="s">
        <v>3088</v>
      </c>
      <c r="C20" s="27" t="s">
        <v>3089</v>
      </c>
      <c r="D20" s="27" t="s">
        <v>3090</v>
      </c>
      <c r="E20" s="27" t="s">
        <v>257</v>
      </c>
      <c r="F20" s="9" t="s">
        <v>3091</v>
      </c>
      <c r="G20" s="27" t="s">
        <v>1469</v>
      </c>
      <c r="H20" s="27" t="s">
        <v>1467</v>
      </c>
      <c r="I20" s="27" t="s">
        <v>3093</v>
      </c>
      <c r="J20" s="11" t="n">
        <v>1.51</v>
      </c>
      <c r="K20" s="30"/>
      <c r="L20" s="30"/>
      <c r="M20" s="11" t="n">
        <v>0.29</v>
      </c>
      <c r="N20" s="27" t="s">
        <v>3094</v>
      </c>
      <c r="O20" s="27" t="s">
        <v>86</v>
      </c>
      <c r="P20" s="27" t="s">
        <v>1580</v>
      </c>
      <c r="Q20" s="23" t="s">
        <v>1476</v>
      </c>
      <c r="R20" s="9" t="s">
        <v>3095</v>
      </c>
    </row>
    <row r="21" customFormat="false" ht="19.5" hidden="false" customHeight="true" outlineLevel="0" collapsed="false">
      <c r="A21" s="25" t="s">
        <v>3124</v>
      </c>
      <c r="B21" s="25" t="s">
        <v>3088</v>
      </c>
      <c r="C21" s="25" t="s">
        <v>3089</v>
      </c>
      <c r="D21" s="25" t="s">
        <v>3090</v>
      </c>
      <c r="E21" s="25" t="s">
        <v>257</v>
      </c>
      <c r="F21" s="12" t="s">
        <v>3091</v>
      </c>
      <c r="G21" s="25" t="s">
        <v>1469</v>
      </c>
      <c r="H21" s="25" t="s">
        <v>1371</v>
      </c>
      <c r="I21" s="25" t="s">
        <v>3098</v>
      </c>
      <c r="J21" s="14" t="n">
        <v>-0.78</v>
      </c>
      <c r="K21" s="29"/>
      <c r="L21" s="29"/>
      <c r="M21" s="14" t="n">
        <v>0.27</v>
      </c>
      <c r="N21" s="25" t="s">
        <v>3094</v>
      </c>
      <c r="O21" s="25" t="s">
        <v>86</v>
      </c>
      <c r="P21" s="25" t="s">
        <v>1580</v>
      </c>
      <c r="Q21" s="22" t="s">
        <v>1476</v>
      </c>
      <c r="R21" s="12" t="s">
        <v>3095</v>
      </c>
    </row>
    <row r="22" customFormat="false" ht="19.5" hidden="false" customHeight="true" outlineLevel="0" collapsed="false">
      <c r="A22" s="27" t="s">
        <v>3125</v>
      </c>
      <c r="B22" s="27" t="s">
        <v>3088</v>
      </c>
      <c r="C22" s="27" t="s">
        <v>3089</v>
      </c>
      <c r="D22" s="27" t="s">
        <v>3090</v>
      </c>
      <c r="E22" s="27" t="s">
        <v>257</v>
      </c>
      <c r="F22" s="9" t="s">
        <v>3091</v>
      </c>
      <c r="G22" s="27" t="s">
        <v>1490</v>
      </c>
      <c r="H22" s="27" t="s">
        <v>1451</v>
      </c>
      <c r="I22" s="27" t="s">
        <v>3093</v>
      </c>
      <c r="J22" s="11" t="n">
        <v>1.77</v>
      </c>
      <c r="K22" s="30"/>
      <c r="L22" s="30"/>
      <c r="M22" s="11" t="n">
        <v>0.33</v>
      </c>
      <c r="N22" s="27" t="s">
        <v>3094</v>
      </c>
      <c r="O22" s="27" t="s">
        <v>86</v>
      </c>
      <c r="P22" s="27" t="s">
        <v>1580</v>
      </c>
      <c r="Q22" s="23" t="s">
        <v>1476</v>
      </c>
      <c r="R22" s="9" t="s">
        <v>3095</v>
      </c>
    </row>
    <row r="23" customFormat="false" ht="19.5" hidden="false" customHeight="true" outlineLevel="0" collapsed="false">
      <c r="A23" s="25" t="s">
        <v>3126</v>
      </c>
      <c r="B23" s="25" t="s">
        <v>3088</v>
      </c>
      <c r="C23" s="25" t="s">
        <v>3089</v>
      </c>
      <c r="D23" s="25" t="s">
        <v>3090</v>
      </c>
      <c r="E23" s="25" t="s">
        <v>257</v>
      </c>
      <c r="F23" s="12" t="s">
        <v>3091</v>
      </c>
      <c r="G23" s="25" t="s">
        <v>1490</v>
      </c>
      <c r="H23" s="25" t="s">
        <v>3127</v>
      </c>
      <c r="I23" s="25" t="s">
        <v>3098</v>
      </c>
      <c r="J23" s="14" t="n">
        <v>-0.59</v>
      </c>
      <c r="K23" s="29"/>
      <c r="L23" s="29"/>
      <c r="M23" s="14" t="n">
        <v>-0.13</v>
      </c>
      <c r="N23" s="25" t="s">
        <v>3094</v>
      </c>
      <c r="O23" s="25" t="s">
        <v>86</v>
      </c>
      <c r="P23" s="25" t="s">
        <v>1580</v>
      </c>
      <c r="Q23" s="22" t="s">
        <v>1497</v>
      </c>
      <c r="R23" s="12" t="s">
        <v>3095</v>
      </c>
    </row>
    <row r="24" customFormat="false" ht="19.5" hidden="false" customHeight="true" outlineLevel="0" collapsed="false">
      <c r="A24" s="27" t="s">
        <v>3128</v>
      </c>
      <c r="B24" s="27" t="s">
        <v>3088</v>
      </c>
      <c r="C24" s="27" t="s">
        <v>3089</v>
      </c>
      <c r="D24" s="27" t="s">
        <v>3090</v>
      </c>
      <c r="E24" s="27" t="s">
        <v>257</v>
      </c>
      <c r="F24" s="9" t="s">
        <v>3091</v>
      </c>
      <c r="G24" s="27" t="s">
        <v>1490</v>
      </c>
      <c r="H24" s="27" t="s">
        <v>1454</v>
      </c>
      <c r="I24" s="27" t="s">
        <v>3093</v>
      </c>
      <c r="J24" s="11" t="n">
        <v>1.85</v>
      </c>
      <c r="K24" s="30"/>
      <c r="L24" s="30"/>
      <c r="M24" s="11" t="n">
        <v>0.34</v>
      </c>
      <c r="N24" s="27" t="s">
        <v>3094</v>
      </c>
      <c r="O24" s="27" t="s">
        <v>86</v>
      </c>
      <c r="P24" s="27" t="s">
        <v>1580</v>
      </c>
      <c r="Q24" s="23" t="s">
        <v>1497</v>
      </c>
      <c r="R24" s="9" t="s">
        <v>3095</v>
      </c>
    </row>
    <row r="25" customFormat="false" ht="19.5" hidden="false" customHeight="true" outlineLevel="0" collapsed="false">
      <c r="A25" s="25" t="s">
        <v>3129</v>
      </c>
      <c r="B25" s="25" t="s">
        <v>3088</v>
      </c>
      <c r="C25" s="25" t="s">
        <v>3089</v>
      </c>
      <c r="D25" s="25" t="s">
        <v>3090</v>
      </c>
      <c r="E25" s="25" t="s">
        <v>257</v>
      </c>
      <c r="F25" s="12" t="s">
        <v>3091</v>
      </c>
      <c r="G25" s="25" t="s">
        <v>1490</v>
      </c>
      <c r="H25" s="25" t="s">
        <v>3130</v>
      </c>
      <c r="I25" s="25" t="s">
        <v>3098</v>
      </c>
      <c r="J25" s="14" t="n">
        <v>-0.56</v>
      </c>
      <c r="K25" s="29"/>
      <c r="L25" s="29"/>
      <c r="M25" s="14" t="n">
        <v>0.22</v>
      </c>
      <c r="N25" s="25" t="s">
        <v>3094</v>
      </c>
      <c r="O25" s="25" t="s">
        <v>86</v>
      </c>
      <c r="P25" s="25" t="s">
        <v>1580</v>
      </c>
      <c r="Q25" s="22" t="s">
        <v>1497</v>
      </c>
      <c r="R25" s="12" t="s">
        <v>3095</v>
      </c>
    </row>
    <row r="26" customFormat="false" ht="19.5" hidden="false" customHeight="true" outlineLevel="0" collapsed="false">
      <c r="A26" s="27" t="s">
        <v>3131</v>
      </c>
      <c r="B26" s="27" t="s">
        <v>3088</v>
      </c>
      <c r="C26" s="27" t="s">
        <v>3089</v>
      </c>
      <c r="D26" s="27" t="s">
        <v>3090</v>
      </c>
      <c r="E26" s="27" t="s">
        <v>257</v>
      </c>
      <c r="F26" s="9" t="s">
        <v>3091</v>
      </c>
      <c r="G26" s="27" t="s">
        <v>1510</v>
      </c>
      <c r="H26" s="27" t="s">
        <v>3132</v>
      </c>
      <c r="I26" s="27" t="s">
        <v>3093</v>
      </c>
      <c r="J26" s="11" t="n">
        <v>1.87</v>
      </c>
      <c r="K26" s="30"/>
      <c r="L26" s="30"/>
      <c r="M26" s="11" t="n">
        <v>0.1</v>
      </c>
      <c r="N26" s="27" t="s">
        <v>3094</v>
      </c>
      <c r="O26" s="27" t="s">
        <v>86</v>
      </c>
      <c r="P26" s="27" t="s">
        <v>1580</v>
      </c>
      <c r="Q26" s="23" t="s">
        <v>1497</v>
      </c>
      <c r="R26" s="9" t="s">
        <v>3095</v>
      </c>
    </row>
    <row r="27" customFormat="false" ht="19.5" hidden="false" customHeight="true" outlineLevel="0" collapsed="false">
      <c r="A27" s="25" t="s">
        <v>3133</v>
      </c>
      <c r="B27" s="25" t="s">
        <v>3088</v>
      </c>
      <c r="C27" s="25" t="s">
        <v>3089</v>
      </c>
      <c r="D27" s="25" t="s">
        <v>3090</v>
      </c>
      <c r="E27" s="25" t="s">
        <v>257</v>
      </c>
      <c r="F27" s="12" t="s">
        <v>3091</v>
      </c>
      <c r="G27" s="25" t="s">
        <v>1510</v>
      </c>
      <c r="H27" s="25" t="s">
        <v>3134</v>
      </c>
      <c r="I27" s="25" t="s">
        <v>3098</v>
      </c>
      <c r="J27" s="14" t="n">
        <v>-0.82</v>
      </c>
      <c r="K27" s="29"/>
      <c r="L27" s="29"/>
      <c r="M27" s="14" t="n">
        <v>-0.23</v>
      </c>
      <c r="N27" s="25" t="s">
        <v>3094</v>
      </c>
      <c r="O27" s="25" t="s">
        <v>86</v>
      </c>
      <c r="P27" s="25" t="s">
        <v>1580</v>
      </c>
      <c r="Q27" s="22" t="s">
        <v>1517</v>
      </c>
      <c r="R27" s="12" t="s">
        <v>3095</v>
      </c>
    </row>
    <row r="28" customFormat="false" ht="19.5" hidden="false" customHeight="true" outlineLevel="0" collapsed="false">
      <c r="A28" s="27" t="s">
        <v>3135</v>
      </c>
      <c r="B28" s="27" t="s">
        <v>3088</v>
      </c>
      <c r="C28" s="27" t="s">
        <v>3089</v>
      </c>
      <c r="D28" s="27" t="s">
        <v>3090</v>
      </c>
      <c r="E28" s="27" t="s">
        <v>257</v>
      </c>
      <c r="F28" s="9" t="s">
        <v>3091</v>
      </c>
      <c r="G28" s="27" t="s">
        <v>1510</v>
      </c>
      <c r="H28" s="27" t="s">
        <v>3136</v>
      </c>
      <c r="I28" s="27" t="s">
        <v>3093</v>
      </c>
      <c r="J28" s="11" t="n">
        <v>1.86</v>
      </c>
      <c r="K28" s="30"/>
      <c r="L28" s="30"/>
      <c r="M28" s="11" t="n">
        <v>0.01</v>
      </c>
      <c r="N28" s="27" t="s">
        <v>3094</v>
      </c>
      <c r="O28" s="27" t="s">
        <v>86</v>
      </c>
      <c r="P28" s="27" t="s">
        <v>1580</v>
      </c>
      <c r="Q28" s="23" t="s">
        <v>1517</v>
      </c>
      <c r="R28" s="9" t="s">
        <v>3095</v>
      </c>
    </row>
    <row r="29" customFormat="false" ht="19.5" hidden="false" customHeight="true" outlineLevel="0" collapsed="false">
      <c r="A29" s="25" t="s">
        <v>3137</v>
      </c>
      <c r="B29" s="25" t="s">
        <v>3088</v>
      </c>
      <c r="C29" s="25" t="s">
        <v>3089</v>
      </c>
      <c r="D29" s="25" t="s">
        <v>3090</v>
      </c>
      <c r="E29" s="25" t="s">
        <v>257</v>
      </c>
      <c r="F29" s="12" t="s">
        <v>3091</v>
      </c>
      <c r="G29" s="25" t="s">
        <v>1510</v>
      </c>
      <c r="H29" s="25" t="s">
        <v>3138</v>
      </c>
      <c r="I29" s="25" t="s">
        <v>3098</v>
      </c>
      <c r="J29" s="14" t="n">
        <v>-0.4</v>
      </c>
      <c r="K29" s="29"/>
      <c r="L29" s="29"/>
      <c r="M29" s="14" t="n">
        <v>0.16</v>
      </c>
      <c r="N29" s="25" t="s">
        <v>3094</v>
      </c>
      <c r="O29" s="25" t="s">
        <v>86</v>
      </c>
      <c r="P29" s="25" t="s">
        <v>1580</v>
      </c>
      <c r="Q29" s="22" t="s">
        <v>1517</v>
      </c>
      <c r="R29" s="12" t="s">
        <v>3095</v>
      </c>
    </row>
    <row r="30" customFormat="false" ht="19.5" hidden="false" customHeight="true" outlineLevel="0" collapsed="false">
      <c r="A30" s="27" t="s">
        <v>3139</v>
      </c>
      <c r="B30" s="27" t="s">
        <v>3088</v>
      </c>
      <c r="C30" s="27" t="s">
        <v>3089</v>
      </c>
      <c r="D30" s="27" t="s">
        <v>3090</v>
      </c>
      <c r="E30" s="27" t="s">
        <v>257</v>
      </c>
      <c r="F30" s="9" t="s">
        <v>3091</v>
      </c>
      <c r="G30" s="27" t="s">
        <v>1532</v>
      </c>
      <c r="H30" s="27" t="s">
        <v>3140</v>
      </c>
      <c r="I30" s="27" t="s">
        <v>3093</v>
      </c>
      <c r="J30" s="11" t="n">
        <v>1.81</v>
      </c>
      <c r="K30" s="30"/>
      <c r="L30" s="30"/>
      <c r="M30" s="11" t="n">
        <v>-0.06</v>
      </c>
      <c r="N30" s="27" t="s">
        <v>3094</v>
      </c>
      <c r="O30" s="27" t="s">
        <v>86</v>
      </c>
      <c r="P30" s="27" t="s">
        <v>1580</v>
      </c>
      <c r="Q30" s="23" t="s">
        <v>1517</v>
      </c>
      <c r="R30" s="9" t="s">
        <v>3095</v>
      </c>
    </row>
    <row r="31" customFormat="false" ht="19.5" hidden="false" customHeight="true" outlineLevel="0" collapsed="false">
      <c r="A31" s="25" t="s">
        <v>3141</v>
      </c>
      <c r="B31" s="25" t="s">
        <v>3088</v>
      </c>
      <c r="C31" s="25" t="s">
        <v>3089</v>
      </c>
      <c r="D31" s="25" t="s">
        <v>3090</v>
      </c>
      <c r="E31" s="25" t="s">
        <v>257</v>
      </c>
      <c r="F31" s="12" t="s">
        <v>3091</v>
      </c>
      <c r="G31" s="25" t="s">
        <v>1532</v>
      </c>
      <c r="H31" s="25" t="s">
        <v>3142</v>
      </c>
      <c r="I31" s="25" t="s">
        <v>3098</v>
      </c>
      <c r="J31" s="14" t="n">
        <v>-0.96</v>
      </c>
      <c r="K31" s="29"/>
      <c r="L31" s="29"/>
      <c r="M31" s="14" t="n">
        <v>-0.14</v>
      </c>
      <c r="N31" s="25" t="s">
        <v>3094</v>
      </c>
      <c r="O31" s="25" t="s">
        <v>86</v>
      </c>
      <c r="P31" s="25" t="s">
        <v>1580</v>
      </c>
      <c r="Q31" s="22" t="s">
        <v>93</v>
      </c>
      <c r="R31" s="12" t="s">
        <v>3095</v>
      </c>
    </row>
    <row r="32" customFormat="false" ht="19.5" hidden="false" customHeight="true" outlineLevel="0" collapsed="false">
      <c r="A32" s="27" t="s">
        <v>3143</v>
      </c>
      <c r="B32" s="27" t="s">
        <v>3088</v>
      </c>
      <c r="C32" s="27" t="s">
        <v>3089</v>
      </c>
      <c r="D32" s="27" t="s">
        <v>3090</v>
      </c>
      <c r="E32" s="27" t="s">
        <v>257</v>
      </c>
      <c r="F32" s="9" t="s">
        <v>3091</v>
      </c>
      <c r="G32" s="27" t="s">
        <v>1532</v>
      </c>
      <c r="H32" s="27" t="s">
        <v>3144</v>
      </c>
      <c r="I32" s="27" t="s">
        <v>3093</v>
      </c>
      <c r="J32" s="11" t="n">
        <v>1.74</v>
      </c>
      <c r="K32" s="30"/>
      <c r="L32" s="30"/>
      <c r="M32" s="11" t="n">
        <v>-0.12</v>
      </c>
      <c r="N32" s="27" t="s">
        <v>3094</v>
      </c>
      <c r="O32" s="27" t="s">
        <v>86</v>
      </c>
      <c r="P32" s="27" t="s">
        <v>1580</v>
      </c>
      <c r="Q32" s="23" t="s">
        <v>93</v>
      </c>
      <c r="R32" s="9" t="s">
        <v>3095</v>
      </c>
    </row>
    <row r="33" customFormat="false" ht="19.5" hidden="false" customHeight="true" outlineLevel="0" collapsed="false">
      <c r="A33" s="25" t="s">
        <v>3145</v>
      </c>
      <c r="B33" s="25" t="s">
        <v>3088</v>
      </c>
      <c r="C33" s="25" t="s">
        <v>3089</v>
      </c>
      <c r="D33" s="25" t="s">
        <v>3090</v>
      </c>
      <c r="E33" s="25" t="s">
        <v>257</v>
      </c>
      <c r="F33" s="12" t="s">
        <v>3091</v>
      </c>
      <c r="G33" s="25" t="s">
        <v>1532</v>
      </c>
      <c r="H33" s="25" t="s">
        <v>1410</v>
      </c>
      <c r="I33" s="25" t="s">
        <v>3098</v>
      </c>
      <c r="J33" s="14" t="n">
        <v>-0.2</v>
      </c>
      <c r="K33" s="29"/>
      <c r="L33" s="29"/>
      <c r="M33" s="14" t="n">
        <v>0.2</v>
      </c>
      <c r="N33" s="25" t="s">
        <v>3094</v>
      </c>
      <c r="O33" s="25" t="s">
        <v>86</v>
      </c>
      <c r="P33" s="25" t="s">
        <v>1580</v>
      </c>
      <c r="Q33" s="22" t="s">
        <v>93</v>
      </c>
      <c r="R33" s="12" t="s">
        <v>3095</v>
      </c>
    </row>
    <row r="34" customFormat="false" ht="19.5" hidden="false" customHeight="true" outlineLevel="0" collapsed="false">
      <c r="A34" s="27" t="s">
        <v>3146</v>
      </c>
      <c r="B34" s="27" t="s">
        <v>3088</v>
      </c>
      <c r="C34" s="27" t="s">
        <v>3089</v>
      </c>
      <c r="D34" s="27" t="s">
        <v>3090</v>
      </c>
      <c r="E34" s="27" t="s">
        <v>257</v>
      </c>
      <c r="F34" s="9" t="s">
        <v>3091</v>
      </c>
      <c r="G34" s="27" t="s">
        <v>1555</v>
      </c>
      <c r="H34" s="27" t="s">
        <v>3147</v>
      </c>
      <c r="I34" s="27" t="s">
        <v>3093</v>
      </c>
      <c r="J34" s="11" t="n">
        <v>1.6</v>
      </c>
      <c r="K34" s="30"/>
      <c r="L34" s="30"/>
      <c r="M34" s="11" t="n">
        <v>-0.21</v>
      </c>
      <c r="N34" s="27" t="s">
        <v>3094</v>
      </c>
      <c r="O34" s="27" t="s">
        <v>86</v>
      </c>
      <c r="P34" s="27" t="s">
        <v>1580</v>
      </c>
      <c r="Q34" s="23" t="s">
        <v>93</v>
      </c>
      <c r="R34" s="9" t="s">
        <v>3095</v>
      </c>
    </row>
    <row r="35" customFormat="false" ht="19.5" hidden="false" customHeight="true" outlineLevel="0" collapsed="false">
      <c r="A35" s="25" t="s">
        <v>3148</v>
      </c>
      <c r="B35" s="25" t="s">
        <v>3088</v>
      </c>
      <c r="C35" s="25" t="s">
        <v>3149</v>
      </c>
      <c r="D35" s="25" t="s">
        <v>3090</v>
      </c>
      <c r="E35" s="25" t="s">
        <v>257</v>
      </c>
      <c r="F35" s="12" t="s">
        <v>3150</v>
      </c>
      <c r="G35" s="25" t="s">
        <v>1051</v>
      </c>
      <c r="H35" s="25" t="s">
        <v>1334</v>
      </c>
      <c r="I35" s="25" t="s">
        <v>3151</v>
      </c>
      <c r="J35" s="14" t="n">
        <v>0.09</v>
      </c>
      <c r="K35" s="14" t="n">
        <v>0.08</v>
      </c>
      <c r="L35" s="14" t="n">
        <v>0.1</v>
      </c>
      <c r="M35" s="14" t="n">
        <v>0.02</v>
      </c>
      <c r="N35" s="25" t="s">
        <v>3094</v>
      </c>
      <c r="O35" s="25" t="s">
        <v>86</v>
      </c>
      <c r="P35" s="25" t="s">
        <v>1580</v>
      </c>
      <c r="Q35" s="22" t="s">
        <v>1052</v>
      </c>
      <c r="R35" s="12" t="s">
        <v>3152</v>
      </c>
    </row>
    <row r="36" customFormat="false" ht="19.5" hidden="false" customHeight="true" outlineLevel="0" collapsed="false">
      <c r="A36" s="27" t="s">
        <v>3153</v>
      </c>
      <c r="B36" s="27" t="s">
        <v>3088</v>
      </c>
      <c r="C36" s="27" t="s">
        <v>3149</v>
      </c>
      <c r="D36" s="27" t="s">
        <v>3090</v>
      </c>
      <c r="E36" s="27" t="s">
        <v>466</v>
      </c>
      <c r="F36" s="9" t="s">
        <v>3154</v>
      </c>
      <c r="G36" s="27" t="s">
        <v>1070</v>
      </c>
      <c r="H36" s="27" t="s">
        <v>1334</v>
      </c>
      <c r="I36" s="27" t="s">
        <v>3151</v>
      </c>
      <c r="J36" s="11" t="n">
        <v>0.5</v>
      </c>
      <c r="K36" s="11" t="n">
        <v>0.45</v>
      </c>
      <c r="L36" s="11" t="n">
        <v>0.55</v>
      </c>
      <c r="M36" s="11" t="n">
        <v>0.1</v>
      </c>
      <c r="N36" s="27" t="s">
        <v>3094</v>
      </c>
      <c r="O36" s="27" t="s">
        <v>86</v>
      </c>
      <c r="P36" s="27" t="s">
        <v>1580</v>
      </c>
      <c r="Q36" s="23" t="s">
        <v>1071</v>
      </c>
      <c r="R36" s="9" t="s">
        <v>3155</v>
      </c>
    </row>
    <row r="37" customFormat="false" ht="19.5" hidden="false" customHeight="true" outlineLevel="0" collapsed="false">
      <c r="A37" s="25" t="s">
        <v>3156</v>
      </c>
      <c r="B37" s="25" t="s">
        <v>3088</v>
      </c>
      <c r="C37" s="25" t="s">
        <v>3149</v>
      </c>
      <c r="D37" s="25" t="s">
        <v>3090</v>
      </c>
      <c r="E37" s="25" t="s">
        <v>257</v>
      </c>
      <c r="F37" s="12" t="s">
        <v>3150</v>
      </c>
      <c r="G37" s="25" t="s">
        <v>1070</v>
      </c>
      <c r="H37" s="25" t="s">
        <v>1334</v>
      </c>
      <c r="I37" s="25" t="s">
        <v>3151</v>
      </c>
      <c r="J37" s="14" t="n">
        <v>-0.135</v>
      </c>
      <c r="K37" s="14" t="n">
        <v>-0.15</v>
      </c>
      <c r="L37" s="14" t="n">
        <v>-0.12</v>
      </c>
      <c r="M37" s="14" t="n">
        <v>0.03</v>
      </c>
      <c r="N37" s="25" t="s">
        <v>3094</v>
      </c>
      <c r="O37" s="25" t="s">
        <v>86</v>
      </c>
      <c r="P37" s="25" t="s">
        <v>1580</v>
      </c>
      <c r="Q37" s="22" t="s">
        <v>1071</v>
      </c>
      <c r="R37" s="12" t="s">
        <v>3152</v>
      </c>
    </row>
    <row r="38" customFormat="false" ht="19.5" hidden="false" customHeight="true" outlineLevel="0" collapsed="false">
      <c r="A38" s="27" t="s">
        <v>3157</v>
      </c>
      <c r="B38" s="27" t="s">
        <v>3088</v>
      </c>
      <c r="C38" s="27" t="s">
        <v>3149</v>
      </c>
      <c r="D38" s="27" t="s">
        <v>3090</v>
      </c>
      <c r="E38" s="27" t="s">
        <v>466</v>
      </c>
      <c r="F38" s="9" t="s">
        <v>3154</v>
      </c>
      <c r="G38" s="27" t="s">
        <v>1078</v>
      </c>
      <c r="H38" s="27" t="s">
        <v>1334</v>
      </c>
      <c r="I38" s="27" t="s">
        <v>3151</v>
      </c>
      <c r="J38" s="11" t="n">
        <v>0.53</v>
      </c>
      <c r="K38" s="11" t="n">
        <v>0.48</v>
      </c>
      <c r="L38" s="11" t="n">
        <v>0.58</v>
      </c>
      <c r="M38" s="11" t="n">
        <v>0.1</v>
      </c>
      <c r="N38" s="27" t="s">
        <v>3094</v>
      </c>
      <c r="O38" s="27" t="s">
        <v>86</v>
      </c>
      <c r="P38" s="27" t="s">
        <v>1580</v>
      </c>
      <c r="Q38" s="23" t="s">
        <v>1079</v>
      </c>
      <c r="R38" s="9" t="s">
        <v>3155</v>
      </c>
    </row>
    <row r="39" customFormat="false" ht="19.5" hidden="false" customHeight="true" outlineLevel="0" collapsed="false">
      <c r="A39" s="25" t="s">
        <v>3158</v>
      </c>
      <c r="B39" s="25" t="s">
        <v>3088</v>
      </c>
      <c r="C39" s="25" t="s">
        <v>3149</v>
      </c>
      <c r="D39" s="25" t="s">
        <v>3090</v>
      </c>
      <c r="E39" s="25" t="s">
        <v>257</v>
      </c>
      <c r="F39" s="12" t="s">
        <v>3150</v>
      </c>
      <c r="G39" s="25" t="s">
        <v>1078</v>
      </c>
      <c r="H39" s="25" t="s">
        <v>1334</v>
      </c>
      <c r="I39" s="25" t="s">
        <v>3151</v>
      </c>
      <c r="J39" s="14" t="n">
        <v>-0.11</v>
      </c>
      <c r="K39" s="14" t="n">
        <v>-0.13</v>
      </c>
      <c r="L39" s="14" t="n">
        <v>-0.09</v>
      </c>
      <c r="M39" s="14" t="n">
        <v>0.04</v>
      </c>
      <c r="N39" s="25" t="s">
        <v>3094</v>
      </c>
      <c r="O39" s="25" t="s">
        <v>86</v>
      </c>
      <c r="P39" s="25" t="s">
        <v>1580</v>
      </c>
      <c r="Q39" s="22" t="s">
        <v>1079</v>
      </c>
      <c r="R39" s="12" t="s">
        <v>3152</v>
      </c>
    </row>
    <row r="40" customFormat="false" ht="19.5" hidden="false" customHeight="true" outlineLevel="0" collapsed="false">
      <c r="A40" s="27" t="s">
        <v>3159</v>
      </c>
      <c r="B40" s="27" t="s">
        <v>3088</v>
      </c>
      <c r="C40" s="27" t="s">
        <v>3149</v>
      </c>
      <c r="D40" s="27" t="s">
        <v>3090</v>
      </c>
      <c r="E40" s="27" t="s">
        <v>466</v>
      </c>
      <c r="F40" s="9" t="s">
        <v>3154</v>
      </c>
      <c r="G40" s="27" t="s">
        <v>1177</v>
      </c>
      <c r="H40" s="27" t="s">
        <v>1334</v>
      </c>
      <c r="I40" s="27" t="s">
        <v>3151</v>
      </c>
      <c r="J40" s="11" t="n">
        <v>0.53</v>
      </c>
      <c r="K40" s="11" t="n">
        <v>0.5</v>
      </c>
      <c r="L40" s="11" t="n">
        <v>0.56</v>
      </c>
      <c r="M40" s="11" t="n">
        <v>0.06</v>
      </c>
      <c r="N40" s="27" t="s">
        <v>3094</v>
      </c>
      <c r="O40" s="27" t="s">
        <v>86</v>
      </c>
      <c r="P40" s="27" t="s">
        <v>1580</v>
      </c>
      <c r="Q40" s="23" t="s">
        <v>197</v>
      </c>
      <c r="R40" s="9" t="s">
        <v>3155</v>
      </c>
    </row>
    <row r="41" customFormat="false" ht="19.5" hidden="false" customHeight="true" outlineLevel="0" collapsed="false">
      <c r="A41" s="25" t="s">
        <v>3160</v>
      </c>
      <c r="B41" s="25" t="s">
        <v>3088</v>
      </c>
      <c r="C41" s="25" t="s">
        <v>3149</v>
      </c>
      <c r="D41" s="25" t="s">
        <v>3090</v>
      </c>
      <c r="E41" s="25" t="s">
        <v>233</v>
      </c>
      <c r="F41" s="12" t="s">
        <v>3161</v>
      </c>
      <c r="G41" s="25" t="s">
        <v>1177</v>
      </c>
      <c r="H41" s="25" t="s">
        <v>1334</v>
      </c>
      <c r="I41" s="25" t="s">
        <v>3151</v>
      </c>
      <c r="J41" s="14" t="n">
        <v>-0.015</v>
      </c>
      <c r="K41" s="14" t="n">
        <v>-0.02</v>
      </c>
      <c r="L41" s="14" t="n">
        <v>-0.01</v>
      </c>
      <c r="M41" s="14" t="n">
        <v>0.01</v>
      </c>
      <c r="N41" s="25" t="s">
        <v>3094</v>
      </c>
      <c r="O41" s="25" t="s">
        <v>86</v>
      </c>
      <c r="P41" s="25" t="s">
        <v>1580</v>
      </c>
      <c r="Q41" s="22" t="s">
        <v>197</v>
      </c>
      <c r="R41" s="12" t="s">
        <v>3162</v>
      </c>
    </row>
    <row r="42" customFormat="false" ht="19.5" hidden="false" customHeight="true" outlineLevel="0" collapsed="false">
      <c r="A42" s="27" t="s">
        <v>3163</v>
      </c>
      <c r="B42" s="27" t="s">
        <v>3088</v>
      </c>
      <c r="C42" s="27" t="s">
        <v>3149</v>
      </c>
      <c r="D42" s="27" t="s">
        <v>3090</v>
      </c>
      <c r="E42" s="27" t="s">
        <v>257</v>
      </c>
      <c r="F42" s="9" t="s">
        <v>3150</v>
      </c>
      <c r="G42" s="27" t="s">
        <v>1177</v>
      </c>
      <c r="H42" s="27" t="s">
        <v>1334</v>
      </c>
      <c r="I42" s="27" t="s">
        <v>3151</v>
      </c>
      <c r="J42" s="11" t="n">
        <v>0.51</v>
      </c>
      <c r="K42" s="11" t="n">
        <v>0.5</v>
      </c>
      <c r="L42" s="11" t="n">
        <v>0.52</v>
      </c>
      <c r="M42" s="11" t="n">
        <v>0.02</v>
      </c>
      <c r="N42" s="27" t="s">
        <v>3094</v>
      </c>
      <c r="O42" s="27" t="s">
        <v>86</v>
      </c>
      <c r="P42" s="27" t="s">
        <v>1580</v>
      </c>
      <c r="Q42" s="23" t="s">
        <v>197</v>
      </c>
      <c r="R42" s="9" t="s">
        <v>3152</v>
      </c>
    </row>
    <row r="43" customFormat="false" ht="19.5" hidden="false" customHeight="true" outlineLevel="0" collapsed="false">
      <c r="A43" s="25" t="s">
        <v>3164</v>
      </c>
      <c r="B43" s="25" t="s">
        <v>3088</v>
      </c>
      <c r="C43" s="25" t="s">
        <v>3149</v>
      </c>
      <c r="D43" s="25" t="s">
        <v>3090</v>
      </c>
      <c r="E43" s="25" t="s">
        <v>466</v>
      </c>
      <c r="F43" s="12" t="s">
        <v>3154</v>
      </c>
      <c r="G43" s="25" t="s">
        <v>1194</v>
      </c>
      <c r="H43" s="25" t="s">
        <v>1334</v>
      </c>
      <c r="I43" s="25" t="s">
        <v>3151</v>
      </c>
      <c r="J43" s="14" t="n">
        <v>0.59</v>
      </c>
      <c r="K43" s="14" t="n">
        <v>0.56</v>
      </c>
      <c r="L43" s="14" t="n">
        <v>0.62</v>
      </c>
      <c r="M43" s="14" t="n">
        <v>0.06</v>
      </c>
      <c r="N43" s="25" t="s">
        <v>3094</v>
      </c>
      <c r="O43" s="25" t="s">
        <v>86</v>
      </c>
      <c r="P43" s="25" t="s">
        <v>1580</v>
      </c>
      <c r="Q43" s="22" t="s">
        <v>197</v>
      </c>
      <c r="R43" s="12" t="s">
        <v>3155</v>
      </c>
    </row>
    <row r="44" customFormat="false" ht="19.5" hidden="false" customHeight="true" outlineLevel="0" collapsed="false">
      <c r="A44" s="27" t="s">
        <v>3165</v>
      </c>
      <c r="B44" s="27" t="s">
        <v>3088</v>
      </c>
      <c r="C44" s="27" t="s">
        <v>3149</v>
      </c>
      <c r="D44" s="27" t="s">
        <v>3090</v>
      </c>
      <c r="E44" s="27" t="s">
        <v>233</v>
      </c>
      <c r="F44" s="9" t="s">
        <v>3161</v>
      </c>
      <c r="G44" s="27" t="s">
        <v>1194</v>
      </c>
      <c r="H44" s="27" t="s">
        <v>1334</v>
      </c>
      <c r="I44" s="27" t="s">
        <v>3151</v>
      </c>
      <c r="J44" s="11" t="n">
        <v>-0.025</v>
      </c>
      <c r="K44" s="11" t="n">
        <v>-0.03</v>
      </c>
      <c r="L44" s="11" t="n">
        <v>-0.02</v>
      </c>
      <c r="M44" s="11" t="n">
        <v>0.01</v>
      </c>
      <c r="N44" s="27" t="s">
        <v>3094</v>
      </c>
      <c r="O44" s="27" t="s">
        <v>86</v>
      </c>
      <c r="P44" s="27" t="s">
        <v>1580</v>
      </c>
      <c r="Q44" s="23" t="s">
        <v>197</v>
      </c>
      <c r="R44" s="9" t="s">
        <v>3162</v>
      </c>
    </row>
    <row r="45" customFormat="false" ht="19.5" hidden="false" customHeight="true" outlineLevel="0" collapsed="false">
      <c r="A45" s="25" t="s">
        <v>3166</v>
      </c>
      <c r="B45" s="25" t="s">
        <v>3088</v>
      </c>
      <c r="C45" s="25" t="s">
        <v>3149</v>
      </c>
      <c r="D45" s="25" t="s">
        <v>3090</v>
      </c>
      <c r="E45" s="25" t="s">
        <v>257</v>
      </c>
      <c r="F45" s="12" t="s">
        <v>3150</v>
      </c>
      <c r="G45" s="25" t="s">
        <v>1194</v>
      </c>
      <c r="H45" s="25" t="s">
        <v>1334</v>
      </c>
      <c r="I45" s="25" t="s">
        <v>3151</v>
      </c>
      <c r="J45" s="14" t="n">
        <v>0.485</v>
      </c>
      <c r="K45" s="14" t="n">
        <v>0.47</v>
      </c>
      <c r="L45" s="14" t="n">
        <v>0.5</v>
      </c>
      <c r="M45" s="14" t="n">
        <v>0.03</v>
      </c>
      <c r="N45" s="25" t="s">
        <v>3094</v>
      </c>
      <c r="O45" s="25" t="s">
        <v>86</v>
      </c>
      <c r="P45" s="25" t="s">
        <v>1580</v>
      </c>
      <c r="Q45" s="22" t="s">
        <v>197</v>
      </c>
      <c r="R45" s="12" t="s">
        <v>3152</v>
      </c>
    </row>
    <row r="46" customFormat="false" ht="19.5" hidden="false" customHeight="true" outlineLevel="0" collapsed="false">
      <c r="A46" s="27" t="s">
        <v>3167</v>
      </c>
      <c r="B46" s="27" t="s">
        <v>3088</v>
      </c>
      <c r="C46" s="27" t="s">
        <v>3149</v>
      </c>
      <c r="D46" s="27" t="s">
        <v>3090</v>
      </c>
      <c r="E46" s="27" t="s">
        <v>466</v>
      </c>
      <c r="F46" s="9" t="s">
        <v>3154</v>
      </c>
      <c r="G46" s="27" t="s">
        <v>1231</v>
      </c>
      <c r="H46" s="27" t="s">
        <v>1334</v>
      </c>
      <c r="I46" s="27" t="s">
        <v>3151</v>
      </c>
      <c r="J46" s="11" t="n">
        <v>0.425</v>
      </c>
      <c r="K46" s="11" t="n">
        <v>0.4</v>
      </c>
      <c r="L46" s="11" t="n">
        <v>0.45</v>
      </c>
      <c r="M46" s="11" t="n">
        <v>0.05</v>
      </c>
      <c r="N46" s="27" t="s">
        <v>3094</v>
      </c>
      <c r="O46" s="27" t="s">
        <v>86</v>
      </c>
      <c r="P46" s="27" t="s">
        <v>1580</v>
      </c>
      <c r="Q46" s="23" t="s">
        <v>664</v>
      </c>
      <c r="R46" s="9" t="s">
        <v>3155</v>
      </c>
    </row>
    <row r="47" customFormat="false" ht="19.5" hidden="false" customHeight="true" outlineLevel="0" collapsed="false">
      <c r="A47" s="25" t="s">
        <v>3168</v>
      </c>
      <c r="B47" s="25" t="s">
        <v>3088</v>
      </c>
      <c r="C47" s="25" t="s">
        <v>3149</v>
      </c>
      <c r="D47" s="25" t="s">
        <v>3090</v>
      </c>
      <c r="E47" s="25" t="s">
        <v>233</v>
      </c>
      <c r="F47" s="12" t="s">
        <v>3161</v>
      </c>
      <c r="G47" s="25" t="s">
        <v>1231</v>
      </c>
      <c r="H47" s="25" t="s">
        <v>1334</v>
      </c>
      <c r="I47" s="25" t="s">
        <v>3151</v>
      </c>
      <c r="J47" s="14" t="n">
        <v>-0.665</v>
      </c>
      <c r="K47" s="14" t="n">
        <v>-0.67</v>
      </c>
      <c r="L47" s="14" t="n">
        <v>-0.66</v>
      </c>
      <c r="M47" s="14" t="n">
        <v>0.01</v>
      </c>
      <c r="N47" s="25" t="s">
        <v>3094</v>
      </c>
      <c r="O47" s="25" t="s">
        <v>86</v>
      </c>
      <c r="P47" s="25" t="s">
        <v>1580</v>
      </c>
      <c r="Q47" s="22" t="s">
        <v>664</v>
      </c>
      <c r="R47" s="12" t="s">
        <v>3162</v>
      </c>
    </row>
    <row r="48" customFormat="false" ht="19.5" hidden="false" customHeight="true" outlineLevel="0" collapsed="false">
      <c r="A48" s="27" t="s">
        <v>3169</v>
      </c>
      <c r="B48" s="27" t="s">
        <v>3088</v>
      </c>
      <c r="C48" s="27" t="s">
        <v>3149</v>
      </c>
      <c r="D48" s="27" t="s">
        <v>3090</v>
      </c>
      <c r="E48" s="27" t="s">
        <v>257</v>
      </c>
      <c r="F48" s="9" t="s">
        <v>3150</v>
      </c>
      <c r="G48" s="27" t="s">
        <v>1231</v>
      </c>
      <c r="H48" s="27" t="s">
        <v>1334</v>
      </c>
      <c r="I48" s="27" t="s">
        <v>3151</v>
      </c>
      <c r="J48" s="11" t="n">
        <v>0.12</v>
      </c>
      <c r="K48" s="11" t="n">
        <v>0.1</v>
      </c>
      <c r="L48" s="11" t="n">
        <v>0.14</v>
      </c>
      <c r="M48" s="11" t="n">
        <v>0.04</v>
      </c>
      <c r="N48" s="27" t="s">
        <v>3094</v>
      </c>
      <c r="O48" s="27" t="s">
        <v>86</v>
      </c>
      <c r="P48" s="27" t="s">
        <v>1580</v>
      </c>
      <c r="Q48" s="23" t="s">
        <v>664</v>
      </c>
      <c r="R48" s="9" t="s">
        <v>3152</v>
      </c>
    </row>
    <row r="49" customFormat="false" ht="19.5" hidden="false" customHeight="true" outlineLevel="0" collapsed="false">
      <c r="A49" s="25" t="s">
        <v>3170</v>
      </c>
      <c r="B49" s="25" t="s">
        <v>3088</v>
      </c>
      <c r="C49" s="25" t="s">
        <v>3149</v>
      </c>
      <c r="D49" s="25" t="s">
        <v>3090</v>
      </c>
      <c r="E49" s="25" t="s">
        <v>466</v>
      </c>
      <c r="F49" s="12" t="s">
        <v>3154</v>
      </c>
      <c r="G49" s="25" t="s">
        <v>1246</v>
      </c>
      <c r="H49" s="25" t="s">
        <v>1334</v>
      </c>
      <c r="I49" s="25" t="s">
        <v>3151</v>
      </c>
      <c r="J49" s="14" t="n">
        <v>0.51</v>
      </c>
      <c r="K49" s="14" t="n">
        <v>0.48</v>
      </c>
      <c r="L49" s="14" t="n">
        <v>0.54</v>
      </c>
      <c r="M49" s="14" t="n">
        <v>0.06</v>
      </c>
      <c r="N49" s="25" t="s">
        <v>3094</v>
      </c>
      <c r="O49" s="25" t="s">
        <v>86</v>
      </c>
      <c r="P49" s="25" t="s">
        <v>1580</v>
      </c>
      <c r="Q49" s="22" t="s">
        <v>664</v>
      </c>
      <c r="R49" s="12" t="s">
        <v>3155</v>
      </c>
    </row>
    <row r="50" customFormat="false" ht="19.5" hidden="false" customHeight="true" outlineLevel="0" collapsed="false">
      <c r="A50" s="27" t="s">
        <v>3171</v>
      </c>
      <c r="B50" s="27" t="s">
        <v>3088</v>
      </c>
      <c r="C50" s="27" t="s">
        <v>3149</v>
      </c>
      <c r="D50" s="27" t="s">
        <v>3090</v>
      </c>
      <c r="E50" s="27" t="s">
        <v>233</v>
      </c>
      <c r="F50" s="9" t="s">
        <v>3161</v>
      </c>
      <c r="G50" s="27" t="s">
        <v>1246</v>
      </c>
      <c r="H50" s="27" t="s">
        <v>1334</v>
      </c>
      <c r="I50" s="27" t="s">
        <v>3151</v>
      </c>
      <c r="J50" s="11" t="n">
        <v>-0.685</v>
      </c>
      <c r="K50" s="11" t="n">
        <v>-0.69</v>
      </c>
      <c r="L50" s="11" t="n">
        <v>-0.68</v>
      </c>
      <c r="M50" s="11" t="n">
        <v>0.01</v>
      </c>
      <c r="N50" s="27" t="s">
        <v>3094</v>
      </c>
      <c r="O50" s="27" t="s">
        <v>86</v>
      </c>
      <c r="P50" s="27" t="s">
        <v>1580</v>
      </c>
      <c r="Q50" s="23" t="s">
        <v>664</v>
      </c>
      <c r="R50" s="9" t="s">
        <v>3162</v>
      </c>
    </row>
    <row r="51" customFormat="false" ht="19.5" hidden="false" customHeight="true" outlineLevel="0" collapsed="false">
      <c r="A51" s="25" t="s">
        <v>3172</v>
      </c>
      <c r="B51" s="25" t="s">
        <v>3088</v>
      </c>
      <c r="C51" s="25" t="s">
        <v>3149</v>
      </c>
      <c r="D51" s="25" t="s">
        <v>3090</v>
      </c>
      <c r="E51" s="25" t="s">
        <v>257</v>
      </c>
      <c r="F51" s="12" t="s">
        <v>3150</v>
      </c>
      <c r="G51" s="25" t="s">
        <v>1246</v>
      </c>
      <c r="H51" s="25" t="s">
        <v>1334</v>
      </c>
      <c r="I51" s="25" t="s">
        <v>3151</v>
      </c>
      <c r="J51" s="14" t="n">
        <v>0.13</v>
      </c>
      <c r="K51" s="14" t="n">
        <v>0.11</v>
      </c>
      <c r="L51" s="14" t="n">
        <v>0.15</v>
      </c>
      <c r="M51" s="14" t="n">
        <v>0.04</v>
      </c>
      <c r="N51" s="25" t="s">
        <v>3094</v>
      </c>
      <c r="O51" s="25" t="s">
        <v>86</v>
      </c>
      <c r="P51" s="25" t="s">
        <v>1580</v>
      </c>
      <c r="Q51" s="22" t="s">
        <v>664</v>
      </c>
      <c r="R51" s="12" t="s">
        <v>3152</v>
      </c>
    </row>
    <row r="52" customFormat="false" ht="19.5" hidden="false" customHeight="true" outlineLevel="0" collapsed="false">
      <c r="A52" s="27" t="s">
        <v>3173</v>
      </c>
      <c r="B52" s="27" t="s">
        <v>3088</v>
      </c>
      <c r="C52" s="27" t="s">
        <v>3149</v>
      </c>
      <c r="D52" s="27" t="s">
        <v>3090</v>
      </c>
      <c r="E52" s="27" t="s">
        <v>466</v>
      </c>
      <c r="F52" s="9" t="s">
        <v>3154</v>
      </c>
      <c r="G52" s="27" t="s">
        <v>1261</v>
      </c>
      <c r="H52" s="27" t="s">
        <v>1334</v>
      </c>
      <c r="I52" s="27" t="s">
        <v>3151</v>
      </c>
      <c r="J52" s="11" t="n">
        <v>0.51</v>
      </c>
      <c r="K52" s="11" t="n">
        <v>0.46</v>
      </c>
      <c r="L52" s="11" t="n">
        <v>0.56</v>
      </c>
      <c r="M52" s="11" t="n">
        <v>0.1</v>
      </c>
      <c r="N52" s="27" t="s">
        <v>3094</v>
      </c>
      <c r="O52" s="27" t="s">
        <v>86</v>
      </c>
      <c r="P52" s="27" t="s">
        <v>1580</v>
      </c>
      <c r="Q52" s="23" t="s">
        <v>681</v>
      </c>
      <c r="R52" s="9" t="s">
        <v>3155</v>
      </c>
    </row>
    <row r="53" customFormat="false" ht="19.5" hidden="false" customHeight="true" outlineLevel="0" collapsed="false">
      <c r="A53" s="25" t="s">
        <v>3174</v>
      </c>
      <c r="B53" s="25" t="s">
        <v>3088</v>
      </c>
      <c r="C53" s="25" t="s">
        <v>3149</v>
      </c>
      <c r="D53" s="25" t="s">
        <v>3090</v>
      </c>
      <c r="E53" s="25" t="s">
        <v>233</v>
      </c>
      <c r="F53" s="12" t="s">
        <v>3161</v>
      </c>
      <c r="G53" s="25" t="s">
        <v>1261</v>
      </c>
      <c r="H53" s="25" t="s">
        <v>1334</v>
      </c>
      <c r="I53" s="25" t="s">
        <v>3151</v>
      </c>
      <c r="J53" s="14" t="n">
        <v>-0.695</v>
      </c>
      <c r="K53" s="14" t="n">
        <v>-0.7</v>
      </c>
      <c r="L53" s="14" t="n">
        <v>-0.69</v>
      </c>
      <c r="M53" s="14" t="n">
        <v>0.01</v>
      </c>
      <c r="N53" s="25" t="s">
        <v>3094</v>
      </c>
      <c r="O53" s="25" t="s">
        <v>86</v>
      </c>
      <c r="P53" s="25" t="s">
        <v>1580</v>
      </c>
      <c r="Q53" s="22" t="s">
        <v>681</v>
      </c>
      <c r="R53" s="12" t="s">
        <v>3162</v>
      </c>
    </row>
    <row r="54" customFormat="false" ht="19.5" hidden="false" customHeight="true" outlineLevel="0" collapsed="false">
      <c r="A54" s="27" t="s">
        <v>3175</v>
      </c>
      <c r="B54" s="27" t="s">
        <v>3088</v>
      </c>
      <c r="C54" s="27" t="s">
        <v>3149</v>
      </c>
      <c r="D54" s="27" t="s">
        <v>3090</v>
      </c>
      <c r="E54" s="27" t="s">
        <v>257</v>
      </c>
      <c r="F54" s="9" t="s">
        <v>3150</v>
      </c>
      <c r="G54" s="27" t="s">
        <v>1261</v>
      </c>
      <c r="H54" s="27" t="s">
        <v>1334</v>
      </c>
      <c r="I54" s="27" t="s">
        <v>3151</v>
      </c>
      <c r="J54" s="11" t="n">
        <v>0.145</v>
      </c>
      <c r="K54" s="11" t="n">
        <v>0.12</v>
      </c>
      <c r="L54" s="11" t="n">
        <v>0.17</v>
      </c>
      <c r="M54" s="11" t="n">
        <v>0.05</v>
      </c>
      <c r="N54" s="27" t="s">
        <v>3094</v>
      </c>
      <c r="O54" s="27" t="s">
        <v>86</v>
      </c>
      <c r="P54" s="27" t="s">
        <v>1580</v>
      </c>
      <c r="Q54" s="23" t="s">
        <v>681</v>
      </c>
      <c r="R54" s="9" t="s">
        <v>3152</v>
      </c>
    </row>
    <row r="55" customFormat="false" ht="19.5" hidden="false" customHeight="true" outlineLevel="0" collapsed="false">
      <c r="A55" s="25" t="s">
        <v>3176</v>
      </c>
      <c r="B55" s="25" t="s">
        <v>3088</v>
      </c>
      <c r="C55" s="25" t="s">
        <v>3149</v>
      </c>
      <c r="D55" s="25" t="s">
        <v>3090</v>
      </c>
      <c r="E55" s="25" t="s">
        <v>466</v>
      </c>
      <c r="F55" s="12" t="s">
        <v>3154</v>
      </c>
      <c r="G55" s="25" t="s">
        <v>1276</v>
      </c>
      <c r="H55" s="25" t="s">
        <v>1334</v>
      </c>
      <c r="I55" s="25" t="s">
        <v>3151</v>
      </c>
      <c r="J55" s="14" t="n">
        <v>0.47</v>
      </c>
      <c r="K55" s="14" t="n">
        <v>0.41</v>
      </c>
      <c r="L55" s="14" t="n">
        <v>0.53</v>
      </c>
      <c r="M55" s="14" t="n">
        <v>0.12</v>
      </c>
      <c r="N55" s="25" t="s">
        <v>3094</v>
      </c>
      <c r="O55" s="25" t="s">
        <v>86</v>
      </c>
      <c r="P55" s="25" t="s">
        <v>1580</v>
      </c>
      <c r="Q55" s="22" t="s">
        <v>697</v>
      </c>
      <c r="R55" s="12" t="s">
        <v>3155</v>
      </c>
    </row>
    <row r="56" customFormat="false" ht="19.5" hidden="false" customHeight="true" outlineLevel="0" collapsed="false">
      <c r="A56" s="27" t="s">
        <v>3177</v>
      </c>
      <c r="B56" s="27" t="s">
        <v>3088</v>
      </c>
      <c r="C56" s="27" t="s">
        <v>3149</v>
      </c>
      <c r="D56" s="27" t="s">
        <v>3090</v>
      </c>
      <c r="E56" s="27" t="s">
        <v>233</v>
      </c>
      <c r="F56" s="9" t="s">
        <v>3161</v>
      </c>
      <c r="G56" s="27" t="s">
        <v>1276</v>
      </c>
      <c r="H56" s="27" t="s">
        <v>1334</v>
      </c>
      <c r="I56" s="27" t="s">
        <v>3151</v>
      </c>
      <c r="J56" s="11" t="n">
        <v>-0.7</v>
      </c>
      <c r="K56" s="11" t="n">
        <v>-0.7</v>
      </c>
      <c r="L56" s="11" t="n">
        <v>-0.7</v>
      </c>
      <c r="M56" s="11" t="n">
        <v>0</v>
      </c>
      <c r="N56" s="27" t="s">
        <v>3094</v>
      </c>
      <c r="O56" s="27" t="s">
        <v>86</v>
      </c>
      <c r="P56" s="27" t="s">
        <v>1580</v>
      </c>
      <c r="Q56" s="23" t="s">
        <v>697</v>
      </c>
      <c r="R56" s="9" t="s">
        <v>3162</v>
      </c>
    </row>
    <row r="57" customFormat="false" ht="19.5" hidden="false" customHeight="true" outlineLevel="0" collapsed="false">
      <c r="A57" s="25" t="s">
        <v>3178</v>
      </c>
      <c r="B57" s="25" t="s">
        <v>3088</v>
      </c>
      <c r="C57" s="25" t="s">
        <v>3149</v>
      </c>
      <c r="D57" s="25" t="s">
        <v>3090</v>
      </c>
      <c r="E57" s="25" t="s">
        <v>257</v>
      </c>
      <c r="F57" s="12" t="s">
        <v>3150</v>
      </c>
      <c r="G57" s="25" t="s">
        <v>1276</v>
      </c>
      <c r="H57" s="25" t="s">
        <v>1334</v>
      </c>
      <c r="I57" s="25" t="s">
        <v>3151</v>
      </c>
      <c r="J57" s="14" t="n">
        <v>0.16</v>
      </c>
      <c r="K57" s="14" t="n">
        <v>0.14</v>
      </c>
      <c r="L57" s="14" t="n">
        <v>0.18</v>
      </c>
      <c r="M57" s="14" t="n">
        <v>0.04</v>
      </c>
      <c r="N57" s="25" t="s">
        <v>3094</v>
      </c>
      <c r="O57" s="25" t="s">
        <v>86</v>
      </c>
      <c r="P57" s="25" t="s">
        <v>1580</v>
      </c>
      <c r="Q57" s="22" t="s">
        <v>697</v>
      </c>
      <c r="R57" s="12" t="s">
        <v>3152</v>
      </c>
    </row>
    <row r="58" customFormat="false" ht="19.5" hidden="false" customHeight="true" outlineLevel="0" collapsed="false">
      <c r="A58" s="27" t="s">
        <v>3179</v>
      </c>
      <c r="B58" s="27" t="s">
        <v>3088</v>
      </c>
      <c r="C58" s="27" t="s">
        <v>3149</v>
      </c>
      <c r="D58" s="27" t="s">
        <v>3090</v>
      </c>
      <c r="E58" s="27" t="s">
        <v>466</v>
      </c>
      <c r="F58" s="9" t="s">
        <v>3154</v>
      </c>
      <c r="G58" s="27" t="s">
        <v>1291</v>
      </c>
      <c r="H58" s="27" t="s">
        <v>1334</v>
      </c>
      <c r="I58" s="27" t="s">
        <v>3151</v>
      </c>
      <c r="J58" s="11" t="n">
        <v>0.55</v>
      </c>
      <c r="K58" s="11" t="n">
        <v>0.52</v>
      </c>
      <c r="L58" s="11" t="n">
        <v>0.58</v>
      </c>
      <c r="M58" s="11" t="n">
        <v>0.06</v>
      </c>
      <c r="N58" s="27" t="s">
        <v>3094</v>
      </c>
      <c r="O58" s="27" t="s">
        <v>86</v>
      </c>
      <c r="P58" s="27" t="s">
        <v>1580</v>
      </c>
      <c r="Q58" s="23" t="s">
        <v>713</v>
      </c>
      <c r="R58" s="9" t="s">
        <v>3155</v>
      </c>
    </row>
    <row r="59" customFormat="false" ht="19.5" hidden="false" customHeight="true" outlineLevel="0" collapsed="false">
      <c r="A59" s="25" t="s">
        <v>3180</v>
      </c>
      <c r="B59" s="25" t="s">
        <v>3088</v>
      </c>
      <c r="C59" s="25" t="s">
        <v>3149</v>
      </c>
      <c r="D59" s="25" t="s">
        <v>3090</v>
      </c>
      <c r="E59" s="25" t="s">
        <v>233</v>
      </c>
      <c r="F59" s="12" t="s">
        <v>3161</v>
      </c>
      <c r="G59" s="25" t="s">
        <v>1291</v>
      </c>
      <c r="H59" s="25" t="s">
        <v>1334</v>
      </c>
      <c r="I59" s="25" t="s">
        <v>3151</v>
      </c>
      <c r="J59" s="14" t="n">
        <v>-0.705</v>
      </c>
      <c r="K59" s="14" t="n">
        <v>-0.71</v>
      </c>
      <c r="L59" s="14" t="n">
        <v>-0.7</v>
      </c>
      <c r="M59" s="14" t="n">
        <v>0.01</v>
      </c>
      <c r="N59" s="25" t="s">
        <v>3094</v>
      </c>
      <c r="O59" s="25" t="s">
        <v>86</v>
      </c>
      <c r="P59" s="25" t="s">
        <v>1580</v>
      </c>
      <c r="Q59" s="22" t="s">
        <v>713</v>
      </c>
      <c r="R59" s="12" t="s">
        <v>3162</v>
      </c>
    </row>
    <row r="60" customFormat="false" ht="19.5" hidden="false" customHeight="true" outlineLevel="0" collapsed="false">
      <c r="A60" s="27" t="s">
        <v>3181</v>
      </c>
      <c r="B60" s="27" t="s">
        <v>3088</v>
      </c>
      <c r="C60" s="27" t="s">
        <v>3149</v>
      </c>
      <c r="D60" s="27" t="s">
        <v>3090</v>
      </c>
      <c r="E60" s="27" t="s">
        <v>257</v>
      </c>
      <c r="F60" s="9" t="s">
        <v>3150</v>
      </c>
      <c r="G60" s="27" t="s">
        <v>1291</v>
      </c>
      <c r="H60" s="27" t="s">
        <v>1334</v>
      </c>
      <c r="I60" s="27" t="s">
        <v>3151</v>
      </c>
      <c r="J60" s="11" t="n">
        <v>0.18</v>
      </c>
      <c r="K60" s="11" t="n">
        <v>0.15</v>
      </c>
      <c r="L60" s="11" t="n">
        <v>0.21</v>
      </c>
      <c r="M60" s="11" t="n">
        <v>0.06</v>
      </c>
      <c r="N60" s="27" t="s">
        <v>3094</v>
      </c>
      <c r="O60" s="27" t="s">
        <v>86</v>
      </c>
      <c r="P60" s="27" t="s">
        <v>1580</v>
      </c>
      <c r="Q60" s="23" t="s">
        <v>713</v>
      </c>
      <c r="R60" s="9" t="s">
        <v>3152</v>
      </c>
    </row>
    <row r="61" customFormat="false" ht="19.5" hidden="false" customHeight="true" outlineLevel="0" collapsed="false">
      <c r="A61" s="25" t="s">
        <v>3182</v>
      </c>
      <c r="B61" s="25" t="s">
        <v>3088</v>
      </c>
      <c r="C61" s="25" t="s">
        <v>3149</v>
      </c>
      <c r="D61" s="25" t="s">
        <v>3090</v>
      </c>
      <c r="E61" s="25" t="s">
        <v>466</v>
      </c>
      <c r="F61" s="12" t="s">
        <v>3154</v>
      </c>
      <c r="G61" s="25" t="s">
        <v>1306</v>
      </c>
      <c r="H61" s="25" t="s">
        <v>1334</v>
      </c>
      <c r="I61" s="25" t="s">
        <v>3151</v>
      </c>
      <c r="J61" s="14" t="n">
        <v>0.57</v>
      </c>
      <c r="K61" s="14" t="n">
        <v>0.54</v>
      </c>
      <c r="L61" s="14" t="n">
        <v>0.6</v>
      </c>
      <c r="M61" s="14" t="n">
        <v>0.06</v>
      </c>
      <c r="N61" s="25" t="s">
        <v>3094</v>
      </c>
      <c r="O61" s="25" t="s">
        <v>86</v>
      </c>
      <c r="P61" s="25" t="s">
        <v>1580</v>
      </c>
      <c r="Q61" s="22" t="s">
        <v>729</v>
      </c>
      <c r="R61" s="12" t="s">
        <v>3155</v>
      </c>
    </row>
    <row r="62" customFormat="false" ht="19.5" hidden="false" customHeight="true" outlineLevel="0" collapsed="false">
      <c r="A62" s="27" t="s">
        <v>3183</v>
      </c>
      <c r="B62" s="27" t="s">
        <v>3088</v>
      </c>
      <c r="C62" s="27" t="s">
        <v>3149</v>
      </c>
      <c r="D62" s="27" t="s">
        <v>3090</v>
      </c>
      <c r="E62" s="27" t="s">
        <v>233</v>
      </c>
      <c r="F62" s="9" t="s">
        <v>3161</v>
      </c>
      <c r="G62" s="27" t="s">
        <v>1306</v>
      </c>
      <c r="H62" s="27" t="s">
        <v>1334</v>
      </c>
      <c r="I62" s="27" t="s">
        <v>3151</v>
      </c>
      <c r="J62" s="11" t="n">
        <v>-0.715</v>
      </c>
      <c r="K62" s="11" t="n">
        <v>-0.72</v>
      </c>
      <c r="L62" s="11" t="n">
        <v>-0.71</v>
      </c>
      <c r="M62" s="11" t="n">
        <v>0.01</v>
      </c>
      <c r="N62" s="27" t="s">
        <v>3094</v>
      </c>
      <c r="O62" s="27" t="s">
        <v>86</v>
      </c>
      <c r="P62" s="27" t="s">
        <v>1580</v>
      </c>
      <c r="Q62" s="23" t="s">
        <v>729</v>
      </c>
      <c r="R62" s="9" t="s">
        <v>3162</v>
      </c>
    </row>
    <row r="63" customFormat="false" ht="19.5" hidden="false" customHeight="true" outlineLevel="0" collapsed="false">
      <c r="A63" s="25" t="s">
        <v>3184</v>
      </c>
      <c r="B63" s="25" t="s">
        <v>3088</v>
      </c>
      <c r="C63" s="25" t="s">
        <v>3149</v>
      </c>
      <c r="D63" s="25" t="s">
        <v>3090</v>
      </c>
      <c r="E63" s="25" t="s">
        <v>257</v>
      </c>
      <c r="F63" s="12" t="s">
        <v>3150</v>
      </c>
      <c r="G63" s="25" t="s">
        <v>1306</v>
      </c>
      <c r="H63" s="25" t="s">
        <v>1334</v>
      </c>
      <c r="I63" s="25" t="s">
        <v>3151</v>
      </c>
      <c r="J63" s="14" t="n">
        <v>0.205</v>
      </c>
      <c r="K63" s="14" t="n">
        <v>0.18</v>
      </c>
      <c r="L63" s="14" t="n">
        <v>0.23</v>
      </c>
      <c r="M63" s="14" t="n">
        <v>0.05</v>
      </c>
      <c r="N63" s="25" t="s">
        <v>3094</v>
      </c>
      <c r="O63" s="25" t="s">
        <v>86</v>
      </c>
      <c r="P63" s="25" t="s">
        <v>1580</v>
      </c>
      <c r="Q63" s="22" t="s">
        <v>729</v>
      </c>
      <c r="R63" s="12" t="s">
        <v>3152</v>
      </c>
    </row>
    <row r="64" customFormat="false" ht="19.5" hidden="false" customHeight="true" outlineLevel="0" collapsed="false">
      <c r="A64" s="27" t="s">
        <v>3185</v>
      </c>
      <c r="B64" s="27" t="s">
        <v>3088</v>
      </c>
      <c r="C64" s="27" t="s">
        <v>3149</v>
      </c>
      <c r="D64" s="27" t="s">
        <v>3090</v>
      </c>
      <c r="E64" s="27" t="s">
        <v>334</v>
      </c>
      <c r="F64" s="9" t="s">
        <v>3186</v>
      </c>
      <c r="G64" s="27" t="s">
        <v>1374</v>
      </c>
      <c r="H64" s="27" t="s">
        <v>1334</v>
      </c>
      <c r="I64" s="27" t="s">
        <v>3151</v>
      </c>
      <c r="J64" s="11" t="n">
        <v>0.9</v>
      </c>
      <c r="K64" s="11" t="n">
        <v>-0.76</v>
      </c>
      <c r="L64" s="11" t="n">
        <v>0.93</v>
      </c>
      <c r="M64" s="11" t="n">
        <v>1.69</v>
      </c>
      <c r="N64" s="27" t="s">
        <v>3094</v>
      </c>
      <c r="O64" s="27" t="s">
        <v>86</v>
      </c>
      <c r="P64" s="27" t="s">
        <v>1580</v>
      </c>
      <c r="Q64" s="23" t="s">
        <v>1326</v>
      </c>
      <c r="R64" s="9" t="s">
        <v>3187</v>
      </c>
    </row>
    <row r="65" customFormat="false" ht="19.5" hidden="false" customHeight="true" outlineLevel="0" collapsed="false">
      <c r="A65" s="25" t="s">
        <v>3188</v>
      </c>
      <c r="B65" s="25" t="s">
        <v>3088</v>
      </c>
      <c r="C65" s="25" t="s">
        <v>3149</v>
      </c>
      <c r="D65" s="25" t="s">
        <v>3090</v>
      </c>
      <c r="E65" s="25" t="s">
        <v>328</v>
      </c>
      <c r="F65" s="12" t="s">
        <v>3189</v>
      </c>
      <c r="G65" s="25" t="s">
        <v>1374</v>
      </c>
      <c r="H65" s="25" t="s">
        <v>1334</v>
      </c>
      <c r="I65" s="25" t="s">
        <v>3151</v>
      </c>
      <c r="J65" s="14" t="n">
        <v>0.91</v>
      </c>
      <c r="K65" s="14" t="n">
        <v>-0.66</v>
      </c>
      <c r="L65" s="14" t="n">
        <v>0.96</v>
      </c>
      <c r="M65" s="14" t="n">
        <v>1.62</v>
      </c>
      <c r="N65" s="25" t="s">
        <v>3094</v>
      </c>
      <c r="O65" s="25" t="s">
        <v>86</v>
      </c>
      <c r="P65" s="25" t="s">
        <v>1580</v>
      </c>
      <c r="Q65" s="22" t="s">
        <v>1326</v>
      </c>
      <c r="R65" s="12" t="s">
        <v>3190</v>
      </c>
    </row>
    <row r="66" customFormat="false" ht="19.5" hidden="false" customHeight="true" outlineLevel="0" collapsed="false">
      <c r="A66" s="27" t="s">
        <v>3191</v>
      </c>
      <c r="B66" s="27" t="s">
        <v>3088</v>
      </c>
      <c r="C66" s="27" t="s">
        <v>3149</v>
      </c>
      <c r="D66" s="27" t="s">
        <v>3090</v>
      </c>
      <c r="E66" s="27" t="s">
        <v>466</v>
      </c>
      <c r="F66" s="9" t="s">
        <v>1578</v>
      </c>
      <c r="G66" s="27" t="s">
        <v>1374</v>
      </c>
      <c r="H66" s="27" t="s">
        <v>1334</v>
      </c>
      <c r="I66" s="27" t="s">
        <v>3151</v>
      </c>
      <c r="J66" s="30"/>
      <c r="K66" s="11" t="n">
        <v>-0.69</v>
      </c>
      <c r="L66" s="11" t="n">
        <v>0.9</v>
      </c>
      <c r="M66" s="11" t="n">
        <v>1.59</v>
      </c>
      <c r="N66" s="27" t="s">
        <v>3094</v>
      </c>
      <c r="O66" s="27" t="s">
        <v>86</v>
      </c>
      <c r="P66" s="27" t="s">
        <v>1580</v>
      </c>
      <c r="Q66" s="23" t="s">
        <v>1326</v>
      </c>
      <c r="R66" s="9" t="s">
        <v>3155</v>
      </c>
    </row>
    <row r="67" customFormat="false" ht="19.5" hidden="false" customHeight="true" outlineLevel="0" collapsed="false">
      <c r="A67" s="25" t="s">
        <v>3192</v>
      </c>
      <c r="B67" s="25" t="s">
        <v>3088</v>
      </c>
      <c r="C67" s="25" t="s">
        <v>3149</v>
      </c>
      <c r="D67" s="25" t="s">
        <v>3090</v>
      </c>
      <c r="E67" s="25" t="s">
        <v>492</v>
      </c>
      <c r="F67" s="12" t="s">
        <v>1583</v>
      </c>
      <c r="G67" s="25" t="s">
        <v>1374</v>
      </c>
      <c r="H67" s="25" t="s">
        <v>1334</v>
      </c>
      <c r="I67" s="25" t="s">
        <v>3151</v>
      </c>
      <c r="J67" s="14" t="n">
        <v>0.53</v>
      </c>
      <c r="K67" s="14" t="n">
        <v>0.5</v>
      </c>
      <c r="L67" s="14" t="n">
        <v>0.53</v>
      </c>
      <c r="M67" s="14" t="n">
        <v>0.03</v>
      </c>
      <c r="N67" s="25" t="s">
        <v>3094</v>
      </c>
      <c r="O67" s="25" t="s">
        <v>86</v>
      </c>
      <c r="P67" s="25" t="s">
        <v>1580</v>
      </c>
      <c r="Q67" s="22" t="s">
        <v>1326</v>
      </c>
      <c r="R67" s="12" t="s">
        <v>3155</v>
      </c>
    </row>
    <row r="68" customFormat="false" ht="19.5" hidden="false" customHeight="true" outlineLevel="0" collapsed="false">
      <c r="A68" s="27" t="s">
        <v>3193</v>
      </c>
      <c r="B68" s="27" t="s">
        <v>3088</v>
      </c>
      <c r="C68" s="27" t="s">
        <v>3149</v>
      </c>
      <c r="D68" s="27" t="s">
        <v>3090</v>
      </c>
      <c r="E68" s="27" t="s">
        <v>473</v>
      </c>
      <c r="F68" s="9" t="s">
        <v>1585</v>
      </c>
      <c r="G68" s="27" t="s">
        <v>1374</v>
      </c>
      <c r="H68" s="27" t="s">
        <v>1334</v>
      </c>
      <c r="I68" s="27" t="s">
        <v>3151</v>
      </c>
      <c r="J68" s="11" t="n">
        <v>0.54</v>
      </c>
      <c r="K68" s="11" t="n">
        <v>0.2</v>
      </c>
      <c r="L68" s="11" t="n">
        <v>0.54</v>
      </c>
      <c r="M68" s="11" t="n">
        <v>0.34</v>
      </c>
      <c r="N68" s="27" t="s">
        <v>3094</v>
      </c>
      <c r="O68" s="27" t="s">
        <v>86</v>
      </c>
      <c r="P68" s="27" t="s">
        <v>1580</v>
      </c>
      <c r="Q68" s="23" t="s">
        <v>1326</v>
      </c>
      <c r="R68" s="9" t="s">
        <v>3155</v>
      </c>
    </row>
    <row r="69" customFormat="false" ht="19.5" hidden="false" customHeight="true" outlineLevel="0" collapsed="false">
      <c r="A69" s="25" t="s">
        <v>3194</v>
      </c>
      <c r="B69" s="25" t="s">
        <v>3088</v>
      </c>
      <c r="C69" s="25" t="s">
        <v>3149</v>
      </c>
      <c r="D69" s="25" t="s">
        <v>3090</v>
      </c>
      <c r="E69" s="25" t="s">
        <v>459</v>
      </c>
      <c r="F69" s="12" t="s">
        <v>1587</v>
      </c>
      <c r="G69" s="25" t="s">
        <v>1374</v>
      </c>
      <c r="H69" s="25" t="s">
        <v>1334</v>
      </c>
      <c r="I69" s="25" t="s">
        <v>3151</v>
      </c>
      <c r="J69" s="29"/>
      <c r="K69" s="14" t="n">
        <v>-0.78</v>
      </c>
      <c r="L69" s="14" t="n">
        <v>0.9</v>
      </c>
      <c r="M69" s="14" t="n">
        <v>1.68</v>
      </c>
      <c r="N69" s="25" t="s">
        <v>3094</v>
      </c>
      <c r="O69" s="25" t="s">
        <v>86</v>
      </c>
      <c r="P69" s="25" t="s">
        <v>1580</v>
      </c>
      <c r="Q69" s="22" t="s">
        <v>1326</v>
      </c>
      <c r="R69" s="12" t="s">
        <v>3155</v>
      </c>
    </row>
    <row r="70" customFormat="false" ht="19.5" hidden="false" customHeight="true" outlineLevel="0" collapsed="false">
      <c r="A70" s="27" t="s">
        <v>3195</v>
      </c>
      <c r="B70" s="27" t="s">
        <v>3088</v>
      </c>
      <c r="C70" s="27" t="s">
        <v>3149</v>
      </c>
      <c r="D70" s="27" t="s">
        <v>3090</v>
      </c>
      <c r="E70" s="27" t="s">
        <v>486</v>
      </c>
      <c r="F70" s="9" t="s">
        <v>1589</v>
      </c>
      <c r="G70" s="27" t="s">
        <v>1374</v>
      </c>
      <c r="H70" s="27" t="s">
        <v>1334</v>
      </c>
      <c r="I70" s="27" t="s">
        <v>3151</v>
      </c>
      <c r="J70" s="11" t="n">
        <v>0.62</v>
      </c>
      <c r="K70" s="11" t="n">
        <v>-0.2</v>
      </c>
      <c r="L70" s="11" t="n">
        <v>0.62</v>
      </c>
      <c r="M70" s="11" t="n">
        <v>0.82</v>
      </c>
      <c r="N70" s="27" t="s">
        <v>3094</v>
      </c>
      <c r="O70" s="27" t="s">
        <v>86</v>
      </c>
      <c r="P70" s="27" t="s">
        <v>1580</v>
      </c>
      <c r="Q70" s="23" t="s">
        <v>1326</v>
      </c>
      <c r="R70" s="9" t="s">
        <v>3155</v>
      </c>
    </row>
    <row r="71" customFormat="false" ht="19.5" hidden="false" customHeight="true" outlineLevel="0" collapsed="false">
      <c r="A71" s="25" t="s">
        <v>3196</v>
      </c>
      <c r="B71" s="25" t="s">
        <v>3088</v>
      </c>
      <c r="C71" s="25" t="s">
        <v>3149</v>
      </c>
      <c r="D71" s="25" t="s">
        <v>3090</v>
      </c>
      <c r="E71" s="25" t="s">
        <v>479</v>
      </c>
      <c r="F71" s="12" t="s">
        <v>1591</v>
      </c>
      <c r="G71" s="25" t="s">
        <v>1374</v>
      </c>
      <c r="H71" s="25" t="s">
        <v>1334</v>
      </c>
      <c r="I71" s="25" t="s">
        <v>3151</v>
      </c>
      <c r="J71" s="14" t="n">
        <v>0.54</v>
      </c>
      <c r="K71" s="14" t="n">
        <v>0.2</v>
      </c>
      <c r="L71" s="14" t="n">
        <v>0.54</v>
      </c>
      <c r="M71" s="14" t="n">
        <v>0.34</v>
      </c>
      <c r="N71" s="25" t="s">
        <v>3094</v>
      </c>
      <c r="O71" s="25" t="s">
        <v>86</v>
      </c>
      <c r="P71" s="25" t="s">
        <v>1580</v>
      </c>
      <c r="Q71" s="22" t="s">
        <v>1326</v>
      </c>
      <c r="R71" s="12" t="s">
        <v>3155</v>
      </c>
    </row>
    <row r="72" customFormat="false" ht="19.5" hidden="false" customHeight="true" outlineLevel="0" collapsed="false">
      <c r="A72" s="27" t="s">
        <v>3197</v>
      </c>
      <c r="B72" s="27" t="s">
        <v>3088</v>
      </c>
      <c r="C72" s="27" t="s">
        <v>3149</v>
      </c>
      <c r="D72" s="27" t="s">
        <v>3090</v>
      </c>
      <c r="E72" s="27" t="s">
        <v>233</v>
      </c>
      <c r="F72" s="9" t="s">
        <v>1593</v>
      </c>
      <c r="G72" s="27" t="s">
        <v>1374</v>
      </c>
      <c r="H72" s="27" t="s">
        <v>1334</v>
      </c>
      <c r="I72" s="27" t="s">
        <v>3151</v>
      </c>
      <c r="J72" s="11" t="n">
        <v>0.34</v>
      </c>
      <c r="K72" s="11" t="n">
        <v>0.23</v>
      </c>
      <c r="L72" s="11" t="n">
        <v>0.34</v>
      </c>
      <c r="M72" s="11" t="n">
        <v>0.11</v>
      </c>
      <c r="N72" s="27" t="s">
        <v>3094</v>
      </c>
      <c r="O72" s="27" t="s">
        <v>86</v>
      </c>
      <c r="P72" s="27" t="s">
        <v>1580</v>
      </c>
      <c r="Q72" s="23" t="s">
        <v>1326</v>
      </c>
      <c r="R72" s="9" t="s">
        <v>3162</v>
      </c>
    </row>
    <row r="73" customFormat="false" ht="19.5" hidden="false" customHeight="true" outlineLevel="0" collapsed="false">
      <c r="A73" s="25" t="s">
        <v>3198</v>
      </c>
      <c r="B73" s="25" t="s">
        <v>3088</v>
      </c>
      <c r="C73" s="25" t="s">
        <v>3149</v>
      </c>
      <c r="D73" s="25" t="s">
        <v>3090</v>
      </c>
      <c r="E73" s="25" t="s">
        <v>448</v>
      </c>
      <c r="F73" s="12" t="s">
        <v>1595</v>
      </c>
      <c r="G73" s="25" t="s">
        <v>1374</v>
      </c>
      <c r="H73" s="25" t="s">
        <v>1334</v>
      </c>
      <c r="I73" s="25" t="s">
        <v>3151</v>
      </c>
      <c r="J73" s="14" t="n">
        <v>0.2</v>
      </c>
      <c r="K73" s="29"/>
      <c r="L73" s="29"/>
      <c r="M73" s="29"/>
      <c r="N73" s="25" t="s">
        <v>3094</v>
      </c>
      <c r="O73" s="25" t="s">
        <v>86</v>
      </c>
      <c r="P73" s="25" t="s">
        <v>1580</v>
      </c>
      <c r="Q73" s="22" t="s">
        <v>1326</v>
      </c>
      <c r="R73" s="12" t="s">
        <v>3152</v>
      </c>
    </row>
    <row r="74" customFormat="false" ht="19.5" hidden="false" customHeight="true" outlineLevel="0" collapsed="false">
      <c r="A74" s="27" t="s">
        <v>3199</v>
      </c>
      <c r="B74" s="27" t="s">
        <v>3088</v>
      </c>
      <c r="C74" s="27" t="s">
        <v>3149</v>
      </c>
      <c r="D74" s="27" t="s">
        <v>3090</v>
      </c>
      <c r="E74" s="27" t="s">
        <v>455</v>
      </c>
      <c r="F74" s="9" t="s">
        <v>1597</v>
      </c>
      <c r="G74" s="27" t="s">
        <v>1374</v>
      </c>
      <c r="H74" s="27" t="s">
        <v>1334</v>
      </c>
      <c r="I74" s="27" t="s">
        <v>3151</v>
      </c>
      <c r="J74" s="11" t="n">
        <v>0.34</v>
      </c>
      <c r="K74" s="30"/>
      <c r="L74" s="30"/>
      <c r="M74" s="30"/>
      <c r="N74" s="27" t="s">
        <v>3094</v>
      </c>
      <c r="O74" s="27" t="s">
        <v>86</v>
      </c>
      <c r="P74" s="27" t="s">
        <v>1580</v>
      </c>
      <c r="Q74" s="23" t="s">
        <v>1326</v>
      </c>
      <c r="R74" s="9" t="s">
        <v>3152</v>
      </c>
    </row>
    <row r="75" customFormat="false" ht="19.5" hidden="false" customHeight="true" outlineLevel="0" collapsed="false">
      <c r="A75" s="25" t="s">
        <v>3200</v>
      </c>
      <c r="B75" s="25" t="s">
        <v>3088</v>
      </c>
      <c r="C75" s="25" t="s">
        <v>3149</v>
      </c>
      <c r="D75" s="25" t="s">
        <v>3090</v>
      </c>
      <c r="E75" s="25" t="s">
        <v>439</v>
      </c>
      <c r="F75" s="12" t="s">
        <v>1599</v>
      </c>
      <c r="G75" s="25" t="s">
        <v>1374</v>
      </c>
      <c r="H75" s="25" t="s">
        <v>1334</v>
      </c>
      <c r="I75" s="25" t="s">
        <v>3151</v>
      </c>
      <c r="J75" s="14" t="n">
        <v>0.42</v>
      </c>
      <c r="K75" s="29"/>
      <c r="L75" s="29"/>
      <c r="M75" s="29"/>
      <c r="N75" s="25" t="s">
        <v>3094</v>
      </c>
      <c r="O75" s="25" t="s">
        <v>86</v>
      </c>
      <c r="P75" s="25" t="s">
        <v>1580</v>
      </c>
      <c r="Q75" s="22" t="s">
        <v>1326</v>
      </c>
      <c r="R75" s="12" t="s">
        <v>3152</v>
      </c>
    </row>
    <row r="76" customFormat="false" ht="19.5" hidden="false" customHeight="true" outlineLevel="0" collapsed="false">
      <c r="A76" s="27" t="s">
        <v>3201</v>
      </c>
      <c r="B76" s="27" t="s">
        <v>3088</v>
      </c>
      <c r="C76" s="27" t="s">
        <v>3149</v>
      </c>
      <c r="D76" s="27" t="s">
        <v>3090</v>
      </c>
      <c r="E76" s="27" t="s">
        <v>426</v>
      </c>
      <c r="F76" s="9" t="s">
        <v>1601</v>
      </c>
      <c r="G76" s="27" t="s">
        <v>1374</v>
      </c>
      <c r="H76" s="27" t="s">
        <v>1334</v>
      </c>
      <c r="I76" s="27" t="s">
        <v>3151</v>
      </c>
      <c r="J76" s="11" t="n">
        <v>0.12</v>
      </c>
      <c r="K76" s="11" t="n">
        <v>-0.66</v>
      </c>
      <c r="L76" s="11" t="n">
        <v>0.31</v>
      </c>
      <c r="M76" s="11" t="n">
        <v>0.97</v>
      </c>
      <c r="N76" s="27" t="s">
        <v>3094</v>
      </c>
      <c r="O76" s="27" t="s">
        <v>86</v>
      </c>
      <c r="P76" s="27" t="s">
        <v>1580</v>
      </c>
      <c r="Q76" s="23" t="s">
        <v>1326</v>
      </c>
      <c r="R76" s="9" t="s">
        <v>3152</v>
      </c>
    </row>
    <row r="77" customFormat="false" ht="19.5" hidden="false" customHeight="true" outlineLevel="0" collapsed="false">
      <c r="A77" s="25" t="s">
        <v>3202</v>
      </c>
      <c r="B77" s="25" t="s">
        <v>3088</v>
      </c>
      <c r="C77" s="25" t="s">
        <v>3149</v>
      </c>
      <c r="D77" s="25" t="s">
        <v>3090</v>
      </c>
      <c r="E77" s="25" t="s">
        <v>385</v>
      </c>
      <c r="F77" s="12" t="s">
        <v>1603</v>
      </c>
      <c r="G77" s="25" t="s">
        <v>1374</v>
      </c>
      <c r="H77" s="25" t="s">
        <v>1334</v>
      </c>
      <c r="I77" s="25" t="s">
        <v>3151</v>
      </c>
      <c r="J77" s="14" t="n">
        <v>0.27</v>
      </c>
      <c r="K77" s="14" t="n">
        <v>0.17</v>
      </c>
      <c r="L77" s="14" t="n">
        <v>0.33</v>
      </c>
      <c r="M77" s="14" t="n">
        <v>0.16</v>
      </c>
      <c r="N77" s="25" t="s">
        <v>3094</v>
      </c>
      <c r="O77" s="25" t="s">
        <v>86</v>
      </c>
      <c r="P77" s="25" t="s">
        <v>1580</v>
      </c>
      <c r="Q77" s="22" t="s">
        <v>1326</v>
      </c>
      <c r="R77" s="12" t="s">
        <v>3152</v>
      </c>
    </row>
    <row r="78" customFormat="false" ht="19.5" hidden="false" customHeight="true" outlineLevel="0" collapsed="false">
      <c r="A78" s="27" t="s">
        <v>3203</v>
      </c>
      <c r="B78" s="27" t="s">
        <v>3088</v>
      </c>
      <c r="C78" s="27" t="s">
        <v>3149</v>
      </c>
      <c r="D78" s="27" t="s">
        <v>3090</v>
      </c>
      <c r="E78" s="27" t="s">
        <v>392</v>
      </c>
      <c r="F78" s="9" t="s">
        <v>1605</v>
      </c>
      <c r="G78" s="27" t="s">
        <v>1374</v>
      </c>
      <c r="H78" s="27" t="s">
        <v>1334</v>
      </c>
      <c r="I78" s="27" t="s">
        <v>3151</v>
      </c>
      <c r="J78" s="11" t="n">
        <v>0.35</v>
      </c>
      <c r="K78" s="11" t="n">
        <v>0.33</v>
      </c>
      <c r="L78" s="11" t="n">
        <v>0.35</v>
      </c>
      <c r="M78" s="11" t="n">
        <v>0.02</v>
      </c>
      <c r="N78" s="27" t="s">
        <v>3094</v>
      </c>
      <c r="O78" s="27" t="s">
        <v>86</v>
      </c>
      <c r="P78" s="27" t="s">
        <v>1580</v>
      </c>
      <c r="Q78" s="23" t="s">
        <v>1326</v>
      </c>
      <c r="R78" s="9" t="s">
        <v>3152</v>
      </c>
    </row>
    <row r="79" customFormat="false" ht="19.5" hidden="false" customHeight="true" outlineLevel="0" collapsed="false">
      <c r="A79" s="25" t="s">
        <v>3204</v>
      </c>
      <c r="B79" s="25" t="s">
        <v>3088</v>
      </c>
      <c r="C79" s="25" t="s">
        <v>3149</v>
      </c>
      <c r="D79" s="25" t="s">
        <v>3090</v>
      </c>
      <c r="E79" s="25" t="s">
        <v>399</v>
      </c>
      <c r="F79" s="12" t="s">
        <v>1607</v>
      </c>
      <c r="G79" s="25" t="s">
        <v>1374</v>
      </c>
      <c r="H79" s="25" t="s">
        <v>1334</v>
      </c>
      <c r="I79" s="25" t="s">
        <v>3151</v>
      </c>
      <c r="J79" s="14" t="n">
        <v>0.26</v>
      </c>
      <c r="K79" s="14" t="n">
        <v>-0.45</v>
      </c>
      <c r="L79" s="14" t="n">
        <v>0.32</v>
      </c>
      <c r="M79" s="14" t="n">
        <v>0.77</v>
      </c>
      <c r="N79" s="25" t="s">
        <v>3094</v>
      </c>
      <c r="O79" s="25" t="s">
        <v>86</v>
      </c>
      <c r="P79" s="25" t="s">
        <v>1580</v>
      </c>
      <c r="Q79" s="22" t="s">
        <v>1326</v>
      </c>
      <c r="R79" s="12" t="s">
        <v>3152</v>
      </c>
    </row>
    <row r="80" customFormat="false" ht="19.5" hidden="false" customHeight="true" outlineLevel="0" collapsed="false">
      <c r="A80" s="27" t="s">
        <v>3205</v>
      </c>
      <c r="B80" s="27" t="s">
        <v>3088</v>
      </c>
      <c r="C80" s="27" t="s">
        <v>3149</v>
      </c>
      <c r="D80" s="27" t="s">
        <v>3090</v>
      </c>
      <c r="E80" s="27" t="s">
        <v>433</v>
      </c>
      <c r="F80" s="9" t="s">
        <v>1609</v>
      </c>
      <c r="G80" s="27" t="s">
        <v>1374</v>
      </c>
      <c r="H80" s="27" t="s">
        <v>1334</v>
      </c>
      <c r="I80" s="27" t="s">
        <v>3151</v>
      </c>
      <c r="J80" s="11" t="n">
        <v>0.2</v>
      </c>
      <c r="K80" s="30"/>
      <c r="L80" s="30"/>
      <c r="M80" s="30"/>
      <c r="N80" s="27" t="s">
        <v>3094</v>
      </c>
      <c r="O80" s="27" t="s">
        <v>86</v>
      </c>
      <c r="P80" s="27" t="s">
        <v>1580</v>
      </c>
      <c r="Q80" s="23" t="s">
        <v>1326</v>
      </c>
      <c r="R80" s="9" t="s">
        <v>3152</v>
      </c>
    </row>
    <row r="81" customFormat="false" ht="19.5" hidden="false" customHeight="true" outlineLevel="0" collapsed="false">
      <c r="A81" s="25" t="s">
        <v>3206</v>
      </c>
      <c r="B81" s="25" t="s">
        <v>3088</v>
      </c>
      <c r="C81" s="25" t="s">
        <v>3149</v>
      </c>
      <c r="D81" s="25" t="s">
        <v>3090</v>
      </c>
      <c r="E81" s="25" t="s">
        <v>405</v>
      </c>
      <c r="F81" s="12" t="s">
        <v>1611</v>
      </c>
      <c r="G81" s="25" t="s">
        <v>1374</v>
      </c>
      <c r="H81" s="25" t="s">
        <v>1334</v>
      </c>
      <c r="I81" s="25" t="s">
        <v>3151</v>
      </c>
      <c r="J81" s="14" t="n">
        <v>0.3</v>
      </c>
      <c r="K81" s="14" t="n">
        <v>0.22</v>
      </c>
      <c r="L81" s="14" t="n">
        <v>0.3</v>
      </c>
      <c r="M81" s="14" t="n">
        <v>0.08</v>
      </c>
      <c r="N81" s="25" t="s">
        <v>3094</v>
      </c>
      <c r="O81" s="25" t="s">
        <v>86</v>
      </c>
      <c r="P81" s="25" t="s">
        <v>1580</v>
      </c>
      <c r="Q81" s="22" t="s">
        <v>1326</v>
      </c>
      <c r="R81" s="12" t="s">
        <v>3152</v>
      </c>
    </row>
    <row r="82" customFormat="false" ht="19.5" hidden="false" customHeight="true" outlineLevel="0" collapsed="false">
      <c r="A82" s="27" t="s">
        <v>3207</v>
      </c>
      <c r="B82" s="27" t="s">
        <v>3088</v>
      </c>
      <c r="C82" s="27" t="s">
        <v>3149</v>
      </c>
      <c r="D82" s="27" t="s">
        <v>3090</v>
      </c>
      <c r="E82" s="27" t="s">
        <v>411</v>
      </c>
      <c r="F82" s="9" t="s">
        <v>1613</v>
      </c>
      <c r="G82" s="27" t="s">
        <v>1374</v>
      </c>
      <c r="H82" s="27" t="s">
        <v>1334</v>
      </c>
      <c r="I82" s="27" t="s">
        <v>3151</v>
      </c>
      <c r="J82" s="11" t="n">
        <v>0.37</v>
      </c>
      <c r="K82" s="11" t="n">
        <v>0.24</v>
      </c>
      <c r="L82" s="11" t="n">
        <v>0.37</v>
      </c>
      <c r="M82" s="11" t="n">
        <v>0.13</v>
      </c>
      <c r="N82" s="27" t="s">
        <v>3094</v>
      </c>
      <c r="O82" s="27" t="s">
        <v>86</v>
      </c>
      <c r="P82" s="27" t="s">
        <v>1580</v>
      </c>
      <c r="Q82" s="23" t="s">
        <v>1326</v>
      </c>
      <c r="R82" s="9" t="s">
        <v>3152</v>
      </c>
    </row>
    <row r="83" customFormat="false" ht="19.5" hidden="false" customHeight="true" outlineLevel="0" collapsed="false">
      <c r="A83" s="25" t="s">
        <v>3208</v>
      </c>
      <c r="B83" s="25" t="s">
        <v>3088</v>
      </c>
      <c r="C83" s="25" t="s">
        <v>3149</v>
      </c>
      <c r="D83" s="25" t="s">
        <v>3090</v>
      </c>
      <c r="E83" s="25" t="s">
        <v>416</v>
      </c>
      <c r="F83" s="12" t="s">
        <v>1615</v>
      </c>
      <c r="G83" s="25" t="s">
        <v>1374</v>
      </c>
      <c r="H83" s="25" t="s">
        <v>1334</v>
      </c>
      <c r="I83" s="25" t="s">
        <v>3151</v>
      </c>
      <c r="J83" s="14" t="n">
        <v>0.23</v>
      </c>
      <c r="K83" s="14" t="n">
        <v>0.34</v>
      </c>
      <c r="L83" s="14" t="n">
        <v>0.34</v>
      </c>
      <c r="M83" s="14" t="n">
        <v>0</v>
      </c>
      <c r="N83" s="25" t="s">
        <v>3094</v>
      </c>
      <c r="O83" s="25" t="s">
        <v>86</v>
      </c>
      <c r="P83" s="25" t="s">
        <v>1580</v>
      </c>
      <c r="Q83" s="22" t="s">
        <v>1326</v>
      </c>
      <c r="R83" s="12" t="s">
        <v>3152</v>
      </c>
    </row>
    <row r="84" customFormat="false" ht="19.5" hidden="false" customHeight="true" outlineLevel="0" collapsed="false">
      <c r="A84" s="27" t="s">
        <v>3209</v>
      </c>
      <c r="B84" s="27" t="s">
        <v>3088</v>
      </c>
      <c r="C84" s="27" t="s">
        <v>3149</v>
      </c>
      <c r="D84" s="27" t="s">
        <v>3090</v>
      </c>
      <c r="E84" s="27" t="s">
        <v>377</v>
      </c>
      <c r="F84" s="9" t="s">
        <v>1617</v>
      </c>
      <c r="G84" s="27" t="s">
        <v>1374</v>
      </c>
      <c r="H84" s="27" t="s">
        <v>1334</v>
      </c>
      <c r="I84" s="27" t="s">
        <v>3151</v>
      </c>
      <c r="J84" s="30"/>
      <c r="K84" s="11" t="n">
        <v>0.3</v>
      </c>
      <c r="L84" s="11" t="n">
        <v>0.84</v>
      </c>
      <c r="M84" s="11" t="n">
        <v>0.54</v>
      </c>
      <c r="N84" s="27" t="s">
        <v>3094</v>
      </c>
      <c r="O84" s="27" t="s">
        <v>86</v>
      </c>
      <c r="P84" s="27" t="s">
        <v>1580</v>
      </c>
      <c r="Q84" s="23" t="s">
        <v>1326</v>
      </c>
      <c r="R84" s="9" t="s">
        <v>3152</v>
      </c>
    </row>
    <row r="85" customFormat="false" ht="19.5" hidden="false" customHeight="true" outlineLevel="0" collapsed="false">
      <c r="A85" s="25" t="s">
        <v>3210</v>
      </c>
      <c r="B85" s="25" t="s">
        <v>3088</v>
      </c>
      <c r="C85" s="25" t="s">
        <v>3149</v>
      </c>
      <c r="D85" s="25" t="s">
        <v>3090</v>
      </c>
      <c r="E85" s="25" t="s">
        <v>420</v>
      </c>
      <c r="F85" s="12" t="s">
        <v>1619</v>
      </c>
      <c r="G85" s="25" t="s">
        <v>1374</v>
      </c>
      <c r="H85" s="25" t="s">
        <v>1334</v>
      </c>
      <c r="I85" s="25" t="s">
        <v>3151</v>
      </c>
      <c r="J85" s="14" t="n">
        <v>0.22</v>
      </c>
      <c r="K85" s="14" t="n">
        <v>-0.55</v>
      </c>
      <c r="L85" s="14" t="n">
        <v>0.32</v>
      </c>
      <c r="M85" s="14" t="n">
        <v>0.87</v>
      </c>
      <c r="N85" s="25" t="s">
        <v>3094</v>
      </c>
      <c r="O85" s="25" t="s">
        <v>86</v>
      </c>
      <c r="P85" s="25" t="s">
        <v>1580</v>
      </c>
      <c r="Q85" s="22" t="s">
        <v>1326</v>
      </c>
      <c r="R85" s="12" t="s">
        <v>3152</v>
      </c>
    </row>
    <row r="86" customFormat="false" ht="19.5" hidden="false" customHeight="true" outlineLevel="0" collapsed="false">
      <c r="A86" s="27" t="s">
        <v>3211</v>
      </c>
      <c r="B86" s="27" t="s">
        <v>3088</v>
      </c>
      <c r="C86" s="27" t="s">
        <v>3149</v>
      </c>
      <c r="D86" s="27" t="s">
        <v>3090</v>
      </c>
      <c r="E86" s="27" t="s">
        <v>250</v>
      </c>
      <c r="F86" s="9" t="s">
        <v>1621</v>
      </c>
      <c r="G86" s="27" t="s">
        <v>1374</v>
      </c>
      <c r="H86" s="27" t="s">
        <v>1334</v>
      </c>
      <c r="I86" s="27" t="s">
        <v>3151</v>
      </c>
      <c r="J86" s="11" t="n">
        <v>0.19</v>
      </c>
      <c r="K86" s="30"/>
      <c r="L86" s="30"/>
      <c r="M86" s="30"/>
      <c r="N86" s="27" t="s">
        <v>3094</v>
      </c>
      <c r="O86" s="27" t="s">
        <v>86</v>
      </c>
      <c r="P86" s="27" t="s">
        <v>1580</v>
      </c>
      <c r="Q86" s="23" t="s">
        <v>1326</v>
      </c>
      <c r="R86" s="9" t="s">
        <v>3152</v>
      </c>
    </row>
    <row r="87" customFormat="false" ht="19.5" hidden="false" customHeight="true" outlineLevel="0" collapsed="false">
      <c r="A87" s="25" t="s">
        <v>3212</v>
      </c>
      <c r="B87" s="25" t="s">
        <v>3088</v>
      </c>
      <c r="C87" s="25" t="s">
        <v>3149</v>
      </c>
      <c r="D87" s="25" t="s">
        <v>3090</v>
      </c>
      <c r="E87" s="25" t="s">
        <v>312</v>
      </c>
      <c r="F87" s="12" t="s">
        <v>3213</v>
      </c>
      <c r="G87" s="25" t="s">
        <v>1374</v>
      </c>
      <c r="H87" s="25" t="s">
        <v>1334</v>
      </c>
      <c r="I87" s="25" t="s">
        <v>3151</v>
      </c>
      <c r="J87" s="14" t="n">
        <v>0.95</v>
      </c>
      <c r="K87" s="14" t="n">
        <v>-0.83</v>
      </c>
      <c r="L87" s="14" t="n">
        <v>1.09</v>
      </c>
      <c r="M87" s="14" t="n">
        <v>1.92</v>
      </c>
      <c r="N87" s="25" t="s">
        <v>3094</v>
      </c>
      <c r="O87" s="25" t="s">
        <v>86</v>
      </c>
      <c r="P87" s="25" t="s">
        <v>1580</v>
      </c>
      <c r="Q87" s="22" t="s">
        <v>1326</v>
      </c>
      <c r="R87" s="12" t="s">
        <v>3214</v>
      </c>
    </row>
    <row r="88" customFormat="false" ht="19.5" hidden="false" customHeight="true" outlineLevel="0" collapsed="false">
      <c r="A88" s="27" t="s">
        <v>3215</v>
      </c>
      <c r="B88" s="27" t="s">
        <v>3088</v>
      </c>
      <c r="C88" s="27" t="s">
        <v>3149</v>
      </c>
      <c r="D88" s="27" t="s">
        <v>3090</v>
      </c>
      <c r="E88" s="27" t="s">
        <v>226</v>
      </c>
      <c r="F88" s="9" t="s">
        <v>1623</v>
      </c>
      <c r="G88" s="27" t="s">
        <v>1374</v>
      </c>
      <c r="H88" s="27" t="s">
        <v>1334</v>
      </c>
      <c r="I88" s="27" t="s">
        <v>3151</v>
      </c>
      <c r="J88" s="11" t="n">
        <v>0.2</v>
      </c>
      <c r="K88" s="11" t="n">
        <v>0.12</v>
      </c>
      <c r="L88" s="11" t="n">
        <v>0.2</v>
      </c>
      <c r="M88" s="11" t="n">
        <v>0.08</v>
      </c>
      <c r="N88" s="27" t="s">
        <v>3094</v>
      </c>
      <c r="O88" s="27" t="s">
        <v>86</v>
      </c>
      <c r="P88" s="27" t="s">
        <v>1580</v>
      </c>
      <c r="Q88" s="23" t="s">
        <v>1326</v>
      </c>
      <c r="R88" s="9" t="s">
        <v>3152</v>
      </c>
    </row>
    <row r="89" customFormat="false" ht="19.5" hidden="false" customHeight="true" outlineLevel="0" collapsed="false">
      <c r="A89" s="25" t="s">
        <v>3216</v>
      </c>
      <c r="B89" s="25" t="s">
        <v>3088</v>
      </c>
      <c r="C89" s="25" t="s">
        <v>3149</v>
      </c>
      <c r="D89" s="25" t="s">
        <v>3090</v>
      </c>
      <c r="E89" s="25" t="s">
        <v>319</v>
      </c>
      <c r="F89" s="12" t="s">
        <v>3217</v>
      </c>
      <c r="G89" s="25" t="s">
        <v>1374</v>
      </c>
      <c r="H89" s="25" t="s">
        <v>1334</v>
      </c>
      <c r="I89" s="25" t="s">
        <v>3151</v>
      </c>
      <c r="J89" s="14" t="n">
        <v>0.87</v>
      </c>
      <c r="K89" s="14" t="n">
        <v>-0.84</v>
      </c>
      <c r="L89" s="14" t="n">
        <v>1.04</v>
      </c>
      <c r="M89" s="14" t="n">
        <v>1.88</v>
      </c>
      <c r="N89" s="25" t="s">
        <v>3094</v>
      </c>
      <c r="O89" s="25" t="s">
        <v>86</v>
      </c>
      <c r="P89" s="25" t="s">
        <v>1580</v>
      </c>
      <c r="Q89" s="22" t="s">
        <v>1326</v>
      </c>
      <c r="R89" s="12" t="s">
        <v>3214</v>
      </c>
    </row>
    <row r="90" customFormat="false" ht="19.5" hidden="false" customHeight="true" outlineLevel="0" collapsed="false">
      <c r="A90" s="27" t="s">
        <v>3218</v>
      </c>
      <c r="B90" s="27" t="s">
        <v>3088</v>
      </c>
      <c r="C90" s="27" t="s">
        <v>3149</v>
      </c>
      <c r="D90" s="27" t="s">
        <v>3090</v>
      </c>
      <c r="E90" s="27" t="s">
        <v>292</v>
      </c>
      <c r="F90" s="9" t="s">
        <v>3219</v>
      </c>
      <c r="G90" s="27" t="s">
        <v>1374</v>
      </c>
      <c r="H90" s="27" t="s">
        <v>1334</v>
      </c>
      <c r="I90" s="27" t="s">
        <v>3151</v>
      </c>
      <c r="J90" s="11" t="n">
        <v>0.96</v>
      </c>
      <c r="K90" s="11" t="n">
        <v>-0.74</v>
      </c>
      <c r="L90" s="11" t="n">
        <v>1.1</v>
      </c>
      <c r="M90" s="11" t="n">
        <v>1.84</v>
      </c>
      <c r="N90" s="27" t="s">
        <v>3094</v>
      </c>
      <c r="O90" s="27" t="s">
        <v>86</v>
      </c>
      <c r="P90" s="27" t="s">
        <v>1580</v>
      </c>
      <c r="Q90" s="23" t="s">
        <v>1326</v>
      </c>
      <c r="R90" s="9" t="s">
        <v>3214</v>
      </c>
    </row>
    <row r="91" customFormat="false" ht="19.5" hidden="false" customHeight="true" outlineLevel="0" collapsed="false">
      <c r="A91" s="25" t="s">
        <v>3220</v>
      </c>
      <c r="B91" s="25" t="s">
        <v>3088</v>
      </c>
      <c r="C91" s="25" t="s">
        <v>3149</v>
      </c>
      <c r="D91" s="25" t="s">
        <v>3090</v>
      </c>
      <c r="E91" s="25" t="s">
        <v>215</v>
      </c>
      <c r="F91" s="12" t="s">
        <v>1625</v>
      </c>
      <c r="G91" s="25" t="s">
        <v>1374</v>
      </c>
      <c r="H91" s="25" t="s">
        <v>1334</v>
      </c>
      <c r="I91" s="25" t="s">
        <v>3151</v>
      </c>
      <c r="J91" s="14" t="n">
        <v>0.33</v>
      </c>
      <c r="K91" s="29"/>
      <c r="L91" s="29"/>
      <c r="M91" s="29"/>
      <c r="N91" s="25" t="s">
        <v>3094</v>
      </c>
      <c r="O91" s="25" t="s">
        <v>86</v>
      </c>
      <c r="P91" s="25" t="s">
        <v>1580</v>
      </c>
      <c r="Q91" s="22" t="s">
        <v>1326</v>
      </c>
      <c r="R91" s="12" t="s">
        <v>3152</v>
      </c>
    </row>
    <row r="92" customFormat="false" ht="19.5" hidden="false" customHeight="true" outlineLevel="0" collapsed="false">
      <c r="A92" s="27" t="s">
        <v>3221</v>
      </c>
      <c r="B92" s="27" t="s">
        <v>3088</v>
      </c>
      <c r="C92" s="27" t="s">
        <v>3149</v>
      </c>
      <c r="D92" s="27" t="s">
        <v>3090</v>
      </c>
      <c r="E92" s="27" t="s">
        <v>257</v>
      </c>
      <c r="F92" s="9" t="s">
        <v>1627</v>
      </c>
      <c r="G92" s="27" t="s">
        <v>1374</v>
      </c>
      <c r="H92" s="27" t="s">
        <v>1334</v>
      </c>
      <c r="I92" s="27" t="s">
        <v>3151</v>
      </c>
      <c r="J92" s="30"/>
      <c r="K92" s="11" t="n">
        <v>0.36</v>
      </c>
      <c r="L92" s="11" t="n">
        <v>0.98</v>
      </c>
      <c r="M92" s="11" t="n">
        <v>0.62</v>
      </c>
      <c r="N92" s="27" t="s">
        <v>3094</v>
      </c>
      <c r="O92" s="27" t="s">
        <v>86</v>
      </c>
      <c r="P92" s="27" t="s">
        <v>1580</v>
      </c>
      <c r="Q92" s="23" t="s">
        <v>1326</v>
      </c>
      <c r="R92" s="9" t="s">
        <v>3152</v>
      </c>
    </row>
    <row r="93" customFormat="false" ht="19.5" hidden="false" customHeight="true" outlineLevel="0" collapsed="false">
      <c r="A93" s="25" t="s">
        <v>3222</v>
      </c>
      <c r="B93" s="25" t="s">
        <v>3088</v>
      </c>
      <c r="C93" s="25" t="s">
        <v>3149</v>
      </c>
      <c r="D93" s="25" t="s">
        <v>3090</v>
      </c>
      <c r="E93" s="25" t="s">
        <v>334</v>
      </c>
      <c r="F93" s="12" t="s">
        <v>3186</v>
      </c>
      <c r="G93" s="25" t="s">
        <v>1400</v>
      </c>
      <c r="H93" s="25" t="s">
        <v>1334</v>
      </c>
      <c r="I93" s="25" t="s">
        <v>3151</v>
      </c>
      <c r="J93" s="14" t="n">
        <v>0.8</v>
      </c>
      <c r="K93" s="14" t="n">
        <v>-0.82</v>
      </c>
      <c r="L93" s="14" t="n">
        <v>0.85</v>
      </c>
      <c r="M93" s="14" t="n">
        <v>1.67</v>
      </c>
      <c r="N93" s="25" t="s">
        <v>3094</v>
      </c>
      <c r="O93" s="25" t="s">
        <v>86</v>
      </c>
      <c r="P93" s="25" t="s">
        <v>1580</v>
      </c>
      <c r="Q93" s="22" t="s">
        <v>1383</v>
      </c>
      <c r="R93" s="12" t="s">
        <v>3187</v>
      </c>
    </row>
    <row r="94" customFormat="false" ht="19.5" hidden="false" customHeight="true" outlineLevel="0" collapsed="false">
      <c r="A94" s="27" t="s">
        <v>3223</v>
      </c>
      <c r="B94" s="27" t="s">
        <v>3088</v>
      </c>
      <c r="C94" s="27" t="s">
        <v>3149</v>
      </c>
      <c r="D94" s="27" t="s">
        <v>3090</v>
      </c>
      <c r="E94" s="27" t="s">
        <v>328</v>
      </c>
      <c r="F94" s="9" t="s">
        <v>3189</v>
      </c>
      <c r="G94" s="27" t="s">
        <v>1400</v>
      </c>
      <c r="H94" s="27" t="s">
        <v>1334</v>
      </c>
      <c r="I94" s="27" t="s">
        <v>3151</v>
      </c>
      <c r="J94" s="11" t="n">
        <v>0.78</v>
      </c>
      <c r="K94" s="11" t="n">
        <v>-0.58</v>
      </c>
      <c r="L94" s="11" t="n">
        <v>0.95</v>
      </c>
      <c r="M94" s="11" t="n">
        <v>1.53</v>
      </c>
      <c r="N94" s="27" t="s">
        <v>3094</v>
      </c>
      <c r="O94" s="27" t="s">
        <v>86</v>
      </c>
      <c r="P94" s="27" t="s">
        <v>1580</v>
      </c>
      <c r="Q94" s="23" t="s">
        <v>1383</v>
      </c>
      <c r="R94" s="9" t="s">
        <v>3190</v>
      </c>
    </row>
    <row r="95" customFormat="false" ht="19.5" hidden="false" customHeight="true" outlineLevel="0" collapsed="false">
      <c r="A95" s="25" t="s">
        <v>3224</v>
      </c>
      <c r="B95" s="25" t="s">
        <v>3088</v>
      </c>
      <c r="C95" s="25" t="s">
        <v>3149</v>
      </c>
      <c r="D95" s="25" t="s">
        <v>3090</v>
      </c>
      <c r="E95" s="25" t="s">
        <v>466</v>
      </c>
      <c r="F95" s="12" t="s">
        <v>1578</v>
      </c>
      <c r="G95" s="25" t="s">
        <v>1400</v>
      </c>
      <c r="H95" s="25" t="s">
        <v>1334</v>
      </c>
      <c r="I95" s="25" t="s">
        <v>3151</v>
      </c>
      <c r="J95" s="29"/>
      <c r="K95" s="14" t="n">
        <v>-0.71</v>
      </c>
      <c r="L95" s="14" t="n">
        <v>0.82</v>
      </c>
      <c r="M95" s="14" t="n">
        <v>1.53</v>
      </c>
      <c r="N95" s="25" t="s">
        <v>3094</v>
      </c>
      <c r="O95" s="25" t="s">
        <v>86</v>
      </c>
      <c r="P95" s="25" t="s">
        <v>1580</v>
      </c>
      <c r="Q95" s="22" t="s">
        <v>1383</v>
      </c>
      <c r="R95" s="12" t="s">
        <v>3155</v>
      </c>
    </row>
    <row r="96" customFormat="false" ht="19.5" hidden="false" customHeight="true" outlineLevel="0" collapsed="false">
      <c r="A96" s="27" t="s">
        <v>3225</v>
      </c>
      <c r="B96" s="27" t="s">
        <v>3088</v>
      </c>
      <c r="C96" s="27" t="s">
        <v>3149</v>
      </c>
      <c r="D96" s="27" t="s">
        <v>3090</v>
      </c>
      <c r="E96" s="27" t="s">
        <v>492</v>
      </c>
      <c r="F96" s="9" t="s">
        <v>1583</v>
      </c>
      <c r="G96" s="27" t="s">
        <v>1400</v>
      </c>
      <c r="H96" s="27" t="s">
        <v>1334</v>
      </c>
      <c r="I96" s="27" t="s">
        <v>3151</v>
      </c>
      <c r="J96" s="11" t="n">
        <v>0.5</v>
      </c>
      <c r="K96" s="11" t="n">
        <v>0.45</v>
      </c>
      <c r="L96" s="11" t="n">
        <v>0.5</v>
      </c>
      <c r="M96" s="11" t="n">
        <v>0.05</v>
      </c>
      <c r="N96" s="27" t="s">
        <v>3094</v>
      </c>
      <c r="O96" s="27" t="s">
        <v>86</v>
      </c>
      <c r="P96" s="27" t="s">
        <v>1580</v>
      </c>
      <c r="Q96" s="23" t="s">
        <v>1383</v>
      </c>
      <c r="R96" s="9" t="s">
        <v>3155</v>
      </c>
    </row>
    <row r="97" customFormat="false" ht="19.5" hidden="false" customHeight="true" outlineLevel="0" collapsed="false">
      <c r="A97" s="25" t="s">
        <v>3226</v>
      </c>
      <c r="B97" s="25" t="s">
        <v>3088</v>
      </c>
      <c r="C97" s="25" t="s">
        <v>3149</v>
      </c>
      <c r="D97" s="25" t="s">
        <v>3090</v>
      </c>
      <c r="E97" s="25" t="s">
        <v>473</v>
      </c>
      <c r="F97" s="12" t="s">
        <v>1585</v>
      </c>
      <c r="G97" s="25" t="s">
        <v>1400</v>
      </c>
      <c r="H97" s="25" t="s">
        <v>1334</v>
      </c>
      <c r="I97" s="25" t="s">
        <v>3151</v>
      </c>
      <c r="J97" s="14" t="n">
        <v>0.56</v>
      </c>
      <c r="K97" s="14" t="n">
        <v>0.22</v>
      </c>
      <c r="L97" s="14" t="n">
        <v>0.56</v>
      </c>
      <c r="M97" s="14" t="n">
        <v>0.34</v>
      </c>
      <c r="N97" s="25" t="s">
        <v>3094</v>
      </c>
      <c r="O97" s="25" t="s">
        <v>86</v>
      </c>
      <c r="P97" s="25" t="s">
        <v>1580</v>
      </c>
      <c r="Q97" s="22" t="s">
        <v>1383</v>
      </c>
      <c r="R97" s="12" t="s">
        <v>3155</v>
      </c>
    </row>
    <row r="98" customFormat="false" ht="19.5" hidden="false" customHeight="true" outlineLevel="0" collapsed="false">
      <c r="A98" s="27" t="s">
        <v>3227</v>
      </c>
      <c r="B98" s="27" t="s">
        <v>3088</v>
      </c>
      <c r="C98" s="27" t="s">
        <v>3149</v>
      </c>
      <c r="D98" s="27" t="s">
        <v>3090</v>
      </c>
      <c r="E98" s="27" t="s">
        <v>459</v>
      </c>
      <c r="F98" s="9" t="s">
        <v>1587</v>
      </c>
      <c r="G98" s="27" t="s">
        <v>1400</v>
      </c>
      <c r="H98" s="27" t="s">
        <v>1334</v>
      </c>
      <c r="I98" s="27" t="s">
        <v>3151</v>
      </c>
      <c r="J98" s="30"/>
      <c r="K98" s="11" t="n">
        <v>-0.82</v>
      </c>
      <c r="L98" s="11" t="n">
        <v>0.85</v>
      </c>
      <c r="M98" s="11" t="n">
        <v>1.67</v>
      </c>
      <c r="N98" s="27" t="s">
        <v>3094</v>
      </c>
      <c r="O98" s="27" t="s">
        <v>86</v>
      </c>
      <c r="P98" s="27" t="s">
        <v>1580</v>
      </c>
      <c r="Q98" s="23" t="s">
        <v>1383</v>
      </c>
      <c r="R98" s="9" t="s">
        <v>3155</v>
      </c>
    </row>
    <row r="99" customFormat="false" ht="19.5" hidden="false" customHeight="true" outlineLevel="0" collapsed="false">
      <c r="A99" s="25" t="s">
        <v>3228</v>
      </c>
      <c r="B99" s="25" t="s">
        <v>3088</v>
      </c>
      <c r="C99" s="25" t="s">
        <v>3149</v>
      </c>
      <c r="D99" s="25" t="s">
        <v>3090</v>
      </c>
      <c r="E99" s="25" t="s">
        <v>486</v>
      </c>
      <c r="F99" s="12" t="s">
        <v>1589</v>
      </c>
      <c r="G99" s="25" t="s">
        <v>1400</v>
      </c>
      <c r="H99" s="25" t="s">
        <v>1334</v>
      </c>
      <c r="I99" s="25" t="s">
        <v>3151</v>
      </c>
      <c r="J99" s="14" t="n">
        <v>0.64</v>
      </c>
      <c r="K99" s="14" t="n">
        <v>-0.15</v>
      </c>
      <c r="L99" s="14" t="n">
        <v>0.64</v>
      </c>
      <c r="M99" s="14" t="n">
        <v>0.79</v>
      </c>
      <c r="N99" s="25" t="s">
        <v>3094</v>
      </c>
      <c r="O99" s="25" t="s">
        <v>86</v>
      </c>
      <c r="P99" s="25" t="s">
        <v>1580</v>
      </c>
      <c r="Q99" s="22" t="s">
        <v>1383</v>
      </c>
      <c r="R99" s="12" t="s">
        <v>3155</v>
      </c>
    </row>
    <row r="100" customFormat="false" ht="19.5" hidden="false" customHeight="true" outlineLevel="0" collapsed="false">
      <c r="A100" s="27" t="s">
        <v>3229</v>
      </c>
      <c r="B100" s="27" t="s">
        <v>3088</v>
      </c>
      <c r="C100" s="27" t="s">
        <v>3149</v>
      </c>
      <c r="D100" s="27" t="s">
        <v>3090</v>
      </c>
      <c r="E100" s="27" t="s">
        <v>479</v>
      </c>
      <c r="F100" s="9" t="s">
        <v>1591</v>
      </c>
      <c r="G100" s="27" t="s">
        <v>1400</v>
      </c>
      <c r="H100" s="27" t="s">
        <v>1334</v>
      </c>
      <c r="I100" s="27" t="s">
        <v>3151</v>
      </c>
      <c r="J100" s="11" t="n">
        <v>0.54</v>
      </c>
      <c r="K100" s="11" t="n">
        <v>0.22</v>
      </c>
      <c r="L100" s="11" t="n">
        <v>0.54</v>
      </c>
      <c r="M100" s="11" t="n">
        <v>0.32</v>
      </c>
      <c r="N100" s="27" t="s">
        <v>3094</v>
      </c>
      <c r="O100" s="27" t="s">
        <v>86</v>
      </c>
      <c r="P100" s="27" t="s">
        <v>1580</v>
      </c>
      <c r="Q100" s="23" t="s">
        <v>1383</v>
      </c>
      <c r="R100" s="9" t="s">
        <v>3155</v>
      </c>
    </row>
    <row r="101" customFormat="false" ht="19.5" hidden="false" customHeight="true" outlineLevel="0" collapsed="false">
      <c r="A101" s="25" t="s">
        <v>3230</v>
      </c>
      <c r="B101" s="25" t="s">
        <v>3088</v>
      </c>
      <c r="C101" s="25" t="s">
        <v>3149</v>
      </c>
      <c r="D101" s="25" t="s">
        <v>3090</v>
      </c>
      <c r="E101" s="25" t="s">
        <v>233</v>
      </c>
      <c r="F101" s="12" t="s">
        <v>1593</v>
      </c>
      <c r="G101" s="25" t="s">
        <v>1400</v>
      </c>
      <c r="H101" s="25" t="s">
        <v>1334</v>
      </c>
      <c r="I101" s="25" t="s">
        <v>3151</v>
      </c>
      <c r="J101" s="14" t="n">
        <v>0.3</v>
      </c>
      <c r="K101" s="14" t="n">
        <v>0.13</v>
      </c>
      <c r="L101" s="14" t="n">
        <v>0.34</v>
      </c>
      <c r="M101" s="14" t="n">
        <v>0.21</v>
      </c>
      <c r="N101" s="25" t="s">
        <v>3094</v>
      </c>
      <c r="O101" s="25" t="s">
        <v>86</v>
      </c>
      <c r="P101" s="25" t="s">
        <v>1580</v>
      </c>
      <c r="Q101" s="22" t="s">
        <v>1383</v>
      </c>
      <c r="R101" s="12" t="s">
        <v>3162</v>
      </c>
    </row>
    <row r="102" customFormat="false" ht="19.5" hidden="false" customHeight="true" outlineLevel="0" collapsed="false">
      <c r="A102" s="27" t="s">
        <v>3231</v>
      </c>
      <c r="B102" s="27" t="s">
        <v>3088</v>
      </c>
      <c r="C102" s="27" t="s">
        <v>3149</v>
      </c>
      <c r="D102" s="27" t="s">
        <v>3090</v>
      </c>
      <c r="E102" s="27" t="s">
        <v>448</v>
      </c>
      <c r="F102" s="9" t="s">
        <v>1595</v>
      </c>
      <c r="G102" s="27" t="s">
        <v>1400</v>
      </c>
      <c r="H102" s="27" t="s">
        <v>1334</v>
      </c>
      <c r="I102" s="27" t="s">
        <v>3151</v>
      </c>
      <c r="J102" s="11" t="n">
        <v>0.22</v>
      </c>
      <c r="K102" s="30"/>
      <c r="L102" s="30"/>
      <c r="M102" s="30"/>
      <c r="N102" s="27" t="s">
        <v>3094</v>
      </c>
      <c r="O102" s="27" t="s">
        <v>86</v>
      </c>
      <c r="P102" s="27" t="s">
        <v>1580</v>
      </c>
      <c r="Q102" s="23" t="s">
        <v>1383</v>
      </c>
      <c r="R102" s="9" t="s">
        <v>3152</v>
      </c>
    </row>
    <row r="103" customFormat="false" ht="19.5" hidden="false" customHeight="true" outlineLevel="0" collapsed="false">
      <c r="A103" s="25" t="s">
        <v>3232</v>
      </c>
      <c r="B103" s="25" t="s">
        <v>3088</v>
      </c>
      <c r="C103" s="25" t="s">
        <v>3149</v>
      </c>
      <c r="D103" s="25" t="s">
        <v>3090</v>
      </c>
      <c r="E103" s="25" t="s">
        <v>455</v>
      </c>
      <c r="F103" s="12" t="s">
        <v>1597</v>
      </c>
      <c r="G103" s="25" t="s">
        <v>1400</v>
      </c>
      <c r="H103" s="25" t="s">
        <v>1334</v>
      </c>
      <c r="I103" s="25" t="s">
        <v>3151</v>
      </c>
      <c r="J103" s="14" t="n">
        <v>0.32</v>
      </c>
      <c r="K103" s="29"/>
      <c r="L103" s="29"/>
      <c r="M103" s="29"/>
      <c r="N103" s="25" t="s">
        <v>3094</v>
      </c>
      <c r="O103" s="25" t="s">
        <v>86</v>
      </c>
      <c r="P103" s="25" t="s">
        <v>1580</v>
      </c>
      <c r="Q103" s="22" t="s">
        <v>1383</v>
      </c>
      <c r="R103" s="12" t="s">
        <v>3152</v>
      </c>
    </row>
    <row r="104" customFormat="false" ht="19.5" hidden="false" customHeight="true" outlineLevel="0" collapsed="false">
      <c r="A104" s="27" t="s">
        <v>3233</v>
      </c>
      <c r="B104" s="27" t="s">
        <v>3088</v>
      </c>
      <c r="C104" s="27" t="s">
        <v>3149</v>
      </c>
      <c r="D104" s="27" t="s">
        <v>3090</v>
      </c>
      <c r="E104" s="27" t="s">
        <v>439</v>
      </c>
      <c r="F104" s="9" t="s">
        <v>1599</v>
      </c>
      <c r="G104" s="27" t="s">
        <v>1400</v>
      </c>
      <c r="H104" s="27" t="s">
        <v>1334</v>
      </c>
      <c r="I104" s="27" t="s">
        <v>3151</v>
      </c>
      <c r="J104" s="11" t="n">
        <v>0.39</v>
      </c>
      <c r="K104" s="30"/>
      <c r="L104" s="30"/>
      <c r="M104" s="30"/>
      <c r="N104" s="27" t="s">
        <v>3094</v>
      </c>
      <c r="O104" s="27" t="s">
        <v>86</v>
      </c>
      <c r="P104" s="27" t="s">
        <v>1580</v>
      </c>
      <c r="Q104" s="23" t="s">
        <v>1383</v>
      </c>
      <c r="R104" s="9" t="s">
        <v>3152</v>
      </c>
    </row>
    <row r="105" customFormat="false" ht="19.5" hidden="false" customHeight="true" outlineLevel="0" collapsed="false">
      <c r="A105" s="25" t="s">
        <v>3234</v>
      </c>
      <c r="B105" s="25" t="s">
        <v>3088</v>
      </c>
      <c r="C105" s="25" t="s">
        <v>3149</v>
      </c>
      <c r="D105" s="25" t="s">
        <v>3090</v>
      </c>
      <c r="E105" s="25" t="s">
        <v>426</v>
      </c>
      <c r="F105" s="12" t="s">
        <v>1601</v>
      </c>
      <c r="G105" s="25" t="s">
        <v>1400</v>
      </c>
      <c r="H105" s="25" t="s">
        <v>1334</v>
      </c>
      <c r="I105" s="25" t="s">
        <v>3151</v>
      </c>
      <c r="J105" s="14" t="n">
        <v>0.08</v>
      </c>
      <c r="K105" s="14" t="n">
        <v>-0.68</v>
      </c>
      <c r="L105" s="14" t="n">
        <v>0.27</v>
      </c>
      <c r="M105" s="14" t="n">
        <v>0.95</v>
      </c>
      <c r="N105" s="25" t="s">
        <v>3094</v>
      </c>
      <c r="O105" s="25" t="s">
        <v>86</v>
      </c>
      <c r="P105" s="25" t="s">
        <v>1580</v>
      </c>
      <c r="Q105" s="22" t="s">
        <v>1383</v>
      </c>
      <c r="R105" s="12" t="s">
        <v>3152</v>
      </c>
    </row>
    <row r="106" customFormat="false" ht="19.5" hidden="false" customHeight="true" outlineLevel="0" collapsed="false">
      <c r="A106" s="27" t="s">
        <v>3235</v>
      </c>
      <c r="B106" s="27" t="s">
        <v>3088</v>
      </c>
      <c r="C106" s="27" t="s">
        <v>3149</v>
      </c>
      <c r="D106" s="27" t="s">
        <v>3090</v>
      </c>
      <c r="E106" s="27" t="s">
        <v>385</v>
      </c>
      <c r="F106" s="9" t="s">
        <v>1603</v>
      </c>
      <c r="G106" s="27" t="s">
        <v>1400</v>
      </c>
      <c r="H106" s="27" t="s">
        <v>1334</v>
      </c>
      <c r="I106" s="27" t="s">
        <v>3151</v>
      </c>
      <c r="J106" s="11" t="n">
        <v>0.32</v>
      </c>
      <c r="K106" s="11" t="n">
        <v>0.25</v>
      </c>
      <c r="L106" s="11" t="n">
        <v>0.36</v>
      </c>
      <c r="M106" s="11" t="n">
        <v>0.11</v>
      </c>
      <c r="N106" s="27" t="s">
        <v>3094</v>
      </c>
      <c r="O106" s="27" t="s">
        <v>86</v>
      </c>
      <c r="P106" s="27" t="s">
        <v>1580</v>
      </c>
      <c r="Q106" s="23" t="s">
        <v>1383</v>
      </c>
      <c r="R106" s="9" t="s">
        <v>3152</v>
      </c>
    </row>
    <row r="107" customFormat="false" ht="19.5" hidden="false" customHeight="true" outlineLevel="0" collapsed="false">
      <c r="A107" s="25" t="s">
        <v>3236</v>
      </c>
      <c r="B107" s="25" t="s">
        <v>3088</v>
      </c>
      <c r="C107" s="25" t="s">
        <v>3149</v>
      </c>
      <c r="D107" s="25" t="s">
        <v>3090</v>
      </c>
      <c r="E107" s="25" t="s">
        <v>392</v>
      </c>
      <c r="F107" s="12" t="s">
        <v>1605</v>
      </c>
      <c r="G107" s="25" t="s">
        <v>1400</v>
      </c>
      <c r="H107" s="25" t="s">
        <v>1334</v>
      </c>
      <c r="I107" s="25" t="s">
        <v>3151</v>
      </c>
      <c r="J107" s="14" t="n">
        <v>0.37</v>
      </c>
      <c r="K107" s="14" t="n">
        <v>0.33</v>
      </c>
      <c r="L107" s="14" t="n">
        <v>0.37</v>
      </c>
      <c r="M107" s="14" t="n">
        <v>0.04</v>
      </c>
      <c r="N107" s="25" t="s">
        <v>3094</v>
      </c>
      <c r="O107" s="25" t="s">
        <v>86</v>
      </c>
      <c r="P107" s="25" t="s">
        <v>1580</v>
      </c>
      <c r="Q107" s="22" t="s">
        <v>1383</v>
      </c>
      <c r="R107" s="12" t="s">
        <v>3152</v>
      </c>
    </row>
    <row r="108" customFormat="false" ht="19.5" hidden="false" customHeight="true" outlineLevel="0" collapsed="false">
      <c r="A108" s="27" t="s">
        <v>3237</v>
      </c>
      <c r="B108" s="27" t="s">
        <v>3088</v>
      </c>
      <c r="C108" s="27" t="s">
        <v>3149</v>
      </c>
      <c r="D108" s="27" t="s">
        <v>3090</v>
      </c>
      <c r="E108" s="27" t="s">
        <v>399</v>
      </c>
      <c r="F108" s="9" t="s">
        <v>1607</v>
      </c>
      <c r="G108" s="27" t="s">
        <v>1400</v>
      </c>
      <c r="H108" s="27" t="s">
        <v>1334</v>
      </c>
      <c r="I108" s="27" t="s">
        <v>3151</v>
      </c>
      <c r="J108" s="11" t="n">
        <v>0.21</v>
      </c>
      <c r="K108" s="11" t="n">
        <v>-0.49</v>
      </c>
      <c r="L108" s="11" t="n">
        <v>0.31</v>
      </c>
      <c r="M108" s="11" t="n">
        <v>0.8</v>
      </c>
      <c r="N108" s="27" t="s">
        <v>3094</v>
      </c>
      <c r="O108" s="27" t="s">
        <v>86</v>
      </c>
      <c r="P108" s="27" t="s">
        <v>1580</v>
      </c>
      <c r="Q108" s="23" t="s">
        <v>1383</v>
      </c>
      <c r="R108" s="9" t="s">
        <v>3152</v>
      </c>
    </row>
    <row r="109" customFormat="false" ht="19.5" hidden="false" customHeight="true" outlineLevel="0" collapsed="false">
      <c r="A109" s="25" t="s">
        <v>3238</v>
      </c>
      <c r="B109" s="25" t="s">
        <v>3088</v>
      </c>
      <c r="C109" s="25" t="s">
        <v>3149</v>
      </c>
      <c r="D109" s="25" t="s">
        <v>3090</v>
      </c>
      <c r="E109" s="25" t="s">
        <v>433</v>
      </c>
      <c r="F109" s="12" t="s">
        <v>1609</v>
      </c>
      <c r="G109" s="25" t="s">
        <v>1400</v>
      </c>
      <c r="H109" s="25" t="s">
        <v>1334</v>
      </c>
      <c r="I109" s="25" t="s">
        <v>3151</v>
      </c>
      <c r="J109" s="14" t="n">
        <v>0.19</v>
      </c>
      <c r="K109" s="29"/>
      <c r="L109" s="29"/>
      <c r="M109" s="29"/>
      <c r="N109" s="25" t="s">
        <v>3094</v>
      </c>
      <c r="O109" s="25" t="s">
        <v>86</v>
      </c>
      <c r="P109" s="25" t="s">
        <v>1580</v>
      </c>
      <c r="Q109" s="22" t="s">
        <v>1383</v>
      </c>
      <c r="R109" s="12" t="s">
        <v>3152</v>
      </c>
    </row>
    <row r="110" customFormat="false" ht="19.5" hidden="false" customHeight="true" outlineLevel="0" collapsed="false">
      <c r="A110" s="27" t="s">
        <v>3239</v>
      </c>
      <c r="B110" s="27" t="s">
        <v>3088</v>
      </c>
      <c r="C110" s="27" t="s">
        <v>3149</v>
      </c>
      <c r="D110" s="27" t="s">
        <v>3090</v>
      </c>
      <c r="E110" s="27" t="s">
        <v>405</v>
      </c>
      <c r="F110" s="9" t="s">
        <v>1611</v>
      </c>
      <c r="G110" s="27" t="s">
        <v>1400</v>
      </c>
      <c r="H110" s="27" t="s">
        <v>1334</v>
      </c>
      <c r="I110" s="27" t="s">
        <v>3151</v>
      </c>
      <c r="J110" s="11" t="n">
        <v>0.28</v>
      </c>
      <c r="K110" s="11" t="n">
        <v>0.2</v>
      </c>
      <c r="L110" s="11" t="n">
        <v>0.3</v>
      </c>
      <c r="M110" s="11" t="n">
        <v>0.1</v>
      </c>
      <c r="N110" s="27" t="s">
        <v>3094</v>
      </c>
      <c r="O110" s="27" t="s">
        <v>86</v>
      </c>
      <c r="P110" s="27" t="s">
        <v>1580</v>
      </c>
      <c r="Q110" s="23" t="s">
        <v>1383</v>
      </c>
      <c r="R110" s="9" t="s">
        <v>3152</v>
      </c>
    </row>
    <row r="111" customFormat="false" ht="19.5" hidden="false" customHeight="true" outlineLevel="0" collapsed="false">
      <c r="A111" s="25" t="s">
        <v>3240</v>
      </c>
      <c r="B111" s="25" t="s">
        <v>3088</v>
      </c>
      <c r="C111" s="25" t="s">
        <v>3149</v>
      </c>
      <c r="D111" s="25" t="s">
        <v>3090</v>
      </c>
      <c r="E111" s="25" t="s">
        <v>411</v>
      </c>
      <c r="F111" s="12" t="s">
        <v>1613</v>
      </c>
      <c r="G111" s="25" t="s">
        <v>1400</v>
      </c>
      <c r="H111" s="25" t="s">
        <v>1334</v>
      </c>
      <c r="I111" s="25" t="s">
        <v>3151</v>
      </c>
      <c r="J111" s="14" t="n">
        <v>0.44</v>
      </c>
      <c r="K111" s="14" t="n">
        <v>0.32</v>
      </c>
      <c r="L111" s="14" t="n">
        <v>0.44</v>
      </c>
      <c r="M111" s="14" t="n">
        <v>0.12</v>
      </c>
      <c r="N111" s="25" t="s">
        <v>3094</v>
      </c>
      <c r="O111" s="25" t="s">
        <v>86</v>
      </c>
      <c r="P111" s="25" t="s">
        <v>1580</v>
      </c>
      <c r="Q111" s="22" t="s">
        <v>1383</v>
      </c>
      <c r="R111" s="12" t="s">
        <v>3152</v>
      </c>
    </row>
    <row r="112" customFormat="false" ht="19.5" hidden="false" customHeight="true" outlineLevel="0" collapsed="false">
      <c r="A112" s="27" t="s">
        <v>3241</v>
      </c>
      <c r="B112" s="27" t="s">
        <v>3088</v>
      </c>
      <c r="C112" s="27" t="s">
        <v>3149</v>
      </c>
      <c r="D112" s="27" t="s">
        <v>3090</v>
      </c>
      <c r="E112" s="27" t="s">
        <v>416</v>
      </c>
      <c r="F112" s="9" t="s">
        <v>1615</v>
      </c>
      <c r="G112" s="27" t="s">
        <v>1400</v>
      </c>
      <c r="H112" s="27" t="s">
        <v>1334</v>
      </c>
      <c r="I112" s="27" t="s">
        <v>3151</v>
      </c>
      <c r="J112" s="11" t="n">
        <v>0.42</v>
      </c>
      <c r="K112" s="11" t="n">
        <v>0.23</v>
      </c>
      <c r="L112" s="11" t="n">
        <v>0.42</v>
      </c>
      <c r="M112" s="11" t="n">
        <v>0.19</v>
      </c>
      <c r="N112" s="27" t="s">
        <v>3094</v>
      </c>
      <c r="O112" s="27" t="s">
        <v>86</v>
      </c>
      <c r="P112" s="27" t="s">
        <v>1580</v>
      </c>
      <c r="Q112" s="23" t="s">
        <v>1383</v>
      </c>
      <c r="R112" s="9" t="s">
        <v>3152</v>
      </c>
    </row>
    <row r="113" customFormat="false" ht="19.5" hidden="false" customHeight="true" outlineLevel="0" collapsed="false">
      <c r="A113" s="25" t="s">
        <v>3242</v>
      </c>
      <c r="B113" s="25" t="s">
        <v>3088</v>
      </c>
      <c r="C113" s="25" t="s">
        <v>3149</v>
      </c>
      <c r="D113" s="25" t="s">
        <v>3090</v>
      </c>
      <c r="E113" s="25" t="s">
        <v>377</v>
      </c>
      <c r="F113" s="12" t="s">
        <v>1617</v>
      </c>
      <c r="G113" s="25" t="s">
        <v>1400</v>
      </c>
      <c r="H113" s="25" t="s">
        <v>1334</v>
      </c>
      <c r="I113" s="25" t="s">
        <v>3151</v>
      </c>
      <c r="J113" s="29"/>
      <c r="K113" s="14" t="n">
        <v>0.32</v>
      </c>
      <c r="L113" s="14" t="n">
        <v>0.78</v>
      </c>
      <c r="M113" s="14" t="n">
        <v>0.46</v>
      </c>
      <c r="N113" s="25" t="s">
        <v>3094</v>
      </c>
      <c r="O113" s="25" t="s">
        <v>86</v>
      </c>
      <c r="P113" s="25" t="s">
        <v>1580</v>
      </c>
      <c r="Q113" s="22" t="s">
        <v>1383</v>
      </c>
      <c r="R113" s="12" t="s">
        <v>3152</v>
      </c>
    </row>
    <row r="114" customFormat="false" ht="19.5" hidden="false" customHeight="true" outlineLevel="0" collapsed="false">
      <c r="A114" s="27" t="s">
        <v>3243</v>
      </c>
      <c r="B114" s="27" t="s">
        <v>3088</v>
      </c>
      <c r="C114" s="27" t="s">
        <v>3149</v>
      </c>
      <c r="D114" s="27" t="s">
        <v>3090</v>
      </c>
      <c r="E114" s="27" t="s">
        <v>420</v>
      </c>
      <c r="F114" s="9" t="s">
        <v>1619</v>
      </c>
      <c r="G114" s="27" t="s">
        <v>1400</v>
      </c>
      <c r="H114" s="27" t="s">
        <v>1334</v>
      </c>
      <c r="I114" s="27" t="s">
        <v>3151</v>
      </c>
      <c r="J114" s="11" t="n">
        <v>0.14</v>
      </c>
      <c r="K114" s="11" t="n">
        <v>-0.56</v>
      </c>
      <c r="L114" s="11" t="n">
        <v>0.26</v>
      </c>
      <c r="M114" s="11" t="n">
        <v>0.82</v>
      </c>
      <c r="N114" s="27" t="s">
        <v>3094</v>
      </c>
      <c r="O114" s="27" t="s">
        <v>86</v>
      </c>
      <c r="P114" s="27" t="s">
        <v>1580</v>
      </c>
      <c r="Q114" s="23" t="s">
        <v>1383</v>
      </c>
      <c r="R114" s="9" t="s">
        <v>3152</v>
      </c>
    </row>
    <row r="115" customFormat="false" ht="19.5" hidden="false" customHeight="true" outlineLevel="0" collapsed="false">
      <c r="A115" s="25" t="s">
        <v>3244</v>
      </c>
      <c r="B115" s="25" t="s">
        <v>3088</v>
      </c>
      <c r="C115" s="25" t="s">
        <v>3149</v>
      </c>
      <c r="D115" s="25" t="s">
        <v>3090</v>
      </c>
      <c r="E115" s="25" t="s">
        <v>250</v>
      </c>
      <c r="F115" s="12" t="s">
        <v>1621</v>
      </c>
      <c r="G115" s="25" t="s">
        <v>1400</v>
      </c>
      <c r="H115" s="25" t="s">
        <v>1334</v>
      </c>
      <c r="I115" s="25" t="s">
        <v>3151</v>
      </c>
      <c r="J115" s="14" t="n">
        <v>0.15</v>
      </c>
      <c r="K115" s="29"/>
      <c r="L115" s="29"/>
      <c r="M115" s="29"/>
      <c r="N115" s="25" t="s">
        <v>3094</v>
      </c>
      <c r="O115" s="25" t="s">
        <v>86</v>
      </c>
      <c r="P115" s="25" t="s">
        <v>1580</v>
      </c>
      <c r="Q115" s="22" t="s">
        <v>1383</v>
      </c>
      <c r="R115" s="12" t="s">
        <v>3152</v>
      </c>
    </row>
    <row r="116" customFormat="false" ht="19.5" hidden="false" customHeight="true" outlineLevel="0" collapsed="false">
      <c r="A116" s="27" t="s">
        <v>3245</v>
      </c>
      <c r="B116" s="27" t="s">
        <v>3088</v>
      </c>
      <c r="C116" s="27" t="s">
        <v>3149</v>
      </c>
      <c r="D116" s="27" t="s">
        <v>3090</v>
      </c>
      <c r="E116" s="27" t="s">
        <v>312</v>
      </c>
      <c r="F116" s="9" t="s">
        <v>3213</v>
      </c>
      <c r="G116" s="27" t="s">
        <v>1400</v>
      </c>
      <c r="H116" s="27" t="s">
        <v>1334</v>
      </c>
      <c r="I116" s="27" t="s">
        <v>3151</v>
      </c>
      <c r="J116" s="11" t="n">
        <v>0.92</v>
      </c>
      <c r="K116" s="11" t="n">
        <v>-0.87</v>
      </c>
      <c r="L116" s="11" t="n">
        <v>1.07</v>
      </c>
      <c r="M116" s="11" t="n">
        <v>1.94</v>
      </c>
      <c r="N116" s="27" t="s">
        <v>3094</v>
      </c>
      <c r="O116" s="27" t="s">
        <v>86</v>
      </c>
      <c r="P116" s="27" t="s">
        <v>1580</v>
      </c>
      <c r="Q116" s="23" t="s">
        <v>1383</v>
      </c>
      <c r="R116" s="9" t="s">
        <v>3214</v>
      </c>
    </row>
    <row r="117" customFormat="false" ht="19.5" hidden="false" customHeight="true" outlineLevel="0" collapsed="false">
      <c r="A117" s="25" t="s">
        <v>3246</v>
      </c>
      <c r="B117" s="25" t="s">
        <v>3088</v>
      </c>
      <c r="C117" s="25" t="s">
        <v>3149</v>
      </c>
      <c r="D117" s="25" t="s">
        <v>3090</v>
      </c>
      <c r="E117" s="25" t="s">
        <v>226</v>
      </c>
      <c r="F117" s="12" t="s">
        <v>1623</v>
      </c>
      <c r="G117" s="25" t="s">
        <v>1400</v>
      </c>
      <c r="H117" s="25" t="s">
        <v>1334</v>
      </c>
      <c r="I117" s="25" t="s">
        <v>3151</v>
      </c>
      <c r="J117" s="14" t="n">
        <v>0.44</v>
      </c>
      <c r="K117" s="14" t="n">
        <v>0.2</v>
      </c>
      <c r="L117" s="14" t="n">
        <v>0.44</v>
      </c>
      <c r="M117" s="14" t="n">
        <v>0.24</v>
      </c>
      <c r="N117" s="25" t="s">
        <v>3094</v>
      </c>
      <c r="O117" s="25" t="s">
        <v>86</v>
      </c>
      <c r="P117" s="25" t="s">
        <v>1580</v>
      </c>
      <c r="Q117" s="22" t="s">
        <v>1383</v>
      </c>
      <c r="R117" s="12" t="s">
        <v>3152</v>
      </c>
    </row>
    <row r="118" customFormat="false" ht="19.5" hidden="false" customHeight="true" outlineLevel="0" collapsed="false">
      <c r="A118" s="27" t="s">
        <v>3247</v>
      </c>
      <c r="B118" s="27" t="s">
        <v>3088</v>
      </c>
      <c r="C118" s="27" t="s">
        <v>3149</v>
      </c>
      <c r="D118" s="27" t="s">
        <v>3090</v>
      </c>
      <c r="E118" s="27" t="s">
        <v>319</v>
      </c>
      <c r="F118" s="9" t="s">
        <v>3217</v>
      </c>
      <c r="G118" s="27" t="s">
        <v>1400</v>
      </c>
      <c r="H118" s="27" t="s">
        <v>1334</v>
      </c>
      <c r="I118" s="27" t="s">
        <v>3151</v>
      </c>
      <c r="J118" s="11" t="n">
        <v>0.85</v>
      </c>
      <c r="K118" s="11" t="n">
        <v>-0.85</v>
      </c>
      <c r="L118" s="11" t="n">
        <v>0.98</v>
      </c>
      <c r="M118" s="11" t="n">
        <v>1.83</v>
      </c>
      <c r="N118" s="27" t="s">
        <v>3094</v>
      </c>
      <c r="O118" s="27" t="s">
        <v>86</v>
      </c>
      <c r="P118" s="27" t="s">
        <v>1580</v>
      </c>
      <c r="Q118" s="23" t="s">
        <v>1383</v>
      </c>
      <c r="R118" s="9" t="s">
        <v>3214</v>
      </c>
    </row>
    <row r="119" customFormat="false" ht="19.5" hidden="false" customHeight="true" outlineLevel="0" collapsed="false">
      <c r="A119" s="25" t="s">
        <v>3248</v>
      </c>
      <c r="B119" s="25" t="s">
        <v>3088</v>
      </c>
      <c r="C119" s="25" t="s">
        <v>3149</v>
      </c>
      <c r="D119" s="25" t="s">
        <v>3090</v>
      </c>
      <c r="E119" s="25" t="s">
        <v>292</v>
      </c>
      <c r="F119" s="12" t="s">
        <v>3219</v>
      </c>
      <c r="G119" s="25" t="s">
        <v>1400</v>
      </c>
      <c r="H119" s="25" t="s">
        <v>1334</v>
      </c>
      <c r="I119" s="25" t="s">
        <v>3151</v>
      </c>
      <c r="J119" s="14" t="n">
        <v>0.88</v>
      </c>
      <c r="K119" s="14" t="n">
        <v>-0.8</v>
      </c>
      <c r="L119" s="14" t="n">
        <v>1.04</v>
      </c>
      <c r="M119" s="14" t="n">
        <v>1.84</v>
      </c>
      <c r="N119" s="25" t="s">
        <v>3094</v>
      </c>
      <c r="O119" s="25" t="s">
        <v>86</v>
      </c>
      <c r="P119" s="25" t="s">
        <v>1580</v>
      </c>
      <c r="Q119" s="22" t="s">
        <v>1383</v>
      </c>
      <c r="R119" s="12" t="s">
        <v>3214</v>
      </c>
    </row>
    <row r="120" customFormat="false" ht="19.5" hidden="false" customHeight="true" outlineLevel="0" collapsed="false">
      <c r="A120" s="27" t="s">
        <v>3249</v>
      </c>
      <c r="B120" s="27" t="s">
        <v>3088</v>
      </c>
      <c r="C120" s="27" t="s">
        <v>3149</v>
      </c>
      <c r="D120" s="27" t="s">
        <v>3090</v>
      </c>
      <c r="E120" s="27" t="s">
        <v>215</v>
      </c>
      <c r="F120" s="9" t="s">
        <v>1625</v>
      </c>
      <c r="G120" s="27" t="s">
        <v>1400</v>
      </c>
      <c r="H120" s="27" t="s">
        <v>1334</v>
      </c>
      <c r="I120" s="27" t="s">
        <v>3151</v>
      </c>
      <c r="J120" s="11" t="n">
        <v>0.31</v>
      </c>
      <c r="K120" s="30"/>
      <c r="L120" s="30"/>
      <c r="M120" s="30"/>
      <c r="N120" s="27" t="s">
        <v>3094</v>
      </c>
      <c r="O120" s="27" t="s">
        <v>86</v>
      </c>
      <c r="P120" s="27" t="s">
        <v>1580</v>
      </c>
      <c r="Q120" s="23" t="s">
        <v>1383</v>
      </c>
      <c r="R120" s="9" t="s">
        <v>3152</v>
      </c>
    </row>
    <row r="121" customFormat="false" ht="19.5" hidden="false" customHeight="true" outlineLevel="0" collapsed="false">
      <c r="A121" s="25" t="s">
        <v>3250</v>
      </c>
      <c r="B121" s="25" t="s">
        <v>3088</v>
      </c>
      <c r="C121" s="25" t="s">
        <v>3149</v>
      </c>
      <c r="D121" s="25" t="s">
        <v>3090</v>
      </c>
      <c r="E121" s="25" t="s">
        <v>257</v>
      </c>
      <c r="F121" s="12" t="s">
        <v>1627</v>
      </c>
      <c r="G121" s="25" t="s">
        <v>1400</v>
      </c>
      <c r="H121" s="25" t="s">
        <v>1334</v>
      </c>
      <c r="I121" s="25" t="s">
        <v>3151</v>
      </c>
      <c r="J121" s="29"/>
      <c r="K121" s="14" t="n">
        <v>0.39</v>
      </c>
      <c r="L121" s="14" t="n">
        <v>0.88</v>
      </c>
      <c r="M121" s="14" t="n">
        <v>0.49</v>
      </c>
      <c r="N121" s="25" t="s">
        <v>3094</v>
      </c>
      <c r="O121" s="25" t="s">
        <v>86</v>
      </c>
      <c r="P121" s="25" t="s">
        <v>1580</v>
      </c>
      <c r="Q121" s="22" t="s">
        <v>1383</v>
      </c>
      <c r="R121" s="12" t="s">
        <v>3152</v>
      </c>
    </row>
    <row r="122" customFormat="false" ht="19.5" hidden="false" customHeight="true" outlineLevel="0" collapsed="false">
      <c r="A122" s="27" t="s">
        <v>3251</v>
      </c>
      <c r="B122" s="27" t="s">
        <v>3088</v>
      </c>
      <c r="C122" s="27" t="s">
        <v>3149</v>
      </c>
      <c r="D122" s="27" t="s">
        <v>3090</v>
      </c>
      <c r="E122" s="27" t="s">
        <v>334</v>
      </c>
      <c r="F122" s="9" t="s">
        <v>3186</v>
      </c>
      <c r="G122" s="27" t="s">
        <v>1419</v>
      </c>
      <c r="H122" s="27" t="s">
        <v>1334</v>
      </c>
      <c r="I122" s="27" t="s">
        <v>3151</v>
      </c>
      <c r="J122" s="11" t="n">
        <v>0.69</v>
      </c>
      <c r="K122" s="11" t="n">
        <v>-0.77</v>
      </c>
      <c r="L122" s="11" t="n">
        <v>0.8</v>
      </c>
      <c r="M122" s="11" t="n">
        <v>1.57</v>
      </c>
      <c r="N122" s="27" t="s">
        <v>3094</v>
      </c>
      <c r="O122" s="27" t="s">
        <v>86</v>
      </c>
      <c r="P122" s="27" t="s">
        <v>1580</v>
      </c>
      <c r="Q122" s="23" t="s">
        <v>1376</v>
      </c>
      <c r="R122" s="9" t="s">
        <v>3187</v>
      </c>
    </row>
    <row r="123" customFormat="false" ht="19.5" hidden="false" customHeight="true" outlineLevel="0" collapsed="false">
      <c r="A123" s="25" t="s">
        <v>3252</v>
      </c>
      <c r="B123" s="25" t="s">
        <v>3088</v>
      </c>
      <c r="C123" s="25" t="s">
        <v>3149</v>
      </c>
      <c r="D123" s="25" t="s">
        <v>3090</v>
      </c>
      <c r="E123" s="25" t="s">
        <v>328</v>
      </c>
      <c r="F123" s="12" t="s">
        <v>3189</v>
      </c>
      <c r="G123" s="25" t="s">
        <v>1419</v>
      </c>
      <c r="H123" s="25" t="s">
        <v>1334</v>
      </c>
      <c r="I123" s="25" t="s">
        <v>3151</v>
      </c>
      <c r="J123" s="14" t="n">
        <v>0.78</v>
      </c>
      <c r="K123" s="14" t="n">
        <v>-0.43</v>
      </c>
      <c r="L123" s="14" t="n">
        <v>0.86</v>
      </c>
      <c r="M123" s="14" t="n">
        <v>1.29</v>
      </c>
      <c r="N123" s="25" t="s">
        <v>3094</v>
      </c>
      <c r="O123" s="25" t="s">
        <v>86</v>
      </c>
      <c r="P123" s="25" t="s">
        <v>1580</v>
      </c>
      <c r="Q123" s="22" t="s">
        <v>1376</v>
      </c>
      <c r="R123" s="12" t="s">
        <v>3190</v>
      </c>
    </row>
    <row r="124" customFormat="false" ht="19.5" hidden="false" customHeight="true" outlineLevel="0" collapsed="false">
      <c r="A124" s="27" t="s">
        <v>3253</v>
      </c>
      <c r="B124" s="27" t="s">
        <v>3088</v>
      </c>
      <c r="C124" s="27" t="s">
        <v>3149</v>
      </c>
      <c r="D124" s="27" t="s">
        <v>3090</v>
      </c>
      <c r="E124" s="27" t="s">
        <v>466</v>
      </c>
      <c r="F124" s="9" t="s">
        <v>1578</v>
      </c>
      <c r="G124" s="27" t="s">
        <v>1419</v>
      </c>
      <c r="H124" s="27" t="s">
        <v>1334</v>
      </c>
      <c r="I124" s="27" t="s">
        <v>3151</v>
      </c>
      <c r="J124" s="11" t="n">
        <v>0.73</v>
      </c>
      <c r="K124" s="11" t="n">
        <v>-0.59</v>
      </c>
      <c r="L124" s="11" t="n">
        <v>0.8</v>
      </c>
      <c r="M124" s="11" t="n">
        <v>1.39</v>
      </c>
      <c r="N124" s="27" t="s">
        <v>3094</v>
      </c>
      <c r="O124" s="27" t="s">
        <v>86</v>
      </c>
      <c r="P124" s="27" t="s">
        <v>1580</v>
      </c>
      <c r="Q124" s="23" t="s">
        <v>1376</v>
      </c>
      <c r="R124" s="9" t="s">
        <v>3155</v>
      </c>
    </row>
    <row r="125" customFormat="false" ht="19.5" hidden="false" customHeight="true" outlineLevel="0" collapsed="false">
      <c r="A125" s="25" t="s">
        <v>3254</v>
      </c>
      <c r="B125" s="25" t="s">
        <v>3088</v>
      </c>
      <c r="C125" s="25" t="s">
        <v>3149</v>
      </c>
      <c r="D125" s="25" t="s">
        <v>3090</v>
      </c>
      <c r="E125" s="25" t="s">
        <v>492</v>
      </c>
      <c r="F125" s="12" t="s">
        <v>1583</v>
      </c>
      <c r="G125" s="25" t="s">
        <v>1419</v>
      </c>
      <c r="H125" s="25" t="s">
        <v>1334</v>
      </c>
      <c r="I125" s="25" t="s">
        <v>3151</v>
      </c>
      <c r="J125" s="14" t="n">
        <v>0.6</v>
      </c>
      <c r="K125" s="14" t="n">
        <v>0.5</v>
      </c>
      <c r="L125" s="14" t="n">
        <v>0.6</v>
      </c>
      <c r="M125" s="14" t="n">
        <v>0.1</v>
      </c>
      <c r="N125" s="25" t="s">
        <v>3094</v>
      </c>
      <c r="O125" s="25" t="s">
        <v>86</v>
      </c>
      <c r="P125" s="25" t="s">
        <v>1580</v>
      </c>
      <c r="Q125" s="22" t="s">
        <v>1376</v>
      </c>
      <c r="R125" s="12" t="s">
        <v>3155</v>
      </c>
    </row>
    <row r="126" customFormat="false" ht="19.5" hidden="false" customHeight="true" outlineLevel="0" collapsed="false">
      <c r="A126" s="27" t="s">
        <v>3255</v>
      </c>
      <c r="B126" s="27" t="s">
        <v>3088</v>
      </c>
      <c r="C126" s="27" t="s">
        <v>3149</v>
      </c>
      <c r="D126" s="27" t="s">
        <v>3090</v>
      </c>
      <c r="E126" s="27" t="s">
        <v>473</v>
      </c>
      <c r="F126" s="9" t="s">
        <v>1585</v>
      </c>
      <c r="G126" s="27" t="s">
        <v>1419</v>
      </c>
      <c r="H126" s="27" t="s">
        <v>1334</v>
      </c>
      <c r="I126" s="27" t="s">
        <v>3151</v>
      </c>
      <c r="J126" s="11" t="n">
        <v>0.76</v>
      </c>
      <c r="K126" s="11" t="n">
        <v>0.56</v>
      </c>
      <c r="L126" s="11" t="n">
        <v>0.76</v>
      </c>
      <c r="M126" s="11" t="n">
        <v>0.2</v>
      </c>
      <c r="N126" s="27" t="s">
        <v>3094</v>
      </c>
      <c r="O126" s="27" t="s">
        <v>86</v>
      </c>
      <c r="P126" s="27" t="s">
        <v>1580</v>
      </c>
      <c r="Q126" s="23" t="s">
        <v>1376</v>
      </c>
      <c r="R126" s="9" t="s">
        <v>3155</v>
      </c>
    </row>
    <row r="127" customFormat="false" ht="19.5" hidden="false" customHeight="true" outlineLevel="0" collapsed="false">
      <c r="A127" s="25" t="s">
        <v>3256</v>
      </c>
      <c r="B127" s="25" t="s">
        <v>3088</v>
      </c>
      <c r="C127" s="25" t="s">
        <v>3149</v>
      </c>
      <c r="D127" s="25" t="s">
        <v>3090</v>
      </c>
      <c r="E127" s="25" t="s">
        <v>459</v>
      </c>
      <c r="F127" s="12" t="s">
        <v>1587</v>
      </c>
      <c r="G127" s="25" t="s">
        <v>1419</v>
      </c>
      <c r="H127" s="25" t="s">
        <v>1334</v>
      </c>
      <c r="I127" s="25" t="s">
        <v>3151</v>
      </c>
      <c r="J127" s="14" t="n">
        <v>0.76</v>
      </c>
      <c r="K127" s="14" t="n">
        <v>-0.71</v>
      </c>
      <c r="L127" s="14" t="n">
        <v>0.76</v>
      </c>
      <c r="M127" s="14" t="n">
        <v>1.47</v>
      </c>
      <c r="N127" s="25" t="s">
        <v>3094</v>
      </c>
      <c r="O127" s="25" t="s">
        <v>86</v>
      </c>
      <c r="P127" s="25" t="s">
        <v>1580</v>
      </c>
      <c r="Q127" s="22" t="s">
        <v>1376</v>
      </c>
      <c r="R127" s="12" t="s">
        <v>3155</v>
      </c>
    </row>
    <row r="128" customFormat="false" ht="19.5" hidden="false" customHeight="true" outlineLevel="0" collapsed="false">
      <c r="A128" s="27" t="s">
        <v>3257</v>
      </c>
      <c r="B128" s="27" t="s">
        <v>3088</v>
      </c>
      <c r="C128" s="27" t="s">
        <v>3149</v>
      </c>
      <c r="D128" s="27" t="s">
        <v>3090</v>
      </c>
      <c r="E128" s="27" t="s">
        <v>486</v>
      </c>
      <c r="F128" s="9" t="s">
        <v>1589</v>
      </c>
      <c r="G128" s="27" t="s">
        <v>1419</v>
      </c>
      <c r="H128" s="27" t="s">
        <v>1334</v>
      </c>
      <c r="I128" s="27" t="s">
        <v>3151</v>
      </c>
      <c r="J128" s="11" t="n">
        <v>0.7</v>
      </c>
      <c r="K128" s="11" t="n">
        <v>-0.05</v>
      </c>
      <c r="L128" s="11" t="n">
        <v>0.7</v>
      </c>
      <c r="M128" s="11" t="n">
        <v>0.75</v>
      </c>
      <c r="N128" s="27" t="s">
        <v>3094</v>
      </c>
      <c r="O128" s="27" t="s">
        <v>86</v>
      </c>
      <c r="P128" s="27" t="s">
        <v>1580</v>
      </c>
      <c r="Q128" s="23" t="s">
        <v>1376</v>
      </c>
      <c r="R128" s="9" t="s">
        <v>3155</v>
      </c>
    </row>
    <row r="129" customFormat="false" ht="19.5" hidden="false" customHeight="true" outlineLevel="0" collapsed="false">
      <c r="A129" s="25" t="s">
        <v>3258</v>
      </c>
      <c r="B129" s="25" t="s">
        <v>3088</v>
      </c>
      <c r="C129" s="25" t="s">
        <v>3149</v>
      </c>
      <c r="D129" s="25" t="s">
        <v>3090</v>
      </c>
      <c r="E129" s="25" t="s">
        <v>479</v>
      </c>
      <c r="F129" s="12" t="s">
        <v>1591</v>
      </c>
      <c r="G129" s="25" t="s">
        <v>1419</v>
      </c>
      <c r="H129" s="25" t="s">
        <v>1334</v>
      </c>
      <c r="I129" s="25" t="s">
        <v>3151</v>
      </c>
      <c r="J129" s="14" t="n">
        <v>0.73</v>
      </c>
      <c r="K129" s="14" t="n">
        <v>-0.8</v>
      </c>
      <c r="L129" s="14" t="n">
        <v>0.73</v>
      </c>
      <c r="M129" s="14" t="n">
        <v>1.53</v>
      </c>
      <c r="N129" s="25" t="s">
        <v>3094</v>
      </c>
      <c r="O129" s="25" t="s">
        <v>86</v>
      </c>
      <c r="P129" s="25" t="s">
        <v>1580</v>
      </c>
      <c r="Q129" s="22" t="s">
        <v>1376</v>
      </c>
      <c r="R129" s="12" t="s">
        <v>3155</v>
      </c>
    </row>
    <row r="130" customFormat="false" ht="19.5" hidden="false" customHeight="true" outlineLevel="0" collapsed="false">
      <c r="A130" s="27" t="s">
        <v>3259</v>
      </c>
      <c r="B130" s="27" t="s">
        <v>3088</v>
      </c>
      <c r="C130" s="27" t="s">
        <v>3149</v>
      </c>
      <c r="D130" s="27" t="s">
        <v>3090</v>
      </c>
      <c r="E130" s="27" t="s">
        <v>233</v>
      </c>
      <c r="F130" s="9" t="s">
        <v>1593</v>
      </c>
      <c r="G130" s="27" t="s">
        <v>1419</v>
      </c>
      <c r="H130" s="27" t="s">
        <v>1334</v>
      </c>
      <c r="I130" s="27" t="s">
        <v>3151</v>
      </c>
      <c r="J130" s="11" t="n">
        <v>0.37</v>
      </c>
      <c r="K130" s="11" t="n">
        <v>0.3</v>
      </c>
      <c r="L130" s="11" t="n">
        <v>0.52</v>
      </c>
      <c r="M130" s="11" t="n">
        <v>0.22</v>
      </c>
      <c r="N130" s="27" t="s">
        <v>3094</v>
      </c>
      <c r="O130" s="27" t="s">
        <v>86</v>
      </c>
      <c r="P130" s="27" t="s">
        <v>1580</v>
      </c>
      <c r="Q130" s="23" t="s">
        <v>1376</v>
      </c>
      <c r="R130" s="9" t="s">
        <v>3162</v>
      </c>
    </row>
    <row r="131" customFormat="false" ht="19.5" hidden="false" customHeight="true" outlineLevel="0" collapsed="false">
      <c r="A131" s="25" t="s">
        <v>3260</v>
      </c>
      <c r="B131" s="25" t="s">
        <v>3088</v>
      </c>
      <c r="C131" s="25" t="s">
        <v>3149</v>
      </c>
      <c r="D131" s="25" t="s">
        <v>3090</v>
      </c>
      <c r="E131" s="25" t="s">
        <v>448</v>
      </c>
      <c r="F131" s="12" t="s">
        <v>1595</v>
      </c>
      <c r="G131" s="25" t="s">
        <v>1419</v>
      </c>
      <c r="H131" s="25" t="s">
        <v>1334</v>
      </c>
      <c r="I131" s="25" t="s">
        <v>3151</v>
      </c>
      <c r="J131" s="14" t="n">
        <v>0.16</v>
      </c>
      <c r="K131" s="29"/>
      <c r="L131" s="29"/>
      <c r="M131" s="29"/>
      <c r="N131" s="25" t="s">
        <v>3094</v>
      </c>
      <c r="O131" s="25" t="s">
        <v>86</v>
      </c>
      <c r="P131" s="25" t="s">
        <v>1580</v>
      </c>
      <c r="Q131" s="22" t="s">
        <v>1376</v>
      </c>
      <c r="R131" s="12" t="s">
        <v>3152</v>
      </c>
    </row>
    <row r="132" customFormat="false" ht="19.5" hidden="false" customHeight="true" outlineLevel="0" collapsed="false">
      <c r="A132" s="27" t="s">
        <v>3261</v>
      </c>
      <c r="B132" s="27" t="s">
        <v>3088</v>
      </c>
      <c r="C132" s="27" t="s">
        <v>3149</v>
      </c>
      <c r="D132" s="27" t="s">
        <v>3090</v>
      </c>
      <c r="E132" s="27" t="s">
        <v>455</v>
      </c>
      <c r="F132" s="9" t="s">
        <v>1597</v>
      </c>
      <c r="G132" s="27" t="s">
        <v>1419</v>
      </c>
      <c r="H132" s="27" t="s">
        <v>1334</v>
      </c>
      <c r="I132" s="27" t="s">
        <v>3151</v>
      </c>
      <c r="J132" s="11" t="n">
        <v>0.11</v>
      </c>
      <c r="K132" s="30"/>
      <c r="L132" s="30"/>
      <c r="M132" s="30"/>
      <c r="N132" s="27" t="s">
        <v>3094</v>
      </c>
      <c r="O132" s="27" t="s">
        <v>86</v>
      </c>
      <c r="P132" s="27" t="s">
        <v>1580</v>
      </c>
      <c r="Q132" s="23" t="s">
        <v>1376</v>
      </c>
      <c r="R132" s="9" t="s">
        <v>3152</v>
      </c>
    </row>
    <row r="133" customFormat="false" ht="19.5" hidden="false" customHeight="true" outlineLevel="0" collapsed="false">
      <c r="A133" s="25" t="s">
        <v>3262</v>
      </c>
      <c r="B133" s="25" t="s">
        <v>3088</v>
      </c>
      <c r="C133" s="25" t="s">
        <v>3149</v>
      </c>
      <c r="D133" s="25" t="s">
        <v>3090</v>
      </c>
      <c r="E133" s="25" t="s">
        <v>439</v>
      </c>
      <c r="F133" s="12" t="s">
        <v>1599</v>
      </c>
      <c r="G133" s="25" t="s">
        <v>1419</v>
      </c>
      <c r="H133" s="25" t="s">
        <v>1334</v>
      </c>
      <c r="I133" s="25" t="s">
        <v>3151</v>
      </c>
      <c r="J133" s="14" t="n">
        <v>0.34</v>
      </c>
      <c r="K133" s="29"/>
      <c r="L133" s="29"/>
      <c r="M133" s="29"/>
      <c r="N133" s="25" t="s">
        <v>3094</v>
      </c>
      <c r="O133" s="25" t="s">
        <v>86</v>
      </c>
      <c r="P133" s="25" t="s">
        <v>1580</v>
      </c>
      <c r="Q133" s="22" t="s">
        <v>1376</v>
      </c>
      <c r="R133" s="12" t="s">
        <v>3152</v>
      </c>
    </row>
    <row r="134" customFormat="false" ht="19.5" hidden="false" customHeight="true" outlineLevel="0" collapsed="false">
      <c r="A134" s="27" t="s">
        <v>3263</v>
      </c>
      <c r="B134" s="27" t="s">
        <v>3088</v>
      </c>
      <c r="C134" s="27" t="s">
        <v>3149</v>
      </c>
      <c r="D134" s="27" t="s">
        <v>3090</v>
      </c>
      <c r="E134" s="27" t="s">
        <v>426</v>
      </c>
      <c r="F134" s="9" t="s">
        <v>1601</v>
      </c>
      <c r="G134" s="27" t="s">
        <v>1419</v>
      </c>
      <c r="H134" s="27" t="s">
        <v>1334</v>
      </c>
      <c r="I134" s="27" t="s">
        <v>3151</v>
      </c>
      <c r="J134" s="11" t="n">
        <v>0.1</v>
      </c>
      <c r="K134" s="11" t="n">
        <v>0.08</v>
      </c>
      <c r="L134" s="11" t="n">
        <v>0.18</v>
      </c>
      <c r="M134" s="11" t="n">
        <v>0.1</v>
      </c>
      <c r="N134" s="27" t="s">
        <v>3094</v>
      </c>
      <c r="O134" s="27" t="s">
        <v>86</v>
      </c>
      <c r="P134" s="27" t="s">
        <v>1580</v>
      </c>
      <c r="Q134" s="23" t="s">
        <v>1376</v>
      </c>
      <c r="R134" s="9" t="s">
        <v>3152</v>
      </c>
    </row>
    <row r="135" customFormat="false" ht="19.5" hidden="false" customHeight="true" outlineLevel="0" collapsed="false">
      <c r="A135" s="25" t="s">
        <v>3264</v>
      </c>
      <c r="B135" s="25" t="s">
        <v>3088</v>
      </c>
      <c r="C135" s="25" t="s">
        <v>3149</v>
      </c>
      <c r="D135" s="25" t="s">
        <v>3090</v>
      </c>
      <c r="E135" s="25" t="s">
        <v>385</v>
      </c>
      <c r="F135" s="12" t="s">
        <v>1603</v>
      </c>
      <c r="G135" s="25" t="s">
        <v>1419</v>
      </c>
      <c r="H135" s="25" t="s">
        <v>1334</v>
      </c>
      <c r="I135" s="25" t="s">
        <v>3151</v>
      </c>
      <c r="J135" s="14" t="n">
        <v>0.19</v>
      </c>
      <c r="K135" s="14" t="n">
        <v>-0.6</v>
      </c>
      <c r="L135" s="14" t="n">
        <v>0.32</v>
      </c>
      <c r="M135" s="14" t="n">
        <v>0.92</v>
      </c>
      <c r="N135" s="25" t="s">
        <v>3094</v>
      </c>
      <c r="O135" s="25" t="s">
        <v>86</v>
      </c>
      <c r="P135" s="25" t="s">
        <v>1580</v>
      </c>
      <c r="Q135" s="22" t="s">
        <v>1376</v>
      </c>
      <c r="R135" s="12" t="s">
        <v>3152</v>
      </c>
    </row>
    <row r="136" customFormat="false" ht="19.5" hidden="false" customHeight="true" outlineLevel="0" collapsed="false">
      <c r="A136" s="27" t="s">
        <v>3265</v>
      </c>
      <c r="B136" s="27" t="s">
        <v>3088</v>
      </c>
      <c r="C136" s="27" t="s">
        <v>3149</v>
      </c>
      <c r="D136" s="27" t="s">
        <v>3090</v>
      </c>
      <c r="E136" s="27" t="s">
        <v>392</v>
      </c>
      <c r="F136" s="9" t="s">
        <v>1605</v>
      </c>
      <c r="G136" s="27" t="s">
        <v>1419</v>
      </c>
      <c r="H136" s="27" t="s">
        <v>1334</v>
      </c>
      <c r="I136" s="27" t="s">
        <v>3151</v>
      </c>
      <c r="J136" s="11" t="n">
        <v>0.17</v>
      </c>
      <c r="K136" s="11" t="n">
        <v>-0.5</v>
      </c>
      <c r="L136" s="11" t="n">
        <v>0.37</v>
      </c>
      <c r="M136" s="11" t="n">
        <v>0.87</v>
      </c>
      <c r="N136" s="27" t="s">
        <v>3094</v>
      </c>
      <c r="O136" s="27" t="s">
        <v>86</v>
      </c>
      <c r="P136" s="27" t="s">
        <v>1580</v>
      </c>
      <c r="Q136" s="23" t="s">
        <v>1376</v>
      </c>
      <c r="R136" s="9" t="s">
        <v>3152</v>
      </c>
    </row>
    <row r="137" customFormat="false" ht="19.5" hidden="false" customHeight="true" outlineLevel="0" collapsed="false">
      <c r="A137" s="25" t="s">
        <v>3266</v>
      </c>
      <c r="B137" s="25" t="s">
        <v>3088</v>
      </c>
      <c r="C137" s="25" t="s">
        <v>3149</v>
      </c>
      <c r="D137" s="25" t="s">
        <v>3090</v>
      </c>
      <c r="E137" s="25" t="s">
        <v>399</v>
      </c>
      <c r="F137" s="12" t="s">
        <v>1607</v>
      </c>
      <c r="G137" s="25" t="s">
        <v>1419</v>
      </c>
      <c r="H137" s="25" t="s">
        <v>1334</v>
      </c>
      <c r="I137" s="25" t="s">
        <v>3151</v>
      </c>
      <c r="J137" s="14" t="n">
        <v>0.01</v>
      </c>
      <c r="K137" s="14" t="n">
        <v>-0.58</v>
      </c>
      <c r="L137" s="14" t="n">
        <v>0.22</v>
      </c>
      <c r="M137" s="14" t="n">
        <v>0.8</v>
      </c>
      <c r="N137" s="25" t="s">
        <v>3094</v>
      </c>
      <c r="O137" s="25" t="s">
        <v>86</v>
      </c>
      <c r="P137" s="25" t="s">
        <v>1580</v>
      </c>
      <c r="Q137" s="22" t="s">
        <v>1376</v>
      </c>
      <c r="R137" s="12" t="s">
        <v>3152</v>
      </c>
    </row>
    <row r="138" customFormat="false" ht="19.5" hidden="false" customHeight="true" outlineLevel="0" collapsed="false">
      <c r="A138" s="27" t="s">
        <v>3267</v>
      </c>
      <c r="B138" s="27" t="s">
        <v>3088</v>
      </c>
      <c r="C138" s="27" t="s">
        <v>3149</v>
      </c>
      <c r="D138" s="27" t="s">
        <v>3090</v>
      </c>
      <c r="E138" s="27" t="s">
        <v>433</v>
      </c>
      <c r="F138" s="9" t="s">
        <v>1609</v>
      </c>
      <c r="G138" s="27" t="s">
        <v>1419</v>
      </c>
      <c r="H138" s="27" t="s">
        <v>1334</v>
      </c>
      <c r="I138" s="27" t="s">
        <v>3151</v>
      </c>
      <c r="J138" s="11" t="n">
        <v>0.32</v>
      </c>
      <c r="K138" s="30"/>
      <c r="L138" s="30"/>
      <c r="M138" s="30"/>
      <c r="N138" s="27" t="s">
        <v>3094</v>
      </c>
      <c r="O138" s="27" t="s">
        <v>86</v>
      </c>
      <c r="P138" s="27" t="s">
        <v>1580</v>
      </c>
      <c r="Q138" s="23" t="s">
        <v>1376</v>
      </c>
      <c r="R138" s="9" t="s">
        <v>3152</v>
      </c>
    </row>
    <row r="139" customFormat="false" ht="19.5" hidden="false" customHeight="true" outlineLevel="0" collapsed="false">
      <c r="A139" s="25" t="s">
        <v>3268</v>
      </c>
      <c r="B139" s="25" t="s">
        <v>3088</v>
      </c>
      <c r="C139" s="25" t="s">
        <v>3149</v>
      </c>
      <c r="D139" s="25" t="s">
        <v>3090</v>
      </c>
      <c r="E139" s="25" t="s">
        <v>405</v>
      </c>
      <c r="F139" s="12" t="s">
        <v>1611</v>
      </c>
      <c r="G139" s="25" t="s">
        <v>1419</v>
      </c>
      <c r="H139" s="25" t="s">
        <v>1334</v>
      </c>
      <c r="I139" s="25" t="s">
        <v>3151</v>
      </c>
      <c r="J139" s="14" t="n">
        <v>0.42</v>
      </c>
      <c r="K139" s="14" t="n">
        <v>0.27</v>
      </c>
      <c r="L139" s="14" t="n">
        <v>0.42</v>
      </c>
      <c r="M139" s="14" t="n">
        <v>0.15</v>
      </c>
      <c r="N139" s="25" t="s">
        <v>3094</v>
      </c>
      <c r="O139" s="25" t="s">
        <v>86</v>
      </c>
      <c r="P139" s="25" t="s">
        <v>1580</v>
      </c>
      <c r="Q139" s="22" t="s">
        <v>1376</v>
      </c>
      <c r="R139" s="12" t="s">
        <v>3152</v>
      </c>
    </row>
    <row r="140" customFormat="false" ht="19.5" hidden="false" customHeight="true" outlineLevel="0" collapsed="false">
      <c r="A140" s="27" t="s">
        <v>3269</v>
      </c>
      <c r="B140" s="27" t="s">
        <v>3088</v>
      </c>
      <c r="C140" s="27" t="s">
        <v>3149</v>
      </c>
      <c r="D140" s="27" t="s">
        <v>3090</v>
      </c>
      <c r="E140" s="27" t="s">
        <v>411</v>
      </c>
      <c r="F140" s="9" t="s">
        <v>1613</v>
      </c>
      <c r="G140" s="27" t="s">
        <v>1419</v>
      </c>
      <c r="H140" s="27" t="s">
        <v>1334</v>
      </c>
      <c r="I140" s="27" t="s">
        <v>3151</v>
      </c>
      <c r="J140" s="11" t="n">
        <v>0.56</v>
      </c>
      <c r="K140" s="11" t="n">
        <v>0.25</v>
      </c>
      <c r="L140" s="11" t="n">
        <v>0.56</v>
      </c>
      <c r="M140" s="11" t="n">
        <v>0.31</v>
      </c>
      <c r="N140" s="27" t="s">
        <v>3094</v>
      </c>
      <c r="O140" s="27" t="s">
        <v>86</v>
      </c>
      <c r="P140" s="27" t="s">
        <v>1580</v>
      </c>
      <c r="Q140" s="23" t="s">
        <v>1376</v>
      </c>
      <c r="R140" s="9" t="s">
        <v>3152</v>
      </c>
    </row>
    <row r="141" customFormat="false" ht="19.5" hidden="false" customHeight="true" outlineLevel="0" collapsed="false">
      <c r="A141" s="25" t="s">
        <v>3270</v>
      </c>
      <c r="B141" s="25" t="s">
        <v>3088</v>
      </c>
      <c r="C141" s="25" t="s">
        <v>3149</v>
      </c>
      <c r="D141" s="25" t="s">
        <v>3090</v>
      </c>
      <c r="E141" s="25" t="s">
        <v>416</v>
      </c>
      <c r="F141" s="12" t="s">
        <v>1615</v>
      </c>
      <c r="G141" s="25" t="s">
        <v>1419</v>
      </c>
      <c r="H141" s="25" t="s">
        <v>1334</v>
      </c>
      <c r="I141" s="25" t="s">
        <v>3151</v>
      </c>
      <c r="J141" s="14" t="n">
        <v>0.51</v>
      </c>
      <c r="K141" s="14" t="n">
        <v>0.36</v>
      </c>
      <c r="L141" s="14" t="n">
        <v>0.52</v>
      </c>
      <c r="M141" s="14" t="n">
        <v>0.16</v>
      </c>
      <c r="N141" s="25" t="s">
        <v>3094</v>
      </c>
      <c r="O141" s="25" t="s">
        <v>86</v>
      </c>
      <c r="P141" s="25" t="s">
        <v>1580</v>
      </c>
      <c r="Q141" s="22" t="s">
        <v>1376</v>
      </c>
      <c r="R141" s="12" t="s">
        <v>3152</v>
      </c>
    </row>
    <row r="142" customFormat="false" ht="19.5" hidden="false" customHeight="true" outlineLevel="0" collapsed="false">
      <c r="A142" s="27" t="s">
        <v>3271</v>
      </c>
      <c r="B142" s="27" t="s">
        <v>3088</v>
      </c>
      <c r="C142" s="27" t="s">
        <v>3149</v>
      </c>
      <c r="D142" s="27" t="s">
        <v>3090</v>
      </c>
      <c r="E142" s="27" t="s">
        <v>377</v>
      </c>
      <c r="F142" s="9" t="s">
        <v>1617</v>
      </c>
      <c r="G142" s="27" t="s">
        <v>1419</v>
      </c>
      <c r="H142" s="27" t="s">
        <v>1334</v>
      </c>
      <c r="I142" s="27" t="s">
        <v>3151</v>
      </c>
      <c r="J142" s="11" t="n">
        <v>0.38</v>
      </c>
      <c r="K142" s="11" t="n">
        <v>0.38</v>
      </c>
      <c r="L142" s="11" t="n">
        <v>0.5</v>
      </c>
      <c r="M142" s="11" t="n">
        <v>0.12</v>
      </c>
      <c r="N142" s="27" t="s">
        <v>3094</v>
      </c>
      <c r="O142" s="27" t="s">
        <v>86</v>
      </c>
      <c r="P142" s="27" t="s">
        <v>1580</v>
      </c>
      <c r="Q142" s="23" t="s">
        <v>1376</v>
      </c>
      <c r="R142" s="9" t="s">
        <v>3152</v>
      </c>
    </row>
    <row r="143" customFormat="false" ht="19.5" hidden="false" customHeight="true" outlineLevel="0" collapsed="false">
      <c r="A143" s="25" t="s">
        <v>3272</v>
      </c>
      <c r="B143" s="25" t="s">
        <v>3088</v>
      </c>
      <c r="C143" s="25" t="s">
        <v>3149</v>
      </c>
      <c r="D143" s="25" t="s">
        <v>3090</v>
      </c>
      <c r="E143" s="25" t="s">
        <v>420</v>
      </c>
      <c r="F143" s="12" t="s">
        <v>1619</v>
      </c>
      <c r="G143" s="25" t="s">
        <v>1419</v>
      </c>
      <c r="H143" s="25" t="s">
        <v>1334</v>
      </c>
      <c r="I143" s="25" t="s">
        <v>3151</v>
      </c>
      <c r="J143" s="14" t="n">
        <v>0.15</v>
      </c>
      <c r="K143" s="14" t="n">
        <v>0.05</v>
      </c>
      <c r="L143" s="14" t="n">
        <v>0.21</v>
      </c>
      <c r="M143" s="14" t="n">
        <v>0.16</v>
      </c>
      <c r="N143" s="25" t="s">
        <v>3094</v>
      </c>
      <c r="O143" s="25" t="s">
        <v>86</v>
      </c>
      <c r="P143" s="25" t="s">
        <v>1580</v>
      </c>
      <c r="Q143" s="22" t="s">
        <v>1376</v>
      </c>
      <c r="R143" s="12" t="s">
        <v>3152</v>
      </c>
    </row>
    <row r="144" customFormat="false" ht="19.5" hidden="false" customHeight="true" outlineLevel="0" collapsed="false">
      <c r="A144" s="27" t="s">
        <v>3273</v>
      </c>
      <c r="B144" s="27" t="s">
        <v>3088</v>
      </c>
      <c r="C144" s="27" t="s">
        <v>3149</v>
      </c>
      <c r="D144" s="27" t="s">
        <v>3090</v>
      </c>
      <c r="E144" s="27" t="s">
        <v>250</v>
      </c>
      <c r="F144" s="9" t="s">
        <v>1621</v>
      </c>
      <c r="G144" s="27" t="s">
        <v>1419</v>
      </c>
      <c r="H144" s="27" t="s">
        <v>1334</v>
      </c>
      <c r="I144" s="27" t="s">
        <v>3151</v>
      </c>
      <c r="J144" s="11" t="n">
        <v>0.32</v>
      </c>
      <c r="K144" s="30"/>
      <c r="L144" s="30"/>
      <c r="M144" s="30"/>
      <c r="N144" s="27" t="s">
        <v>3094</v>
      </c>
      <c r="O144" s="27" t="s">
        <v>86</v>
      </c>
      <c r="P144" s="27" t="s">
        <v>1580</v>
      </c>
      <c r="Q144" s="23" t="s">
        <v>1376</v>
      </c>
      <c r="R144" s="9" t="s">
        <v>3152</v>
      </c>
    </row>
    <row r="145" customFormat="false" ht="19.5" hidden="false" customHeight="true" outlineLevel="0" collapsed="false">
      <c r="A145" s="25" t="s">
        <v>3274</v>
      </c>
      <c r="B145" s="25" t="s">
        <v>3088</v>
      </c>
      <c r="C145" s="25" t="s">
        <v>3149</v>
      </c>
      <c r="D145" s="25" t="s">
        <v>3090</v>
      </c>
      <c r="E145" s="25" t="s">
        <v>312</v>
      </c>
      <c r="F145" s="12" t="s">
        <v>3213</v>
      </c>
      <c r="G145" s="25" t="s">
        <v>1419</v>
      </c>
      <c r="H145" s="25" t="s">
        <v>1334</v>
      </c>
      <c r="I145" s="25" t="s">
        <v>3151</v>
      </c>
      <c r="J145" s="14" t="n">
        <v>0.82</v>
      </c>
      <c r="K145" s="14" t="n">
        <v>-0.83</v>
      </c>
      <c r="L145" s="14" t="n">
        <v>0.97</v>
      </c>
      <c r="M145" s="14" t="n">
        <v>1.8</v>
      </c>
      <c r="N145" s="25" t="s">
        <v>3094</v>
      </c>
      <c r="O145" s="25" t="s">
        <v>86</v>
      </c>
      <c r="P145" s="25" t="s">
        <v>1580</v>
      </c>
      <c r="Q145" s="22" t="s">
        <v>1376</v>
      </c>
      <c r="R145" s="12" t="s">
        <v>3214</v>
      </c>
    </row>
    <row r="146" customFormat="false" ht="19.5" hidden="false" customHeight="true" outlineLevel="0" collapsed="false">
      <c r="A146" s="27" t="s">
        <v>3275</v>
      </c>
      <c r="B146" s="27" t="s">
        <v>3088</v>
      </c>
      <c r="C146" s="27" t="s">
        <v>3149</v>
      </c>
      <c r="D146" s="27" t="s">
        <v>3090</v>
      </c>
      <c r="E146" s="27" t="s">
        <v>226</v>
      </c>
      <c r="F146" s="9" t="s">
        <v>1623</v>
      </c>
      <c r="G146" s="27" t="s">
        <v>1419</v>
      </c>
      <c r="H146" s="27" t="s">
        <v>1334</v>
      </c>
      <c r="I146" s="27" t="s">
        <v>3151</v>
      </c>
      <c r="J146" s="11" t="n">
        <v>0.07</v>
      </c>
      <c r="K146" s="11" t="n">
        <v>-0.9</v>
      </c>
      <c r="L146" s="11" t="n">
        <v>0.44</v>
      </c>
      <c r="M146" s="11" t="n">
        <v>1.34</v>
      </c>
      <c r="N146" s="27" t="s">
        <v>3094</v>
      </c>
      <c r="O146" s="27" t="s">
        <v>86</v>
      </c>
      <c r="P146" s="27" t="s">
        <v>1580</v>
      </c>
      <c r="Q146" s="23" t="s">
        <v>1376</v>
      </c>
      <c r="R146" s="9" t="s">
        <v>3152</v>
      </c>
    </row>
    <row r="147" customFormat="false" ht="19.5" hidden="false" customHeight="true" outlineLevel="0" collapsed="false">
      <c r="A147" s="25" t="s">
        <v>3276</v>
      </c>
      <c r="B147" s="25" t="s">
        <v>3088</v>
      </c>
      <c r="C147" s="25" t="s">
        <v>3149</v>
      </c>
      <c r="D147" s="25" t="s">
        <v>3090</v>
      </c>
      <c r="E147" s="25" t="s">
        <v>319</v>
      </c>
      <c r="F147" s="12" t="s">
        <v>3217</v>
      </c>
      <c r="G147" s="25" t="s">
        <v>1419</v>
      </c>
      <c r="H147" s="25" t="s">
        <v>1334</v>
      </c>
      <c r="I147" s="25" t="s">
        <v>3151</v>
      </c>
      <c r="J147" s="14" t="n">
        <v>0.8</v>
      </c>
      <c r="K147" s="14" t="n">
        <v>-0.83</v>
      </c>
      <c r="L147" s="14" t="n">
        <v>0.93</v>
      </c>
      <c r="M147" s="14" t="n">
        <v>1.76</v>
      </c>
      <c r="N147" s="25" t="s">
        <v>3094</v>
      </c>
      <c r="O147" s="25" t="s">
        <v>86</v>
      </c>
      <c r="P147" s="25" t="s">
        <v>1580</v>
      </c>
      <c r="Q147" s="22" t="s">
        <v>1376</v>
      </c>
      <c r="R147" s="12" t="s">
        <v>3214</v>
      </c>
    </row>
    <row r="148" customFormat="false" ht="19.5" hidden="false" customHeight="true" outlineLevel="0" collapsed="false">
      <c r="A148" s="27" t="s">
        <v>3277</v>
      </c>
      <c r="B148" s="27" t="s">
        <v>3088</v>
      </c>
      <c r="C148" s="27" t="s">
        <v>3149</v>
      </c>
      <c r="D148" s="27" t="s">
        <v>3090</v>
      </c>
      <c r="E148" s="27" t="s">
        <v>292</v>
      </c>
      <c r="F148" s="9" t="s">
        <v>3219</v>
      </c>
      <c r="G148" s="27" t="s">
        <v>1419</v>
      </c>
      <c r="H148" s="27" t="s">
        <v>1334</v>
      </c>
      <c r="I148" s="27" t="s">
        <v>3151</v>
      </c>
      <c r="J148" s="11" t="n">
        <v>0.84</v>
      </c>
      <c r="K148" s="11" t="n">
        <v>-0.8</v>
      </c>
      <c r="L148" s="11" t="n">
        <v>0.95</v>
      </c>
      <c r="M148" s="11" t="n">
        <v>1.75</v>
      </c>
      <c r="N148" s="27" t="s">
        <v>3094</v>
      </c>
      <c r="O148" s="27" t="s">
        <v>86</v>
      </c>
      <c r="P148" s="27" t="s">
        <v>1580</v>
      </c>
      <c r="Q148" s="23" t="s">
        <v>1376</v>
      </c>
      <c r="R148" s="9" t="s">
        <v>3214</v>
      </c>
    </row>
    <row r="149" customFormat="false" ht="19.5" hidden="false" customHeight="true" outlineLevel="0" collapsed="false">
      <c r="A149" s="25" t="s">
        <v>3278</v>
      </c>
      <c r="B149" s="25" t="s">
        <v>3088</v>
      </c>
      <c r="C149" s="25" t="s">
        <v>3149</v>
      </c>
      <c r="D149" s="25" t="s">
        <v>3090</v>
      </c>
      <c r="E149" s="25" t="s">
        <v>215</v>
      </c>
      <c r="F149" s="12" t="s">
        <v>1625</v>
      </c>
      <c r="G149" s="25" t="s">
        <v>1419</v>
      </c>
      <c r="H149" s="25" t="s">
        <v>1334</v>
      </c>
      <c r="I149" s="25" t="s">
        <v>3151</v>
      </c>
      <c r="J149" s="14" t="n">
        <v>0.07</v>
      </c>
      <c r="K149" s="29"/>
      <c r="L149" s="29"/>
      <c r="M149" s="29"/>
      <c r="N149" s="25" t="s">
        <v>3094</v>
      </c>
      <c r="O149" s="25" t="s">
        <v>86</v>
      </c>
      <c r="P149" s="25" t="s">
        <v>1580</v>
      </c>
      <c r="Q149" s="22" t="s">
        <v>1376</v>
      </c>
      <c r="R149" s="12" t="s">
        <v>3152</v>
      </c>
    </row>
    <row r="150" customFormat="false" ht="19.5" hidden="false" customHeight="true" outlineLevel="0" collapsed="false">
      <c r="A150" s="27" t="s">
        <v>3279</v>
      </c>
      <c r="B150" s="27" t="s">
        <v>3088</v>
      </c>
      <c r="C150" s="27" t="s">
        <v>3149</v>
      </c>
      <c r="D150" s="27" t="s">
        <v>3090</v>
      </c>
      <c r="E150" s="27" t="s">
        <v>257</v>
      </c>
      <c r="F150" s="9" t="s">
        <v>1627</v>
      </c>
      <c r="G150" s="27" t="s">
        <v>1419</v>
      </c>
      <c r="H150" s="27" t="s">
        <v>1334</v>
      </c>
      <c r="I150" s="27" t="s">
        <v>3151</v>
      </c>
      <c r="J150" s="11" t="n">
        <v>0.54</v>
      </c>
      <c r="K150" s="11" t="n">
        <v>0.54</v>
      </c>
      <c r="L150" s="11" t="n">
        <v>0.67</v>
      </c>
      <c r="M150" s="11" t="n">
        <v>0.13</v>
      </c>
      <c r="N150" s="27" t="s">
        <v>3094</v>
      </c>
      <c r="O150" s="27" t="s">
        <v>86</v>
      </c>
      <c r="P150" s="27" t="s">
        <v>1580</v>
      </c>
      <c r="Q150" s="23" t="s">
        <v>1376</v>
      </c>
      <c r="R150" s="9" t="s">
        <v>3152</v>
      </c>
    </row>
    <row r="151" customFormat="false" ht="19.5" hidden="false" customHeight="true" outlineLevel="0" collapsed="false">
      <c r="A151" s="25" t="s">
        <v>3280</v>
      </c>
      <c r="B151" s="25" t="s">
        <v>3088</v>
      </c>
      <c r="C151" s="25" t="s">
        <v>3149</v>
      </c>
      <c r="D151" s="25" t="s">
        <v>3090</v>
      </c>
      <c r="E151" s="25" t="s">
        <v>334</v>
      </c>
      <c r="F151" s="12" t="s">
        <v>3186</v>
      </c>
      <c r="G151" s="25" t="s">
        <v>1469</v>
      </c>
      <c r="H151" s="25" t="s">
        <v>1334</v>
      </c>
      <c r="I151" s="25" t="s">
        <v>3151</v>
      </c>
      <c r="J151" s="14" t="n">
        <v>0.25</v>
      </c>
      <c r="K151" s="14" t="n">
        <v>-0.95</v>
      </c>
      <c r="L151" s="14" t="n">
        <v>0.41</v>
      </c>
      <c r="M151" s="14" t="n">
        <v>1.36</v>
      </c>
      <c r="N151" s="25" t="s">
        <v>3094</v>
      </c>
      <c r="O151" s="25" t="s">
        <v>86</v>
      </c>
      <c r="P151" s="25" t="s">
        <v>1580</v>
      </c>
      <c r="Q151" s="22" t="s">
        <v>1437</v>
      </c>
      <c r="R151" s="12" t="s">
        <v>3187</v>
      </c>
    </row>
    <row r="152" customFormat="false" ht="19.5" hidden="false" customHeight="true" outlineLevel="0" collapsed="false">
      <c r="A152" s="27" t="s">
        <v>3281</v>
      </c>
      <c r="B152" s="27" t="s">
        <v>3088</v>
      </c>
      <c r="C152" s="27" t="s">
        <v>3149</v>
      </c>
      <c r="D152" s="27" t="s">
        <v>3090</v>
      </c>
      <c r="E152" s="27" t="s">
        <v>328</v>
      </c>
      <c r="F152" s="9" t="s">
        <v>3189</v>
      </c>
      <c r="G152" s="27" t="s">
        <v>1469</v>
      </c>
      <c r="H152" s="27" t="s">
        <v>1334</v>
      </c>
      <c r="I152" s="27" t="s">
        <v>3151</v>
      </c>
      <c r="J152" s="11" t="n">
        <v>0.36</v>
      </c>
      <c r="K152" s="11" t="n">
        <v>0.11</v>
      </c>
      <c r="L152" s="11" t="n">
        <v>0.39</v>
      </c>
      <c r="M152" s="11" t="n">
        <v>0.28</v>
      </c>
      <c r="N152" s="27" t="s">
        <v>3094</v>
      </c>
      <c r="O152" s="27" t="s">
        <v>86</v>
      </c>
      <c r="P152" s="27" t="s">
        <v>1580</v>
      </c>
      <c r="Q152" s="23" t="s">
        <v>1437</v>
      </c>
      <c r="R152" s="9" t="s">
        <v>3190</v>
      </c>
    </row>
    <row r="153" customFormat="false" ht="19.5" hidden="false" customHeight="true" outlineLevel="0" collapsed="false">
      <c r="A153" s="25" t="s">
        <v>3282</v>
      </c>
      <c r="B153" s="25" t="s">
        <v>3088</v>
      </c>
      <c r="C153" s="25" t="s">
        <v>3149</v>
      </c>
      <c r="D153" s="25" t="s">
        <v>3090</v>
      </c>
      <c r="E153" s="25" t="s">
        <v>466</v>
      </c>
      <c r="F153" s="12" t="s">
        <v>1578</v>
      </c>
      <c r="G153" s="25" t="s">
        <v>1469</v>
      </c>
      <c r="H153" s="25" t="s">
        <v>1334</v>
      </c>
      <c r="I153" s="25" t="s">
        <v>3151</v>
      </c>
      <c r="J153" s="29"/>
      <c r="K153" s="14" t="n">
        <v>-0.47</v>
      </c>
      <c r="L153" s="14" t="n">
        <v>1.08</v>
      </c>
      <c r="M153" s="14" t="n">
        <v>1.55</v>
      </c>
      <c r="N153" s="25" t="s">
        <v>3094</v>
      </c>
      <c r="O153" s="25" t="s">
        <v>86</v>
      </c>
      <c r="P153" s="25" t="s">
        <v>1580</v>
      </c>
      <c r="Q153" s="22" t="s">
        <v>1437</v>
      </c>
      <c r="R153" s="12" t="s">
        <v>3155</v>
      </c>
    </row>
    <row r="154" customFormat="false" ht="19.5" hidden="false" customHeight="true" outlineLevel="0" collapsed="false">
      <c r="A154" s="27" t="s">
        <v>3283</v>
      </c>
      <c r="B154" s="27" t="s">
        <v>3088</v>
      </c>
      <c r="C154" s="27" t="s">
        <v>3149</v>
      </c>
      <c r="D154" s="27" t="s">
        <v>3090</v>
      </c>
      <c r="E154" s="27" t="s">
        <v>492</v>
      </c>
      <c r="F154" s="9" t="s">
        <v>1583</v>
      </c>
      <c r="G154" s="27" t="s">
        <v>1469</v>
      </c>
      <c r="H154" s="27" t="s">
        <v>1334</v>
      </c>
      <c r="I154" s="27" t="s">
        <v>3151</v>
      </c>
      <c r="J154" s="11" t="n">
        <v>0.56</v>
      </c>
      <c r="K154" s="11" t="n">
        <v>0.5</v>
      </c>
      <c r="L154" s="11" t="n">
        <v>0.56</v>
      </c>
      <c r="M154" s="11" t="n">
        <v>0.06</v>
      </c>
      <c r="N154" s="27" t="s">
        <v>3094</v>
      </c>
      <c r="O154" s="27" t="s">
        <v>86</v>
      </c>
      <c r="P154" s="27" t="s">
        <v>1580</v>
      </c>
      <c r="Q154" s="23" t="s">
        <v>1437</v>
      </c>
      <c r="R154" s="9" t="s">
        <v>3155</v>
      </c>
    </row>
    <row r="155" customFormat="false" ht="19.5" hidden="false" customHeight="true" outlineLevel="0" collapsed="false">
      <c r="A155" s="25" t="s">
        <v>3284</v>
      </c>
      <c r="B155" s="25" t="s">
        <v>3088</v>
      </c>
      <c r="C155" s="25" t="s">
        <v>3149</v>
      </c>
      <c r="D155" s="25" t="s">
        <v>3090</v>
      </c>
      <c r="E155" s="25" t="s">
        <v>473</v>
      </c>
      <c r="F155" s="12" t="s">
        <v>1585</v>
      </c>
      <c r="G155" s="25" t="s">
        <v>1469</v>
      </c>
      <c r="H155" s="25" t="s">
        <v>1334</v>
      </c>
      <c r="I155" s="25" t="s">
        <v>3151</v>
      </c>
      <c r="J155" s="14" t="n">
        <v>0.54</v>
      </c>
      <c r="K155" s="14" t="n">
        <v>0.54</v>
      </c>
      <c r="L155" s="14" t="n">
        <v>0.67</v>
      </c>
      <c r="M155" s="14" t="n">
        <v>0.13</v>
      </c>
      <c r="N155" s="25" t="s">
        <v>3094</v>
      </c>
      <c r="O155" s="25" t="s">
        <v>86</v>
      </c>
      <c r="P155" s="25" t="s">
        <v>1580</v>
      </c>
      <c r="Q155" s="22" t="s">
        <v>1437</v>
      </c>
      <c r="R155" s="12" t="s">
        <v>3155</v>
      </c>
    </row>
    <row r="156" customFormat="false" ht="19.5" hidden="false" customHeight="true" outlineLevel="0" collapsed="false">
      <c r="A156" s="27" t="s">
        <v>3285</v>
      </c>
      <c r="B156" s="27" t="s">
        <v>3088</v>
      </c>
      <c r="C156" s="27" t="s">
        <v>3149</v>
      </c>
      <c r="D156" s="27" t="s">
        <v>3090</v>
      </c>
      <c r="E156" s="27" t="s">
        <v>459</v>
      </c>
      <c r="F156" s="9" t="s">
        <v>1587</v>
      </c>
      <c r="G156" s="27" t="s">
        <v>1469</v>
      </c>
      <c r="H156" s="27" t="s">
        <v>1334</v>
      </c>
      <c r="I156" s="27" t="s">
        <v>3151</v>
      </c>
      <c r="J156" s="30"/>
      <c r="K156" s="11" t="n">
        <v>-0.7</v>
      </c>
      <c r="L156" s="11" t="n">
        <v>0.82</v>
      </c>
      <c r="M156" s="11" t="n">
        <v>1.52</v>
      </c>
      <c r="N156" s="27" t="s">
        <v>3094</v>
      </c>
      <c r="O156" s="27" t="s">
        <v>86</v>
      </c>
      <c r="P156" s="27" t="s">
        <v>1580</v>
      </c>
      <c r="Q156" s="23" t="s">
        <v>1437</v>
      </c>
      <c r="R156" s="9" t="s">
        <v>3155</v>
      </c>
    </row>
    <row r="157" customFormat="false" ht="19.5" hidden="false" customHeight="true" outlineLevel="0" collapsed="false">
      <c r="A157" s="25" t="s">
        <v>3286</v>
      </c>
      <c r="B157" s="25" t="s">
        <v>3088</v>
      </c>
      <c r="C157" s="25" t="s">
        <v>3149</v>
      </c>
      <c r="D157" s="25" t="s">
        <v>3090</v>
      </c>
      <c r="E157" s="25" t="s">
        <v>486</v>
      </c>
      <c r="F157" s="12" t="s">
        <v>1589</v>
      </c>
      <c r="G157" s="25" t="s">
        <v>1469</v>
      </c>
      <c r="H157" s="25" t="s">
        <v>1334</v>
      </c>
      <c r="I157" s="25" t="s">
        <v>3151</v>
      </c>
      <c r="J157" s="14" t="n">
        <v>0.64</v>
      </c>
      <c r="K157" s="14" t="n">
        <v>-0.1</v>
      </c>
      <c r="L157" s="14" t="n">
        <v>0.65</v>
      </c>
      <c r="M157" s="14" t="n">
        <v>0.75</v>
      </c>
      <c r="N157" s="25" t="s">
        <v>3094</v>
      </c>
      <c r="O157" s="25" t="s">
        <v>86</v>
      </c>
      <c r="P157" s="25" t="s">
        <v>1580</v>
      </c>
      <c r="Q157" s="22" t="s">
        <v>1437</v>
      </c>
      <c r="R157" s="12" t="s">
        <v>3155</v>
      </c>
    </row>
    <row r="158" customFormat="false" ht="19.5" hidden="false" customHeight="true" outlineLevel="0" collapsed="false">
      <c r="A158" s="27" t="s">
        <v>3287</v>
      </c>
      <c r="B158" s="27" t="s">
        <v>3088</v>
      </c>
      <c r="C158" s="27" t="s">
        <v>3149</v>
      </c>
      <c r="D158" s="27" t="s">
        <v>3090</v>
      </c>
      <c r="E158" s="27" t="s">
        <v>479</v>
      </c>
      <c r="F158" s="9" t="s">
        <v>1591</v>
      </c>
      <c r="G158" s="27" t="s">
        <v>1469</v>
      </c>
      <c r="H158" s="27" t="s">
        <v>1334</v>
      </c>
      <c r="I158" s="27" t="s">
        <v>3151</v>
      </c>
      <c r="J158" s="30"/>
      <c r="K158" s="11" t="n">
        <v>-1</v>
      </c>
      <c r="L158" s="11" t="n">
        <v>0.65</v>
      </c>
      <c r="M158" s="11" t="n">
        <v>1.65</v>
      </c>
      <c r="N158" s="27" t="s">
        <v>3094</v>
      </c>
      <c r="O158" s="27" t="s">
        <v>86</v>
      </c>
      <c r="P158" s="27" t="s">
        <v>1580</v>
      </c>
      <c r="Q158" s="23" t="s">
        <v>1437</v>
      </c>
      <c r="R158" s="9" t="s">
        <v>3155</v>
      </c>
    </row>
    <row r="159" customFormat="false" ht="19.5" hidden="false" customHeight="true" outlineLevel="0" collapsed="false">
      <c r="A159" s="25" t="s">
        <v>3288</v>
      </c>
      <c r="B159" s="25" t="s">
        <v>3088</v>
      </c>
      <c r="C159" s="25" t="s">
        <v>3149</v>
      </c>
      <c r="D159" s="25" t="s">
        <v>3090</v>
      </c>
      <c r="E159" s="25" t="s">
        <v>233</v>
      </c>
      <c r="F159" s="12" t="s">
        <v>1593</v>
      </c>
      <c r="G159" s="25" t="s">
        <v>1469</v>
      </c>
      <c r="H159" s="25" t="s">
        <v>1334</v>
      </c>
      <c r="I159" s="25" t="s">
        <v>3151</v>
      </c>
      <c r="J159" s="14" t="n">
        <v>0.04</v>
      </c>
      <c r="K159" s="14" t="n">
        <v>-0.67</v>
      </c>
      <c r="L159" s="14" t="n">
        <v>0.31</v>
      </c>
      <c r="M159" s="14" t="n">
        <v>0.98</v>
      </c>
      <c r="N159" s="25" t="s">
        <v>3094</v>
      </c>
      <c r="O159" s="25" t="s">
        <v>86</v>
      </c>
      <c r="P159" s="25" t="s">
        <v>1580</v>
      </c>
      <c r="Q159" s="22" t="s">
        <v>1437</v>
      </c>
      <c r="R159" s="12" t="s">
        <v>3162</v>
      </c>
    </row>
    <row r="160" customFormat="false" ht="19.5" hidden="false" customHeight="true" outlineLevel="0" collapsed="false">
      <c r="A160" s="27" t="s">
        <v>3289</v>
      </c>
      <c r="B160" s="27" t="s">
        <v>3088</v>
      </c>
      <c r="C160" s="27" t="s">
        <v>3149</v>
      </c>
      <c r="D160" s="27" t="s">
        <v>3090</v>
      </c>
      <c r="E160" s="27" t="s">
        <v>448</v>
      </c>
      <c r="F160" s="9" t="s">
        <v>1595</v>
      </c>
      <c r="G160" s="27" t="s">
        <v>1469</v>
      </c>
      <c r="H160" s="27" t="s">
        <v>1334</v>
      </c>
      <c r="I160" s="27" t="s">
        <v>3151</v>
      </c>
      <c r="J160" s="11" t="n">
        <v>0.22</v>
      </c>
      <c r="K160" s="30"/>
      <c r="L160" s="30"/>
      <c r="M160" s="30"/>
      <c r="N160" s="27" t="s">
        <v>3094</v>
      </c>
      <c r="O160" s="27" t="s">
        <v>86</v>
      </c>
      <c r="P160" s="27" t="s">
        <v>1580</v>
      </c>
      <c r="Q160" s="23" t="s">
        <v>1437</v>
      </c>
      <c r="R160" s="9" t="s">
        <v>3152</v>
      </c>
    </row>
    <row r="161" customFormat="false" ht="19.5" hidden="false" customHeight="true" outlineLevel="0" collapsed="false">
      <c r="A161" s="25" t="s">
        <v>3290</v>
      </c>
      <c r="B161" s="25" t="s">
        <v>3088</v>
      </c>
      <c r="C161" s="25" t="s">
        <v>3149</v>
      </c>
      <c r="D161" s="25" t="s">
        <v>3090</v>
      </c>
      <c r="E161" s="25" t="s">
        <v>455</v>
      </c>
      <c r="F161" s="12" t="s">
        <v>1597</v>
      </c>
      <c r="G161" s="25" t="s">
        <v>1469</v>
      </c>
      <c r="H161" s="25" t="s">
        <v>1334</v>
      </c>
      <c r="I161" s="25" t="s">
        <v>3151</v>
      </c>
      <c r="J161" s="14" t="n">
        <v>0.4</v>
      </c>
      <c r="K161" s="29"/>
      <c r="L161" s="29"/>
      <c r="M161" s="29"/>
      <c r="N161" s="25" t="s">
        <v>3094</v>
      </c>
      <c r="O161" s="25" t="s">
        <v>86</v>
      </c>
      <c r="P161" s="25" t="s">
        <v>1580</v>
      </c>
      <c r="Q161" s="22" t="s">
        <v>1437</v>
      </c>
      <c r="R161" s="12" t="s">
        <v>3152</v>
      </c>
    </row>
    <row r="162" customFormat="false" ht="19.5" hidden="false" customHeight="true" outlineLevel="0" collapsed="false">
      <c r="A162" s="27" t="s">
        <v>3291</v>
      </c>
      <c r="B162" s="27" t="s">
        <v>3088</v>
      </c>
      <c r="C162" s="27" t="s">
        <v>3149</v>
      </c>
      <c r="D162" s="27" t="s">
        <v>3090</v>
      </c>
      <c r="E162" s="27" t="s">
        <v>439</v>
      </c>
      <c r="F162" s="9" t="s">
        <v>1599</v>
      </c>
      <c r="G162" s="27" t="s">
        <v>1469</v>
      </c>
      <c r="H162" s="27" t="s">
        <v>1334</v>
      </c>
      <c r="I162" s="27" t="s">
        <v>3151</v>
      </c>
      <c r="J162" s="11" t="n">
        <v>0.41</v>
      </c>
      <c r="K162" s="30"/>
      <c r="L162" s="30"/>
      <c r="M162" s="30"/>
      <c r="N162" s="27" t="s">
        <v>3094</v>
      </c>
      <c r="O162" s="27" t="s">
        <v>86</v>
      </c>
      <c r="P162" s="27" t="s">
        <v>1580</v>
      </c>
      <c r="Q162" s="23" t="s">
        <v>1437</v>
      </c>
      <c r="R162" s="9" t="s">
        <v>3152</v>
      </c>
    </row>
    <row r="163" customFormat="false" ht="19.5" hidden="false" customHeight="true" outlineLevel="0" collapsed="false">
      <c r="A163" s="25" t="s">
        <v>3292</v>
      </c>
      <c r="B163" s="25" t="s">
        <v>3088</v>
      </c>
      <c r="C163" s="25" t="s">
        <v>3149</v>
      </c>
      <c r="D163" s="25" t="s">
        <v>3090</v>
      </c>
      <c r="E163" s="25" t="s">
        <v>426</v>
      </c>
      <c r="F163" s="12" t="s">
        <v>1601</v>
      </c>
      <c r="G163" s="25" t="s">
        <v>1469</v>
      </c>
      <c r="H163" s="25" t="s">
        <v>1334</v>
      </c>
      <c r="I163" s="25" t="s">
        <v>3151</v>
      </c>
      <c r="J163" s="14" t="n">
        <v>0.23</v>
      </c>
      <c r="K163" s="14" t="n">
        <v>-0.48</v>
      </c>
      <c r="L163" s="14" t="n">
        <v>0.34</v>
      </c>
      <c r="M163" s="14" t="n">
        <v>0.82</v>
      </c>
      <c r="N163" s="25" t="s">
        <v>3094</v>
      </c>
      <c r="O163" s="25" t="s">
        <v>86</v>
      </c>
      <c r="P163" s="25" t="s">
        <v>1580</v>
      </c>
      <c r="Q163" s="22" t="s">
        <v>1437</v>
      </c>
      <c r="R163" s="12" t="s">
        <v>3152</v>
      </c>
    </row>
    <row r="164" customFormat="false" ht="19.5" hidden="false" customHeight="true" outlineLevel="0" collapsed="false">
      <c r="A164" s="27" t="s">
        <v>3293</v>
      </c>
      <c r="B164" s="27" t="s">
        <v>3088</v>
      </c>
      <c r="C164" s="27" t="s">
        <v>3149</v>
      </c>
      <c r="D164" s="27" t="s">
        <v>3090</v>
      </c>
      <c r="E164" s="27" t="s">
        <v>385</v>
      </c>
      <c r="F164" s="9" t="s">
        <v>1603</v>
      </c>
      <c r="G164" s="27" t="s">
        <v>1469</v>
      </c>
      <c r="H164" s="27" t="s">
        <v>1334</v>
      </c>
      <c r="I164" s="27" t="s">
        <v>3151</v>
      </c>
      <c r="J164" s="11" t="n">
        <v>0.3</v>
      </c>
      <c r="K164" s="11" t="n">
        <v>-0.62</v>
      </c>
      <c r="L164" s="11" t="n">
        <v>0.38</v>
      </c>
      <c r="M164" s="11" t="n">
        <v>1</v>
      </c>
      <c r="N164" s="27" t="s">
        <v>3094</v>
      </c>
      <c r="O164" s="27" t="s">
        <v>86</v>
      </c>
      <c r="P164" s="27" t="s">
        <v>1580</v>
      </c>
      <c r="Q164" s="23" t="s">
        <v>1437</v>
      </c>
      <c r="R164" s="9" t="s">
        <v>3152</v>
      </c>
    </row>
    <row r="165" customFormat="false" ht="19.5" hidden="false" customHeight="true" outlineLevel="0" collapsed="false">
      <c r="A165" s="25" t="s">
        <v>3294</v>
      </c>
      <c r="B165" s="25" t="s">
        <v>3088</v>
      </c>
      <c r="C165" s="25" t="s">
        <v>3149</v>
      </c>
      <c r="D165" s="25" t="s">
        <v>3090</v>
      </c>
      <c r="E165" s="25" t="s">
        <v>392</v>
      </c>
      <c r="F165" s="12" t="s">
        <v>1605</v>
      </c>
      <c r="G165" s="25" t="s">
        <v>1469</v>
      </c>
      <c r="H165" s="25" t="s">
        <v>1334</v>
      </c>
      <c r="I165" s="25" t="s">
        <v>3151</v>
      </c>
      <c r="J165" s="14" t="n">
        <v>0.42</v>
      </c>
      <c r="K165" s="14" t="n">
        <v>0.38</v>
      </c>
      <c r="L165" s="14" t="n">
        <v>0.42</v>
      </c>
      <c r="M165" s="14" t="n">
        <v>0.04</v>
      </c>
      <c r="N165" s="25" t="s">
        <v>3094</v>
      </c>
      <c r="O165" s="25" t="s">
        <v>86</v>
      </c>
      <c r="P165" s="25" t="s">
        <v>1580</v>
      </c>
      <c r="Q165" s="22" t="s">
        <v>1437</v>
      </c>
      <c r="R165" s="12" t="s">
        <v>3152</v>
      </c>
    </row>
    <row r="166" customFormat="false" ht="19.5" hidden="false" customHeight="true" outlineLevel="0" collapsed="false">
      <c r="A166" s="27" t="s">
        <v>3295</v>
      </c>
      <c r="B166" s="27" t="s">
        <v>3088</v>
      </c>
      <c r="C166" s="27" t="s">
        <v>3149</v>
      </c>
      <c r="D166" s="27" t="s">
        <v>3090</v>
      </c>
      <c r="E166" s="27" t="s">
        <v>399</v>
      </c>
      <c r="F166" s="9" t="s">
        <v>1607</v>
      </c>
      <c r="G166" s="27" t="s">
        <v>1469</v>
      </c>
      <c r="H166" s="27" t="s">
        <v>1334</v>
      </c>
      <c r="I166" s="27" t="s">
        <v>3151</v>
      </c>
      <c r="J166" s="30"/>
      <c r="K166" s="11" t="n">
        <v>0.21</v>
      </c>
      <c r="L166" s="11" t="n">
        <v>0.47</v>
      </c>
      <c r="M166" s="11" t="n">
        <v>0.26</v>
      </c>
      <c r="N166" s="27" t="s">
        <v>3094</v>
      </c>
      <c r="O166" s="27" t="s">
        <v>86</v>
      </c>
      <c r="P166" s="27" t="s">
        <v>1580</v>
      </c>
      <c r="Q166" s="23" t="s">
        <v>1437</v>
      </c>
      <c r="R166" s="9" t="s">
        <v>3152</v>
      </c>
    </row>
    <row r="167" customFormat="false" ht="19.5" hidden="false" customHeight="true" outlineLevel="0" collapsed="false">
      <c r="A167" s="25" t="s">
        <v>3296</v>
      </c>
      <c r="B167" s="25" t="s">
        <v>3088</v>
      </c>
      <c r="C167" s="25" t="s">
        <v>3149</v>
      </c>
      <c r="D167" s="25" t="s">
        <v>3090</v>
      </c>
      <c r="E167" s="25" t="s">
        <v>433</v>
      </c>
      <c r="F167" s="12" t="s">
        <v>1609</v>
      </c>
      <c r="G167" s="25" t="s">
        <v>1469</v>
      </c>
      <c r="H167" s="25" t="s">
        <v>1334</v>
      </c>
      <c r="I167" s="25" t="s">
        <v>3151</v>
      </c>
      <c r="J167" s="14" t="n">
        <v>0.38</v>
      </c>
      <c r="K167" s="29"/>
      <c r="L167" s="29"/>
      <c r="M167" s="29"/>
      <c r="N167" s="25" t="s">
        <v>3094</v>
      </c>
      <c r="O167" s="25" t="s">
        <v>86</v>
      </c>
      <c r="P167" s="25" t="s">
        <v>1580</v>
      </c>
      <c r="Q167" s="22" t="s">
        <v>1437</v>
      </c>
      <c r="R167" s="12" t="s">
        <v>3152</v>
      </c>
    </row>
    <row r="168" customFormat="false" ht="19.5" hidden="false" customHeight="true" outlineLevel="0" collapsed="false">
      <c r="A168" s="27" t="s">
        <v>3297</v>
      </c>
      <c r="B168" s="27" t="s">
        <v>3088</v>
      </c>
      <c r="C168" s="27" t="s">
        <v>3149</v>
      </c>
      <c r="D168" s="27" t="s">
        <v>3090</v>
      </c>
      <c r="E168" s="27" t="s">
        <v>405</v>
      </c>
      <c r="F168" s="9" t="s">
        <v>1611</v>
      </c>
      <c r="G168" s="27" t="s">
        <v>1469</v>
      </c>
      <c r="H168" s="27" t="s">
        <v>1334</v>
      </c>
      <c r="I168" s="27" t="s">
        <v>3151</v>
      </c>
      <c r="J168" s="11" t="n">
        <v>0.19</v>
      </c>
      <c r="K168" s="11" t="n">
        <v>-0.7</v>
      </c>
      <c r="L168" s="11" t="n">
        <v>0.48</v>
      </c>
      <c r="M168" s="11" t="n">
        <v>1.18</v>
      </c>
      <c r="N168" s="27" t="s">
        <v>3094</v>
      </c>
      <c r="O168" s="27" t="s">
        <v>86</v>
      </c>
      <c r="P168" s="27" t="s">
        <v>1580</v>
      </c>
      <c r="Q168" s="23" t="s">
        <v>1437</v>
      </c>
      <c r="R168" s="9" t="s">
        <v>3152</v>
      </c>
    </row>
    <row r="169" customFormat="false" ht="19.5" hidden="false" customHeight="true" outlineLevel="0" collapsed="false">
      <c r="A169" s="25" t="s">
        <v>3298</v>
      </c>
      <c r="B169" s="25" t="s">
        <v>3088</v>
      </c>
      <c r="C169" s="25" t="s">
        <v>3149</v>
      </c>
      <c r="D169" s="25" t="s">
        <v>3090</v>
      </c>
      <c r="E169" s="25" t="s">
        <v>411</v>
      </c>
      <c r="F169" s="12" t="s">
        <v>1613</v>
      </c>
      <c r="G169" s="25" t="s">
        <v>1469</v>
      </c>
      <c r="H169" s="25" t="s">
        <v>1334</v>
      </c>
      <c r="I169" s="25" t="s">
        <v>3151</v>
      </c>
      <c r="J169" s="14" t="n">
        <v>0.2</v>
      </c>
      <c r="K169" s="14" t="n">
        <v>-0.8</v>
      </c>
      <c r="L169" s="14" t="n">
        <v>0.53</v>
      </c>
      <c r="M169" s="14" t="n">
        <v>1.33</v>
      </c>
      <c r="N169" s="25" t="s">
        <v>3094</v>
      </c>
      <c r="O169" s="25" t="s">
        <v>86</v>
      </c>
      <c r="P169" s="25" t="s">
        <v>1580</v>
      </c>
      <c r="Q169" s="22" t="s">
        <v>1437</v>
      </c>
      <c r="R169" s="12" t="s">
        <v>3152</v>
      </c>
    </row>
    <row r="170" customFormat="false" ht="19.5" hidden="false" customHeight="true" outlineLevel="0" collapsed="false">
      <c r="A170" s="27" t="s">
        <v>3299</v>
      </c>
      <c r="B170" s="27" t="s">
        <v>3088</v>
      </c>
      <c r="C170" s="27" t="s">
        <v>3149</v>
      </c>
      <c r="D170" s="27" t="s">
        <v>3090</v>
      </c>
      <c r="E170" s="27" t="s">
        <v>416</v>
      </c>
      <c r="F170" s="9" t="s">
        <v>1615</v>
      </c>
      <c r="G170" s="27" t="s">
        <v>1469</v>
      </c>
      <c r="H170" s="27" t="s">
        <v>1334</v>
      </c>
      <c r="I170" s="27" t="s">
        <v>3151</v>
      </c>
      <c r="J170" s="11" t="n">
        <v>0.25</v>
      </c>
      <c r="K170" s="11" t="n">
        <v>-0.25</v>
      </c>
      <c r="L170" s="11" t="n">
        <v>0.49</v>
      </c>
      <c r="M170" s="11" t="n">
        <v>0.74</v>
      </c>
      <c r="N170" s="27" t="s">
        <v>3094</v>
      </c>
      <c r="O170" s="27" t="s">
        <v>86</v>
      </c>
      <c r="P170" s="27" t="s">
        <v>1580</v>
      </c>
      <c r="Q170" s="23" t="s">
        <v>1437</v>
      </c>
      <c r="R170" s="9" t="s">
        <v>3152</v>
      </c>
    </row>
    <row r="171" customFormat="false" ht="19.5" hidden="false" customHeight="true" outlineLevel="0" collapsed="false">
      <c r="A171" s="25" t="s">
        <v>3300</v>
      </c>
      <c r="B171" s="25" t="s">
        <v>3088</v>
      </c>
      <c r="C171" s="25" t="s">
        <v>3149</v>
      </c>
      <c r="D171" s="25" t="s">
        <v>3090</v>
      </c>
      <c r="E171" s="25" t="s">
        <v>377</v>
      </c>
      <c r="F171" s="12" t="s">
        <v>1617</v>
      </c>
      <c r="G171" s="25" t="s">
        <v>1469</v>
      </c>
      <c r="H171" s="25" t="s">
        <v>1334</v>
      </c>
      <c r="I171" s="25" t="s">
        <v>3151</v>
      </c>
      <c r="J171" s="14" t="n">
        <v>0.55</v>
      </c>
      <c r="K171" s="14" t="n">
        <v>0.51</v>
      </c>
      <c r="L171" s="14" t="n">
        <v>0.55</v>
      </c>
      <c r="M171" s="14" t="n">
        <v>0.04</v>
      </c>
      <c r="N171" s="25" t="s">
        <v>3094</v>
      </c>
      <c r="O171" s="25" t="s">
        <v>86</v>
      </c>
      <c r="P171" s="25" t="s">
        <v>1580</v>
      </c>
      <c r="Q171" s="22" t="s">
        <v>1437</v>
      </c>
      <c r="R171" s="12" t="s">
        <v>3152</v>
      </c>
    </row>
    <row r="172" customFormat="false" ht="19.5" hidden="false" customHeight="true" outlineLevel="0" collapsed="false">
      <c r="A172" s="27" t="s">
        <v>3301</v>
      </c>
      <c r="B172" s="27" t="s">
        <v>3088</v>
      </c>
      <c r="C172" s="27" t="s">
        <v>3149</v>
      </c>
      <c r="D172" s="27" t="s">
        <v>3090</v>
      </c>
      <c r="E172" s="27" t="s">
        <v>420</v>
      </c>
      <c r="F172" s="9" t="s">
        <v>1619</v>
      </c>
      <c r="G172" s="27" t="s">
        <v>1469</v>
      </c>
      <c r="H172" s="27" t="s">
        <v>1334</v>
      </c>
      <c r="I172" s="27" t="s">
        <v>3151</v>
      </c>
      <c r="J172" s="11" t="n">
        <v>0.26</v>
      </c>
      <c r="K172" s="11" t="n">
        <v>-0.55</v>
      </c>
      <c r="L172" s="11" t="n">
        <v>0.34</v>
      </c>
      <c r="M172" s="11" t="n">
        <v>0.89</v>
      </c>
      <c r="N172" s="27" t="s">
        <v>3094</v>
      </c>
      <c r="O172" s="27" t="s">
        <v>86</v>
      </c>
      <c r="P172" s="27" t="s">
        <v>1580</v>
      </c>
      <c r="Q172" s="23" t="s">
        <v>1437</v>
      </c>
      <c r="R172" s="9" t="s">
        <v>3152</v>
      </c>
    </row>
    <row r="173" customFormat="false" ht="19.5" hidden="false" customHeight="true" outlineLevel="0" collapsed="false">
      <c r="A173" s="25" t="s">
        <v>3302</v>
      </c>
      <c r="B173" s="25" t="s">
        <v>3088</v>
      </c>
      <c r="C173" s="25" t="s">
        <v>3149</v>
      </c>
      <c r="D173" s="25" t="s">
        <v>3090</v>
      </c>
      <c r="E173" s="25" t="s">
        <v>250</v>
      </c>
      <c r="F173" s="12" t="s">
        <v>1621</v>
      </c>
      <c r="G173" s="25" t="s">
        <v>1469</v>
      </c>
      <c r="H173" s="25" t="s">
        <v>1334</v>
      </c>
      <c r="I173" s="25" t="s">
        <v>3151</v>
      </c>
      <c r="J173" s="14" t="n">
        <v>0.38</v>
      </c>
      <c r="K173" s="29"/>
      <c r="L173" s="29"/>
      <c r="M173" s="29"/>
      <c r="N173" s="25" t="s">
        <v>3094</v>
      </c>
      <c r="O173" s="25" t="s">
        <v>86</v>
      </c>
      <c r="P173" s="25" t="s">
        <v>1580</v>
      </c>
      <c r="Q173" s="22" t="s">
        <v>1437</v>
      </c>
      <c r="R173" s="12" t="s">
        <v>3152</v>
      </c>
    </row>
    <row r="174" customFormat="false" ht="19.5" hidden="false" customHeight="true" outlineLevel="0" collapsed="false">
      <c r="A174" s="27" t="s">
        <v>3303</v>
      </c>
      <c r="B174" s="27" t="s">
        <v>3088</v>
      </c>
      <c r="C174" s="27" t="s">
        <v>3149</v>
      </c>
      <c r="D174" s="27" t="s">
        <v>3090</v>
      </c>
      <c r="E174" s="27" t="s">
        <v>312</v>
      </c>
      <c r="F174" s="9" t="s">
        <v>3213</v>
      </c>
      <c r="G174" s="27" t="s">
        <v>1469</v>
      </c>
      <c r="H174" s="27" t="s">
        <v>1334</v>
      </c>
      <c r="I174" s="27" t="s">
        <v>3151</v>
      </c>
      <c r="J174" s="11" t="n">
        <v>0.59</v>
      </c>
      <c r="K174" s="11" t="n">
        <v>-0.86</v>
      </c>
      <c r="L174" s="11" t="n">
        <v>1.35</v>
      </c>
      <c r="M174" s="11" t="n">
        <v>2.21</v>
      </c>
      <c r="N174" s="27" t="s">
        <v>3094</v>
      </c>
      <c r="O174" s="27" t="s">
        <v>86</v>
      </c>
      <c r="P174" s="27" t="s">
        <v>1580</v>
      </c>
      <c r="Q174" s="23" t="s">
        <v>1437</v>
      </c>
      <c r="R174" s="9" t="s">
        <v>3214</v>
      </c>
    </row>
    <row r="175" customFormat="false" ht="19.5" hidden="false" customHeight="true" outlineLevel="0" collapsed="false">
      <c r="A175" s="25" t="s">
        <v>3304</v>
      </c>
      <c r="B175" s="25" t="s">
        <v>3088</v>
      </c>
      <c r="C175" s="25" t="s">
        <v>3149</v>
      </c>
      <c r="D175" s="25" t="s">
        <v>3090</v>
      </c>
      <c r="E175" s="25" t="s">
        <v>226</v>
      </c>
      <c r="F175" s="12" t="s">
        <v>1623</v>
      </c>
      <c r="G175" s="25" t="s">
        <v>1469</v>
      </c>
      <c r="H175" s="25" t="s">
        <v>1334</v>
      </c>
      <c r="I175" s="25" t="s">
        <v>3151</v>
      </c>
      <c r="J175" s="29"/>
      <c r="K175" s="14" t="n">
        <v>0.3</v>
      </c>
      <c r="L175" s="14" t="n">
        <v>0.42</v>
      </c>
      <c r="M175" s="14" t="n">
        <v>0.12</v>
      </c>
      <c r="N175" s="25" t="s">
        <v>3094</v>
      </c>
      <c r="O175" s="25" t="s">
        <v>86</v>
      </c>
      <c r="P175" s="25" t="s">
        <v>1580</v>
      </c>
      <c r="Q175" s="22" t="s">
        <v>1437</v>
      </c>
      <c r="R175" s="12" t="s">
        <v>3152</v>
      </c>
    </row>
    <row r="176" customFormat="false" ht="19.5" hidden="false" customHeight="true" outlineLevel="0" collapsed="false">
      <c r="A176" s="27" t="s">
        <v>3305</v>
      </c>
      <c r="B176" s="27" t="s">
        <v>3088</v>
      </c>
      <c r="C176" s="27" t="s">
        <v>3149</v>
      </c>
      <c r="D176" s="27" t="s">
        <v>3090</v>
      </c>
      <c r="E176" s="27" t="s">
        <v>319</v>
      </c>
      <c r="F176" s="9" t="s">
        <v>3217</v>
      </c>
      <c r="G176" s="27" t="s">
        <v>1469</v>
      </c>
      <c r="H176" s="27" t="s">
        <v>1334</v>
      </c>
      <c r="I176" s="27" t="s">
        <v>3151</v>
      </c>
      <c r="J176" s="11" t="n">
        <v>0.61</v>
      </c>
      <c r="K176" s="11" t="n">
        <v>-0.14</v>
      </c>
      <c r="L176" s="11" t="n">
        <v>1.32</v>
      </c>
      <c r="M176" s="11" t="n">
        <v>1.46</v>
      </c>
      <c r="N176" s="27" t="s">
        <v>3094</v>
      </c>
      <c r="O176" s="27" t="s">
        <v>86</v>
      </c>
      <c r="P176" s="27" t="s">
        <v>1580</v>
      </c>
      <c r="Q176" s="23" t="s">
        <v>1437</v>
      </c>
      <c r="R176" s="9" t="s">
        <v>3214</v>
      </c>
    </row>
    <row r="177" customFormat="false" ht="19.5" hidden="false" customHeight="true" outlineLevel="0" collapsed="false">
      <c r="A177" s="25" t="s">
        <v>3306</v>
      </c>
      <c r="B177" s="25" t="s">
        <v>3088</v>
      </c>
      <c r="C177" s="25" t="s">
        <v>3149</v>
      </c>
      <c r="D177" s="25" t="s">
        <v>3090</v>
      </c>
      <c r="E177" s="25" t="s">
        <v>292</v>
      </c>
      <c r="F177" s="12" t="s">
        <v>3219</v>
      </c>
      <c r="G177" s="25" t="s">
        <v>1469</v>
      </c>
      <c r="H177" s="25" t="s">
        <v>1334</v>
      </c>
      <c r="I177" s="25" t="s">
        <v>3151</v>
      </c>
      <c r="J177" s="14" t="n">
        <v>0.81</v>
      </c>
      <c r="K177" s="14" t="n">
        <v>-0.86</v>
      </c>
      <c r="L177" s="14" t="n">
        <v>1.37</v>
      </c>
      <c r="M177" s="14" t="n">
        <v>2.23</v>
      </c>
      <c r="N177" s="25" t="s">
        <v>3094</v>
      </c>
      <c r="O177" s="25" t="s">
        <v>86</v>
      </c>
      <c r="P177" s="25" t="s">
        <v>1580</v>
      </c>
      <c r="Q177" s="22" t="s">
        <v>1437</v>
      </c>
      <c r="R177" s="12" t="s">
        <v>3214</v>
      </c>
    </row>
    <row r="178" customFormat="false" ht="19.5" hidden="false" customHeight="true" outlineLevel="0" collapsed="false">
      <c r="A178" s="27" t="s">
        <v>3307</v>
      </c>
      <c r="B178" s="27" t="s">
        <v>3088</v>
      </c>
      <c r="C178" s="27" t="s">
        <v>3149</v>
      </c>
      <c r="D178" s="27" t="s">
        <v>3090</v>
      </c>
      <c r="E178" s="27" t="s">
        <v>215</v>
      </c>
      <c r="F178" s="9" t="s">
        <v>1625</v>
      </c>
      <c r="G178" s="27" t="s">
        <v>1469</v>
      </c>
      <c r="H178" s="27" t="s">
        <v>1334</v>
      </c>
      <c r="I178" s="27" t="s">
        <v>3151</v>
      </c>
      <c r="J178" s="11" t="n">
        <v>0.42</v>
      </c>
      <c r="K178" s="30"/>
      <c r="L178" s="30"/>
      <c r="M178" s="30"/>
      <c r="N178" s="27" t="s">
        <v>3094</v>
      </c>
      <c r="O178" s="27" t="s">
        <v>86</v>
      </c>
      <c r="P178" s="27" t="s">
        <v>1580</v>
      </c>
      <c r="Q178" s="23" t="s">
        <v>1437</v>
      </c>
      <c r="R178" s="9" t="s">
        <v>3152</v>
      </c>
    </row>
    <row r="179" customFormat="false" ht="19.5" hidden="false" customHeight="true" outlineLevel="0" collapsed="false">
      <c r="A179" s="25" t="s">
        <v>3308</v>
      </c>
      <c r="B179" s="25" t="s">
        <v>3088</v>
      </c>
      <c r="C179" s="25" t="s">
        <v>3149</v>
      </c>
      <c r="D179" s="25" t="s">
        <v>3090</v>
      </c>
      <c r="E179" s="25" t="s">
        <v>257</v>
      </c>
      <c r="F179" s="12" t="s">
        <v>1627</v>
      </c>
      <c r="G179" s="25" t="s">
        <v>1469</v>
      </c>
      <c r="H179" s="25" t="s">
        <v>1334</v>
      </c>
      <c r="I179" s="25" t="s">
        <v>3151</v>
      </c>
      <c r="J179" s="14" t="n">
        <v>0.73</v>
      </c>
      <c r="K179" s="14" t="n">
        <v>0.58</v>
      </c>
      <c r="L179" s="14" t="n">
        <v>1.39</v>
      </c>
      <c r="M179" s="14" t="n">
        <v>0.81</v>
      </c>
      <c r="N179" s="25" t="s">
        <v>3094</v>
      </c>
      <c r="O179" s="25" t="s">
        <v>86</v>
      </c>
      <c r="P179" s="25" t="s">
        <v>1580</v>
      </c>
      <c r="Q179" s="22" t="s">
        <v>1437</v>
      </c>
      <c r="R179" s="12" t="s">
        <v>3152</v>
      </c>
    </row>
    <row r="180" customFormat="false" ht="19.5" hidden="false" customHeight="true" outlineLevel="0" collapsed="false">
      <c r="A180" s="27" t="s">
        <v>3309</v>
      </c>
      <c r="B180" s="27" t="s">
        <v>3088</v>
      </c>
      <c r="C180" s="27" t="s">
        <v>3149</v>
      </c>
      <c r="D180" s="27" t="s">
        <v>3090</v>
      </c>
      <c r="E180" s="27" t="s">
        <v>334</v>
      </c>
      <c r="F180" s="9" t="s">
        <v>3186</v>
      </c>
      <c r="G180" s="27" t="s">
        <v>1490</v>
      </c>
      <c r="H180" s="27" t="s">
        <v>1334</v>
      </c>
      <c r="I180" s="27" t="s">
        <v>3151</v>
      </c>
      <c r="J180" s="11" t="n">
        <v>0.27</v>
      </c>
      <c r="K180" s="11" t="n">
        <v>0.1</v>
      </c>
      <c r="L180" s="11" t="n">
        <v>0.3</v>
      </c>
      <c r="M180" s="11" t="n">
        <v>0.2</v>
      </c>
      <c r="N180" s="27" t="s">
        <v>3094</v>
      </c>
      <c r="O180" s="27" t="s">
        <v>86</v>
      </c>
      <c r="P180" s="27" t="s">
        <v>1580</v>
      </c>
      <c r="Q180" s="23" t="s">
        <v>1476</v>
      </c>
      <c r="R180" s="9" t="s">
        <v>3187</v>
      </c>
    </row>
    <row r="181" customFormat="false" ht="19.5" hidden="false" customHeight="true" outlineLevel="0" collapsed="false">
      <c r="A181" s="25" t="s">
        <v>3310</v>
      </c>
      <c r="B181" s="25" t="s">
        <v>3088</v>
      </c>
      <c r="C181" s="25" t="s">
        <v>3149</v>
      </c>
      <c r="D181" s="25" t="s">
        <v>3090</v>
      </c>
      <c r="E181" s="25" t="s">
        <v>328</v>
      </c>
      <c r="F181" s="12" t="s">
        <v>3189</v>
      </c>
      <c r="G181" s="25" t="s">
        <v>1490</v>
      </c>
      <c r="H181" s="25" t="s">
        <v>1334</v>
      </c>
      <c r="I181" s="25" t="s">
        <v>3151</v>
      </c>
      <c r="J181" s="14" t="n">
        <v>0.56</v>
      </c>
      <c r="K181" s="14" t="n">
        <v>-0.22</v>
      </c>
      <c r="L181" s="14" t="n">
        <v>0.7</v>
      </c>
      <c r="M181" s="14" t="n">
        <v>0.92</v>
      </c>
      <c r="N181" s="25" t="s">
        <v>3094</v>
      </c>
      <c r="O181" s="25" t="s">
        <v>86</v>
      </c>
      <c r="P181" s="25" t="s">
        <v>1580</v>
      </c>
      <c r="Q181" s="22" t="s">
        <v>1476</v>
      </c>
      <c r="R181" s="12" t="s">
        <v>3190</v>
      </c>
    </row>
    <row r="182" customFormat="false" ht="19.5" hidden="false" customHeight="true" outlineLevel="0" collapsed="false">
      <c r="A182" s="27" t="s">
        <v>3311</v>
      </c>
      <c r="B182" s="27" t="s">
        <v>3088</v>
      </c>
      <c r="C182" s="27" t="s">
        <v>3149</v>
      </c>
      <c r="D182" s="27" t="s">
        <v>3090</v>
      </c>
      <c r="E182" s="27" t="s">
        <v>466</v>
      </c>
      <c r="F182" s="9" t="s">
        <v>1578</v>
      </c>
      <c r="G182" s="27" t="s">
        <v>1490</v>
      </c>
      <c r="H182" s="27" t="s">
        <v>1334</v>
      </c>
      <c r="I182" s="27" t="s">
        <v>3151</v>
      </c>
      <c r="J182" s="30"/>
      <c r="K182" s="11" t="n">
        <v>-0.42</v>
      </c>
      <c r="L182" s="11" t="n">
        <v>1.19</v>
      </c>
      <c r="M182" s="11" t="n">
        <v>1.61</v>
      </c>
      <c r="N182" s="27" t="s">
        <v>3094</v>
      </c>
      <c r="O182" s="27" t="s">
        <v>86</v>
      </c>
      <c r="P182" s="27" t="s">
        <v>1580</v>
      </c>
      <c r="Q182" s="23" t="s">
        <v>1476</v>
      </c>
      <c r="R182" s="9" t="s">
        <v>3155</v>
      </c>
    </row>
    <row r="183" customFormat="false" ht="19.5" hidden="false" customHeight="true" outlineLevel="0" collapsed="false">
      <c r="A183" s="25" t="s">
        <v>3312</v>
      </c>
      <c r="B183" s="25" t="s">
        <v>3088</v>
      </c>
      <c r="C183" s="25" t="s">
        <v>3149</v>
      </c>
      <c r="D183" s="25" t="s">
        <v>3090</v>
      </c>
      <c r="E183" s="25" t="s">
        <v>492</v>
      </c>
      <c r="F183" s="12" t="s">
        <v>1583</v>
      </c>
      <c r="G183" s="25" t="s">
        <v>1490</v>
      </c>
      <c r="H183" s="25" t="s">
        <v>1334</v>
      </c>
      <c r="I183" s="25" t="s">
        <v>3151</v>
      </c>
      <c r="J183" s="14" t="n">
        <v>0.55</v>
      </c>
      <c r="K183" s="14" t="n">
        <v>0.5</v>
      </c>
      <c r="L183" s="14" t="n">
        <v>0.55</v>
      </c>
      <c r="M183" s="14" t="n">
        <v>0.05</v>
      </c>
      <c r="N183" s="25" t="s">
        <v>3094</v>
      </c>
      <c r="O183" s="25" t="s">
        <v>86</v>
      </c>
      <c r="P183" s="25" t="s">
        <v>1580</v>
      </c>
      <c r="Q183" s="22" t="s">
        <v>1476</v>
      </c>
      <c r="R183" s="12" t="s">
        <v>3155</v>
      </c>
    </row>
    <row r="184" customFormat="false" ht="19.5" hidden="false" customHeight="true" outlineLevel="0" collapsed="false">
      <c r="A184" s="27" t="s">
        <v>3313</v>
      </c>
      <c r="B184" s="27" t="s">
        <v>3088</v>
      </c>
      <c r="C184" s="27" t="s">
        <v>3149</v>
      </c>
      <c r="D184" s="27" t="s">
        <v>3090</v>
      </c>
      <c r="E184" s="27" t="s">
        <v>473</v>
      </c>
      <c r="F184" s="9" t="s">
        <v>1585</v>
      </c>
      <c r="G184" s="27" t="s">
        <v>1490</v>
      </c>
      <c r="H184" s="27" t="s">
        <v>1334</v>
      </c>
      <c r="I184" s="27" t="s">
        <v>3151</v>
      </c>
      <c r="J184" s="11" t="n">
        <v>0.3</v>
      </c>
      <c r="K184" s="11" t="n">
        <v>0.3</v>
      </c>
      <c r="L184" s="11" t="n">
        <v>0.4</v>
      </c>
      <c r="M184" s="11" t="n">
        <v>0.1</v>
      </c>
      <c r="N184" s="27" t="s">
        <v>3094</v>
      </c>
      <c r="O184" s="27" t="s">
        <v>86</v>
      </c>
      <c r="P184" s="27" t="s">
        <v>1580</v>
      </c>
      <c r="Q184" s="23" t="s">
        <v>1476</v>
      </c>
      <c r="R184" s="9" t="s">
        <v>3155</v>
      </c>
    </row>
    <row r="185" customFormat="false" ht="19.5" hidden="false" customHeight="true" outlineLevel="0" collapsed="false">
      <c r="A185" s="25" t="s">
        <v>3314</v>
      </c>
      <c r="B185" s="25" t="s">
        <v>3088</v>
      </c>
      <c r="C185" s="25" t="s">
        <v>3149</v>
      </c>
      <c r="D185" s="25" t="s">
        <v>3090</v>
      </c>
      <c r="E185" s="25" t="s">
        <v>459</v>
      </c>
      <c r="F185" s="12" t="s">
        <v>1587</v>
      </c>
      <c r="G185" s="25" t="s">
        <v>1490</v>
      </c>
      <c r="H185" s="25" t="s">
        <v>1334</v>
      </c>
      <c r="I185" s="25" t="s">
        <v>3151</v>
      </c>
      <c r="J185" s="29"/>
      <c r="K185" s="14" t="n">
        <v>-0.54</v>
      </c>
      <c r="L185" s="14" t="n">
        <v>0.71</v>
      </c>
      <c r="M185" s="14" t="n">
        <v>1.25</v>
      </c>
      <c r="N185" s="25" t="s">
        <v>3094</v>
      </c>
      <c r="O185" s="25" t="s">
        <v>86</v>
      </c>
      <c r="P185" s="25" t="s">
        <v>1580</v>
      </c>
      <c r="Q185" s="22" t="s">
        <v>1476</v>
      </c>
      <c r="R185" s="12" t="s">
        <v>3155</v>
      </c>
    </row>
    <row r="186" customFormat="false" ht="19.5" hidden="false" customHeight="true" outlineLevel="0" collapsed="false">
      <c r="A186" s="27" t="s">
        <v>3315</v>
      </c>
      <c r="B186" s="27" t="s">
        <v>3088</v>
      </c>
      <c r="C186" s="27" t="s">
        <v>3149</v>
      </c>
      <c r="D186" s="27" t="s">
        <v>3090</v>
      </c>
      <c r="E186" s="27" t="s">
        <v>486</v>
      </c>
      <c r="F186" s="9" t="s">
        <v>1589</v>
      </c>
      <c r="G186" s="27" t="s">
        <v>1490</v>
      </c>
      <c r="H186" s="27" t="s">
        <v>1334</v>
      </c>
      <c r="I186" s="27" t="s">
        <v>3151</v>
      </c>
      <c r="J186" s="11" t="n">
        <v>0.66</v>
      </c>
      <c r="K186" s="11" t="n">
        <v>-0.06</v>
      </c>
      <c r="L186" s="11" t="n">
        <v>0.66</v>
      </c>
      <c r="M186" s="11" t="n">
        <v>0.72</v>
      </c>
      <c r="N186" s="27" t="s">
        <v>3094</v>
      </c>
      <c r="O186" s="27" t="s">
        <v>86</v>
      </c>
      <c r="P186" s="27" t="s">
        <v>1580</v>
      </c>
      <c r="Q186" s="23" t="s">
        <v>1476</v>
      </c>
      <c r="R186" s="9" t="s">
        <v>3155</v>
      </c>
    </row>
    <row r="187" customFormat="false" ht="19.5" hidden="false" customHeight="true" outlineLevel="0" collapsed="false">
      <c r="A187" s="25" t="s">
        <v>3316</v>
      </c>
      <c r="B187" s="25" t="s">
        <v>3088</v>
      </c>
      <c r="C187" s="25" t="s">
        <v>3149</v>
      </c>
      <c r="D187" s="25" t="s">
        <v>3090</v>
      </c>
      <c r="E187" s="25" t="s">
        <v>479</v>
      </c>
      <c r="F187" s="12" t="s">
        <v>1591</v>
      </c>
      <c r="G187" s="25" t="s">
        <v>1490</v>
      </c>
      <c r="H187" s="25" t="s">
        <v>1334</v>
      </c>
      <c r="I187" s="25" t="s">
        <v>3151</v>
      </c>
      <c r="J187" s="14" t="n">
        <v>0.31</v>
      </c>
      <c r="K187" s="14" t="n">
        <v>-0.87</v>
      </c>
      <c r="L187" s="14" t="n">
        <v>0.44</v>
      </c>
      <c r="M187" s="14" t="n">
        <v>1.31</v>
      </c>
      <c r="N187" s="25" t="s">
        <v>3094</v>
      </c>
      <c r="O187" s="25" t="s">
        <v>86</v>
      </c>
      <c r="P187" s="25" t="s">
        <v>1580</v>
      </c>
      <c r="Q187" s="22" t="s">
        <v>1476</v>
      </c>
      <c r="R187" s="12" t="s">
        <v>3155</v>
      </c>
    </row>
    <row r="188" customFormat="false" ht="19.5" hidden="false" customHeight="true" outlineLevel="0" collapsed="false">
      <c r="A188" s="27" t="s">
        <v>3317</v>
      </c>
      <c r="B188" s="27" t="s">
        <v>3088</v>
      </c>
      <c r="C188" s="27" t="s">
        <v>3149</v>
      </c>
      <c r="D188" s="27" t="s">
        <v>3090</v>
      </c>
      <c r="E188" s="27" t="s">
        <v>233</v>
      </c>
      <c r="F188" s="9" t="s">
        <v>1593</v>
      </c>
      <c r="G188" s="27" t="s">
        <v>1490</v>
      </c>
      <c r="H188" s="27" t="s">
        <v>1334</v>
      </c>
      <c r="I188" s="27" t="s">
        <v>3151</v>
      </c>
      <c r="J188" s="11" t="n">
        <v>0.4</v>
      </c>
      <c r="K188" s="11" t="n">
        <v>0.04</v>
      </c>
      <c r="L188" s="11" t="n">
        <v>0.4</v>
      </c>
      <c r="M188" s="11" t="n">
        <v>0.36</v>
      </c>
      <c r="N188" s="27" t="s">
        <v>3094</v>
      </c>
      <c r="O188" s="27" t="s">
        <v>86</v>
      </c>
      <c r="P188" s="27" t="s">
        <v>1580</v>
      </c>
      <c r="Q188" s="23" t="s">
        <v>1476</v>
      </c>
      <c r="R188" s="9" t="s">
        <v>3162</v>
      </c>
    </row>
    <row r="189" customFormat="false" ht="19.5" hidden="false" customHeight="true" outlineLevel="0" collapsed="false">
      <c r="A189" s="25" t="s">
        <v>3318</v>
      </c>
      <c r="B189" s="25" t="s">
        <v>3088</v>
      </c>
      <c r="C189" s="25" t="s">
        <v>3149</v>
      </c>
      <c r="D189" s="25" t="s">
        <v>3090</v>
      </c>
      <c r="E189" s="25" t="s">
        <v>448</v>
      </c>
      <c r="F189" s="12" t="s">
        <v>1595</v>
      </c>
      <c r="G189" s="25" t="s">
        <v>1490</v>
      </c>
      <c r="H189" s="25" t="s">
        <v>1334</v>
      </c>
      <c r="I189" s="25" t="s">
        <v>3151</v>
      </c>
      <c r="J189" s="14" t="n">
        <v>0.25</v>
      </c>
      <c r="K189" s="29"/>
      <c r="L189" s="29"/>
      <c r="M189" s="29"/>
      <c r="N189" s="25" t="s">
        <v>3094</v>
      </c>
      <c r="O189" s="25" t="s">
        <v>86</v>
      </c>
      <c r="P189" s="25" t="s">
        <v>1580</v>
      </c>
      <c r="Q189" s="22" t="s">
        <v>1476</v>
      </c>
      <c r="R189" s="12" t="s">
        <v>3152</v>
      </c>
    </row>
    <row r="190" customFormat="false" ht="19.5" hidden="false" customHeight="true" outlineLevel="0" collapsed="false">
      <c r="A190" s="27" t="s">
        <v>3319</v>
      </c>
      <c r="B190" s="27" t="s">
        <v>3088</v>
      </c>
      <c r="C190" s="27" t="s">
        <v>3149</v>
      </c>
      <c r="D190" s="27" t="s">
        <v>3090</v>
      </c>
      <c r="E190" s="27" t="s">
        <v>455</v>
      </c>
      <c r="F190" s="9" t="s">
        <v>1597</v>
      </c>
      <c r="G190" s="27" t="s">
        <v>1490</v>
      </c>
      <c r="H190" s="27" t="s">
        <v>1334</v>
      </c>
      <c r="I190" s="27" t="s">
        <v>3151</v>
      </c>
      <c r="J190" s="11" t="n">
        <v>0.4</v>
      </c>
      <c r="K190" s="30"/>
      <c r="L190" s="30"/>
      <c r="M190" s="30"/>
      <c r="N190" s="27" t="s">
        <v>3094</v>
      </c>
      <c r="O190" s="27" t="s">
        <v>86</v>
      </c>
      <c r="P190" s="27" t="s">
        <v>1580</v>
      </c>
      <c r="Q190" s="23" t="s">
        <v>1476</v>
      </c>
      <c r="R190" s="9" t="s">
        <v>3152</v>
      </c>
    </row>
    <row r="191" customFormat="false" ht="19.5" hidden="false" customHeight="true" outlineLevel="0" collapsed="false">
      <c r="A191" s="25" t="s">
        <v>3320</v>
      </c>
      <c r="B191" s="25" t="s">
        <v>3088</v>
      </c>
      <c r="C191" s="25" t="s">
        <v>3149</v>
      </c>
      <c r="D191" s="25" t="s">
        <v>3090</v>
      </c>
      <c r="E191" s="25" t="s">
        <v>439</v>
      </c>
      <c r="F191" s="12" t="s">
        <v>1599</v>
      </c>
      <c r="G191" s="25" t="s">
        <v>1490</v>
      </c>
      <c r="H191" s="25" t="s">
        <v>1334</v>
      </c>
      <c r="I191" s="25" t="s">
        <v>3151</v>
      </c>
      <c r="J191" s="14" t="n">
        <v>0.36</v>
      </c>
      <c r="K191" s="29"/>
      <c r="L191" s="29"/>
      <c r="M191" s="29"/>
      <c r="N191" s="25" t="s">
        <v>3094</v>
      </c>
      <c r="O191" s="25" t="s">
        <v>86</v>
      </c>
      <c r="P191" s="25" t="s">
        <v>1580</v>
      </c>
      <c r="Q191" s="22" t="s">
        <v>1476</v>
      </c>
      <c r="R191" s="12" t="s">
        <v>3152</v>
      </c>
    </row>
    <row r="192" customFormat="false" ht="19.5" hidden="false" customHeight="true" outlineLevel="0" collapsed="false">
      <c r="A192" s="27" t="s">
        <v>3321</v>
      </c>
      <c r="B192" s="27" t="s">
        <v>3088</v>
      </c>
      <c r="C192" s="27" t="s">
        <v>3149</v>
      </c>
      <c r="D192" s="27" t="s">
        <v>3090</v>
      </c>
      <c r="E192" s="27" t="s">
        <v>426</v>
      </c>
      <c r="F192" s="9" t="s">
        <v>1601</v>
      </c>
      <c r="G192" s="27" t="s">
        <v>1490</v>
      </c>
      <c r="H192" s="27" t="s">
        <v>1334</v>
      </c>
      <c r="I192" s="27" t="s">
        <v>3151</v>
      </c>
      <c r="J192" s="11" t="n">
        <v>0.13</v>
      </c>
      <c r="K192" s="11" t="n">
        <v>-0.6</v>
      </c>
      <c r="L192" s="11" t="n">
        <v>0.27</v>
      </c>
      <c r="M192" s="11" t="n">
        <v>0.87</v>
      </c>
      <c r="N192" s="27" t="s">
        <v>3094</v>
      </c>
      <c r="O192" s="27" t="s">
        <v>86</v>
      </c>
      <c r="P192" s="27" t="s">
        <v>1580</v>
      </c>
      <c r="Q192" s="23" t="s">
        <v>1476</v>
      </c>
      <c r="R192" s="9" t="s">
        <v>3152</v>
      </c>
    </row>
    <row r="193" customFormat="false" ht="19.5" hidden="false" customHeight="true" outlineLevel="0" collapsed="false">
      <c r="A193" s="25" t="s">
        <v>3322</v>
      </c>
      <c r="B193" s="25" t="s">
        <v>3088</v>
      </c>
      <c r="C193" s="25" t="s">
        <v>3149</v>
      </c>
      <c r="D193" s="25" t="s">
        <v>3090</v>
      </c>
      <c r="E193" s="25" t="s">
        <v>385</v>
      </c>
      <c r="F193" s="12" t="s">
        <v>1603</v>
      </c>
      <c r="G193" s="25" t="s">
        <v>1490</v>
      </c>
      <c r="H193" s="25" t="s">
        <v>1334</v>
      </c>
      <c r="I193" s="25" t="s">
        <v>3151</v>
      </c>
      <c r="J193" s="14" t="n">
        <v>0.29</v>
      </c>
      <c r="K193" s="14" t="n">
        <v>0.2</v>
      </c>
      <c r="L193" s="14" t="n">
        <v>0.35</v>
      </c>
      <c r="M193" s="14" t="n">
        <v>0.15</v>
      </c>
      <c r="N193" s="25" t="s">
        <v>3094</v>
      </c>
      <c r="O193" s="25" t="s">
        <v>86</v>
      </c>
      <c r="P193" s="25" t="s">
        <v>1580</v>
      </c>
      <c r="Q193" s="22" t="s">
        <v>1476</v>
      </c>
      <c r="R193" s="12" t="s">
        <v>3152</v>
      </c>
    </row>
    <row r="194" customFormat="false" ht="19.5" hidden="false" customHeight="true" outlineLevel="0" collapsed="false">
      <c r="A194" s="27" t="s">
        <v>3323</v>
      </c>
      <c r="B194" s="27" t="s">
        <v>3088</v>
      </c>
      <c r="C194" s="27" t="s">
        <v>3149</v>
      </c>
      <c r="D194" s="27" t="s">
        <v>3090</v>
      </c>
      <c r="E194" s="27" t="s">
        <v>392</v>
      </c>
      <c r="F194" s="9" t="s">
        <v>1605</v>
      </c>
      <c r="G194" s="27" t="s">
        <v>1490</v>
      </c>
      <c r="H194" s="27" t="s">
        <v>1334</v>
      </c>
      <c r="I194" s="27" t="s">
        <v>3151</v>
      </c>
      <c r="J194" s="11" t="n">
        <v>0.37</v>
      </c>
      <c r="K194" s="11" t="n">
        <v>0.37</v>
      </c>
      <c r="L194" s="11" t="n">
        <v>0.4</v>
      </c>
      <c r="M194" s="11" t="n">
        <v>0.03</v>
      </c>
      <c r="N194" s="27" t="s">
        <v>3094</v>
      </c>
      <c r="O194" s="27" t="s">
        <v>86</v>
      </c>
      <c r="P194" s="27" t="s">
        <v>1580</v>
      </c>
      <c r="Q194" s="23" t="s">
        <v>1476</v>
      </c>
      <c r="R194" s="9" t="s">
        <v>3152</v>
      </c>
    </row>
    <row r="195" customFormat="false" ht="19.5" hidden="false" customHeight="true" outlineLevel="0" collapsed="false">
      <c r="A195" s="25" t="s">
        <v>3324</v>
      </c>
      <c r="B195" s="25" t="s">
        <v>3088</v>
      </c>
      <c r="C195" s="25" t="s">
        <v>3149</v>
      </c>
      <c r="D195" s="25" t="s">
        <v>3090</v>
      </c>
      <c r="E195" s="25" t="s">
        <v>399</v>
      </c>
      <c r="F195" s="12" t="s">
        <v>1607</v>
      </c>
      <c r="G195" s="25" t="s">
        <v>1490</v>
      </c>
      <c r="H195" s="25" t="s">
        <v>1334</v>
      </c>
      <c r="I195" s="25" t="s">
        <v>3151</v>
      </c>
      <c r="J195" s="29"/>
      <c r="K195" s="14" t="n">
        <v>-0.18</v>
      </c>
      <c r="L195" s="14" t="n">
        <v>0.41</v>
      </c>
      <c r="M195" s="14" t="n">
        <v>0.59</v>
      </c>
      <c r="N195" s="25" t="s">
        <v>3094</v>
      </c>
      <c r="O195" s="25" t="s">
        <v>86</v>
      </c>
      <c r="P195" s="25" t="s">
        <v>1580</v>
      </c>
      <c r="Q195" s="22" t="s">
        <v>1476</v>
      </c>
      <c r="R195" s="12" t="s">
        <v>3152</v>
      </c>
    </row>
    <row r="196" customFormat="false" ht="19.5" hidden="false" customHeight="true" outlineLevel="0" collapsed="false">
      <c r="A196" s="27" t="s">
        <v>3325</v>
      </c>
      <c r="B196" s="27" t="s">
        <v>3088</v>
      </c>
      <c r="C196" s="27" t="s">
        <v>3149</v>
      </c>
      <c r="D196" s="27" t="s">
        <v>3090</v>
      </c>
      <c r="E196" s="27" t="s">
        <v>433</v>
      </c>
      <c r="F196" s="9" t="s">
        <v>1609</v>
      </c>
      <c r="G196" s="27" t="s">
        <v>1490</v>
      </c>
      <c r="H196" s="27" t="s">
        <v>1334</v>
      </c>
      <c r="I196" s="27" t="s">
        <v>3151</v>
      </c>
      <c r="J196" s="11" t="n">
        <v>0.25</v>
      </c>
      <c r="K196" s="30"/>
      <c r="L196" s="30"/>
      <c r="M196" s="30"/>
      <c r="N196" s="27" t="s">
        <v>3094</v>
      </c>
      <c r="O196" s="27" t="s">
        <v>86</v>
      </c>
      <c r="P196" s="27" t="s">
        <v>1580</v>
      </c>
      <c r="Q196" s="23" t="s">
        <v>1476</v>
      </c>
      <c r="R196" s="9" t="s">
        <v>3152</v>
      </c>
    </row>
    <row r="197" customFormat="false" ht="19.5" hidden="false" customHeight="true" outlineLevel="0" collapsed="false">
      <c r="A197" s="25" t="s">
        <v>3326</v>
      </c>
      <c r="B197" s="25" t="s">
        <v>3088</v>
      </c>
      <c r="C197" s="25" t="s">
        <v>3149</v>
      </c>
      <c r="D197" s="25" t="s">
        <v>3090</v>
      </c>
      <c r="E197" s="25" t="s">
        <v>405</v>
      </c>
      <c r="F197" s="12" t="s">
        <v>1611</v>
      </c>
      <c r="G197" s="25" t="s">
        <v>1490</v>
      </c>
      <c r="H197" s="25" t="s">
        <v>1334</v>
      </c>
      <c r="I197" s="25" t="s">
        <v>3151</v>
      </c>
      <c r="J197" s="14" t="n">
        <v>0.38</v>
      </c>
      <c r="K197" s="14" t="n">
        <v>0.19</v>
      </c>
      <c r="L197" s="14" t="n">
        <v>0.38</v>
      </c>
      <c r="M197" s="14" t="n">
        <v>0.19</v>
      </c>
      <c r="N197" s="25" t="s">
        <v>3094</v>
      </c>
      <c r="O197" s="25" t="s">
        <v>86</v>
      </c>
      <c r="P197" s="25" t="s">
        <v>1580</v>
      </c>
      <c r="Q197" s="22" t="s">
        <v>1476</v>
      </c>
      <c r="R197" s="12" t="s">
        <v>3152</v>
      </c>
    </row>
    <row r="198" customFormat="false" ht="19.5" hidden="false" customHeight="true" outlineLevel="0" collapsed="false">
      <c r="A198" s="27" t="s">
        <v>3327</v>
      </c>
      <c r="B198" s="27" t="s">
        <v>3088</v>
      </c>
      <c r="C198" s="27" t="s">
        <v>3149</v>
      </c>
      <c r="D198" s="27" t="s">
        <v>3090</v>
      </c>
      <c r="E198" s="27" t="s">
        <v>411</v>
      </c>
      <c r="F198" s="9" t="s">
        <v>1613</v>
      </c>
      <c r="G198" s="27" t="s">
        <v>1490</v>
      </c>
      <c r="H198" s="27" t="s">
        <v>1334</v>
      </c>
      <c r="I198" s="27" t="s">
        <v>3151</v>
      </c>
      <c r="J198" s="11" t="n">
        <v>0.43</v>
      </c>
      <c r="K198" s="11" t="n">
        <v>0.33</v>
      </c>
      <c r="L198" s="11" t="n">
        <v>0.43</v>
      </c>
      <c r="M198" s="11" t="n">
        <v>0.1</v>
      </c>
      <c r="N198" s="27" t="s">
        <v>3094</v>
      </c>
      <c r="O198" s="27" t="s">
        <v>86</v>
      </c>
      <c r="P198" s="27" t="s">
        <v>1580</v>
      </c>
      <c r="Q198" s="23" t="s">
        <v>1476</v>
      </c>
      <c r="R198" s="9" t="s">
        <v>3152</v>
      </c>
    </row>
    <row r="199" customFormat="false" ht="19.5" hidden="false" customHeight="true" outlineLevel="0" collapsed="false">
      <c r="A199" s="25" t="s">
        <v>3328</v>
      </c>
      <c r="B199" s="25" t="s">
        <v>3088</v>
      </c>
      <c r="C199" s="25" t="s">
        <v>3149</v>
      </c>
      <c r="D199" s="25" t="s">
        <v>3090</v>
      </c>
      <c r="E199" s="25" t="s">
        <v>416</v>
      </c>
      <c r="F199" s="12" t="s">
        <v>1615</v>
      </c>
      <c r="G199" s="25" t="s">
        <v>1490</v>
      </c>
      <c r="H199" s="25" t="s">
        <v>1334</v>
      </c>
      <c r="I199" s="25" t="s">
        <v>3151</v>
      </c>
      <c r="J199" s="14" t="n">
        <v>0.41</v>
      </c>
      <c r="K199" s="14" t="n">
        <v>0.25</v>
      </c>
      <c r="L199" s="14" t="n">
        <v>0.41</v>
      </c>
      <c r="M199" s="14" t="n">
        <v>0.16</v>
      </c>
      <c r="N199" s="25" t="s">
        <v>3094</v>
      </c>
      <c r="O199" s="25" t="s">
        <v>86</v>
      </c>
      <c r="P199" s="25" t="s">
        <v>1580</v>
      </c>
      <c r="Q199" s="22" t="s">
        <v>1476</v>
      </c>
      <c r="R199" s="12" t="s">
        <v>3152</v>
      </c>
    </row>
    <row r="200" customFormat="false" ht="19.5" hidden="false" customHeight="true" outlineLevel="0" collapsed="false">
      <c r="A200" s="27" t="s">
        <v>3329</v>
      </c>
      <c r="B200" s="27" t="s">
        <v>3088</v>
      </c>
      <c r="C200" s="27" t="s">
        <v>3149</v>
      </c>
      <c r="D200" s="27" t="s">
        <v>3090</v>
      </c>
      <c r="E200" s="27" t="s">
        <v>377</v>
      </c>
      <c r="F200" s="9" t="s">
        <v>1617</v>
      </c>
      <c r="G200" s="27" t="s">
        <v>1490</v>
      </c>
      <c r="H200" s="27" t="s">
        <v>1334</v>
      </c>
      <c r="I200" s="27" t="s">
        <v>3151</v>
      </c>
      <c r="J200" s="11" t="n">
        <v>0.36</v>
      </c>
      <c r="K200" s="11" t="n">
        <v>-0.7</v>
      </c>
      <c r="L200" s="11" t="n">
        <v>0.52</v>
      </c>
      <c r="M200" s="11" t="n">
        <v>1.22</v>
      </c>
      <c r="N200" s="27" t="s">
        <v>3094</v>
      </c>
      <c r="O200" s="27" t="s">
        <v>86</v>
      </c>
      <c r="P200" s="27" t="s">
        <v>1580</v>
      </c>
      <c r="Q200" s="23" t="s">
        <v>1476</v>
      </c>
      <c r="R200" s="9" t="s">
        <v>3152</v>
      </c>
    </row>
    <row r="201" customFormat="false" ht="19.5" hidden="false" customHeight="true" outlineLevel="0" collapsed="false">
      <c r="A201" s="25" t="s">
        <v>3330</v>
      </c>
      <c r="B201" s="25" t="s">
        <v>3088</v>
      </c>
      <c r="C201" s="25" t="s">
        <v>3149</v>
      </c>
      <c r="D201" s="25" t="s">
        <v>3090</v>
      </c>
      <c r="E201" s="25" t="s">
        <v>420</v>
      </c>
      <c r="F201" s="12" t="s">
        <v>1619</v>
      </c>
      <c r="G201" s="25" t="s">
        <v>1490</v>
      </c>
      <c r="H201" s="25" t="s">
        <v>1334</v>
      </c>
      <c r="I201" s="25" t="s">
        <v>3151</v>
      </c>
      <c r="J201" s="14" t="n">
        <v>0.21</v>
      </c>
      <c r="K201" s="14" t="n">
        <v>-0.65</v>
      </c>
      <c r="L201" s="14" t="n">
        <v>0.37</v>
      </c>
      <c r="M201" s="14" t="n">
        <v>1.02</v>
      </c>
      <c r="N201" s="25" t="s">
        <v>3094</v>
      </c>
      <c r="O201" s="25" t="s">
        <v>86</v>
      </c>
      <c r="P201" s="25" t="s">
        <v>1580</v>
      </c>
      <c r="Q201" s="22" t="s">
        <v>1476</v>
      </c>
      <c r="R201" s="12" t="s">
        <v>3152</v>
      </c>
    </row>
    <row r="202" customFormat="false" ht="19.5" hidden="false" customHeight="true" outlineLevel="0" collapsed="false">
      <c r="A202" s="27" t="s">
        <v>3331</v>
      </c>
      <c r="B202" s="27" t="s">
        <v>3088</v>
      </c>
      <c r="C202" s="27" t="s">
        <v>3149</v>
      </c>
      <c r="D202" s="27" t="s">
        <v>3090</v>
      </c>
      <c r="E202" s="27" t="s">
        <v>250</v>
      </c>
      <c r="F202" s="9" t="s">
        <v>1621</v>
      </c>
      <c r="G202" s="27" t="s">
        <v>1490</v>
      </c>
      <c r="H202" s="27" t="s">
        <v>1334</v>
      </c>
      <c r="I202" s="27" t="s">
        <v>3151</v>
      </c>
      <c r="J202" s="11" t="n">
        <v>0.24</v>
      </c>
      <c r="K202" s="30"/>
      <c r="L202" s="30"/>
      <c r="M202" s="30"/>
      <c r="N202" s="27" t="s">
        <v>3094</v>
      </c>
      <c r="O202" s="27" t="s">
        <v>86</v>
      </c>
      <c r="P202" s="27" t="s">
        <v>1580</v>
      </c>
      <c r="Q202" s="23" t="s">
        <v>1476</v>
      </c>
      <c r="R202" s="9" t="s">
        <v>3152</v>
      </c>
    </row>
    <row r="203" customFormat="false" ht="19.5" hidden="false" customHeight="true" outlineLevel="0" collapsed="false">
      <c r="A203" s="25" t="s">
        <v>3332</v>
      </c>
      <c r="B203" s="25" t="s">
        <v>3088</v>
      </c>
      <c r="C203" s="25" t="s">
        <v>3149</v>
      </c>
      <c r="D203" s="25" t="s">
        <v>3090</v>
      </c>
      <c r="E203" s="25" t="s">
        <v>312</v>
      </c>
      <c r="F203" s="12" t="s">
        <v>3213</v>
      </c>
      <c r="G203" s="25" t="s">
        <v>1490</v>
      </c>
      <c r="H203" s="25" t="s">
        <v>1334</v>
      </c>
      <c r="I203" s="25" t="s">
        <v>3151</v>
      </c>
      <c r="J203" s="14" t="n">
        <v>0.52</v>
      </c>
      <c r="K203" s="14" t="n">
        <v>-0.63</v>
      </c>
      <c r="L203" s="14" t="n">
        <v>0.63</v>
      </c>
      <c r="M203" s="14" t="n">
        <v>1.26</v>
      </c>
      <c r="N203" s="25" t="s">
        <v>3094</v>
      </c>
      <c r="O203" s="25" t="s">
        <v>86</v>
      </c>
      <c r="P203" s="25" t="s">
        <v>1580</v>
      </c>
      <c r="Q203" s="22" t="s">
        <v>1476</v>
      </c>
      <c r="R203" s="12" t="s">
        <v>3214</v>
      </c>
    </row>
    <row r="204" customFormat="false" ht="19.5" hidden="false" customHeight="true" outlineLevel="0" collapsed="false">
      <c r="A204" s="27" t="s">
        <v>3333</v>
      </c>
      <c r="B204" s="27" t="s">
        <v>3088</v>
      </c>
      <c r="C204" s="27" t="s">
        <v>3149</v>
      </c>
      <c r="D204" s="27" t="s">
        <v>3090</v>
      </c>
      <c r="E204" s="27" t="s">
        <v>226</v>
      </c>
      <c r="F204" s="9" t="s">
        <v>1623</v>
      </c>
      <c r="G204" s="27" t="s">
        <v>1490</v>
      </c>
      <c r="H204" s="27" t="s">
        <v>1334</v>
      </c>
      <c r="I204" s="27" t="s">
        <v>3151</v>
      </c>
      <c r="J204" s="11" t="n">
        <v>0.1</v>
      </c>
      <c r="K204" s="11" t="n">
        <v>-0.78</v>
      </c>
      <c r="L204" s="11" t="n">
        <v>0.42</v>
      </c>
      <c r="M204" s="11" t="n">
        <v>1.2</v>
      </c>
      <c r="N204" s="27" t="s">
        <v>3094</v>
      </c>
      <c r="O204" s="27" t="s">
        <v>86</v>
      </c>
      <c r="P204" s="27" t="s">
        <v>1580</v>
      </c>
      <c r="Q204" s="23" t="s">
        <v>1476</v>
      </c>
      <c r="R204" s="9" t="s">
        <v>3152</v>
      </c>
    </row>
    <row r="205" customFormat="false" ht="19.5" hidden="false" customHeight="true" outlineLevel="0" collapsed="false">
      <c r="A205" s="25" t="s">
        <v>3334</v>
      </c>
      <c r="B205" s="25" t="s">
        <v>3088</v>
      </c>
      <c r="C205" s="25" t="s">
        <v>3149</v>
      </c>
      <c r="D205" s="25" t="s">
        <v>3090</v>
      </c>
      <c r="E205" s="25" t="s">
        <v>319</v>
      </c>
      <c r="F205" s="12" t="s">
        <v>3217</v>
      </c>
      <c r="G205" s="25" t="s">
        <v>1490</v>
      </c>
      <c r="H205" s="25" t="s">
        <v>1334</v>
      </c>
      <c r="I205" s="25" t="s">
        <v>3151</v>
      </c>
      <c r="J205" s="14" t="n">
        <v>0.54</v>
      </c>
      <c r="K205" s="14" t="n">
        <v>-0.4</v>
      </c>
      <c r="L205" s="14" t="n">
        <v>0.63</v>
      </c>
      <c r="M205" s="14" t="n">
        <v>1.03</v>
      </c>
      <c r="N205" s="25" t="s">
        <v>3094</v>
      </c>
      <c r="O205" s="25" t="s">
        <v>86</v>
      </c>
      <c r="P205" s="25" t="s">
        <v>1580</v>
      </c>
      <c r="Q205" s="22" t="s">
        <v>1476</v>
      </c>
      <c r="R205" s="12" t="s">
        <v>3214</v>
      </c>
    </row>
    <row r="206" customFormat="false" ht="19.5" hidden="false" customHeight="true" outlineLevel="0" collapsed="false">
      <c r="A206" s="27" t="s">
        <v>3335</v>
      </c>
      <c r="B206" s="27" t="s">
        <v>3088</v>
      </c>
      <c r="C206" s="27" t="s">
        <v>3149</v>
      </c>
      <c r="D206" s="27" t="s">
        <v>3090</v>
      </c>
      <c r="E206" s="27" t="s">
        <v>292</v>
      </c>
      <c r="F206" s="9" t="s">
        <v>3219</v>
      </c>
      <c r="G206" s="27" t="s">
        <v>1490</v>
      </c>
      <c r="H206" s="27" t="s">
        <v>1334</v>
      </c>
      <c r="I206" s="27" t="s">
        <v>3151</v>
      </c>
      <c r="J206" s="11" t="n">
        <v>0.76</v>
      </c>
      <c r="K206" s="11" t="n">
        <v>-0.62</v>
      </c>
      <c r="L206" s="11" t="n">
        <v>0.8</v>
      </c>
      <c r="M206" s="11" t="n">
        <v>1.42</v>
      </c>
      <c r="N206" s="27" t="s">
        <v>3094</v>
      </c>
      <c r="O206" s="27" t="s">
        <v>86</v>
      </c>
      <c r="P206" s="27" t="s">
        <v>1580</v>
      </c>
      <c r="Q206" s="23" t="s">
        <v>1476</v>
      </c>
      <c r="R206" s="9" t="s">
        <v>3214</v>
      </c>
    </row>
    <row r="207" customFormat="false" ht="19.5" hidden="false" customHeight="true" outlineLevel="0" collapsed="false">
      <c r="A207" s="25" t="s">
        <v>3336</v>
      </c>
      <c r="B207" s="25" t="s">
        <v>3088</v>
      </c>
      <c r="C207" s="25" t="s">
        <v>3149</v>
      </c>
      <c r="D207" s="25" t="s">
        <v>3090</v>
      </c>
      <c r="E207" s="25" t="s">
        <v>215</v>
      </c>
      <c r="F207" s="12" t="s">
        <v>1625</v>
      </c>
      <c r="G207" s="25" t="s">
        <v>1490</v>
      </c>
      <c r="H207" s="25" t="s">
        <v>1334</v>
      </c>
      <c r="I207" s="25" t="s">
        <v>3151</v>
      </c>
      <c r="J207" s="14" t="n">
        <v>0.46</v>
      </c>
      <c r="K207" s="29"/>
      <c r="L207" s="29"/>
      <c r="M207" s="29"/>
      <c r="N207" s="25" t="s">
        <v>3094</v>
      </c>
      <c r="O207" s="25" t="s">
        <v>86</v>
      </c>
      <c r="P207" s="25" t="s">
        <v>1580</v>
      </c>
      <c r="Q207" s="22" t="s">
        <v>1476</v>
      </c>
      <c r="R207" s="12" t="s">
        <v>3152</v>
      </c>
    </row>
    <row r="208" customFormat="false" ht="19.5" hidden="false" customHeight="true" outlineLevel="0" collapsed="false">
      <c r="A208" s="27" t="s">
        <v>3337</v>
      </c>
      <c r="B208" s="27" t="s">
        <v>3088</v>
      </c>
      <c r="C208" s="27" t="s">
        <v>3149</v>
      </c>
      <c r="D208" s="27" t="s">
        <v>3090</v>
      </c>
      <c r="E208" s="27" t="s">
        <v>257</v>
      </c>
      <c r="F208" s="9" t="s">
        <v>1627</v>
      </c>
      <c r="G208" s="27" t="s">
        <v>1490</v>
      </c>
      <c r="H208" s="27" t="s">
        <v>1334</v>
      </c>
      <c r="I208" s="27" t="s">
        <v>3151</v>
      </c>
      <c r="J208" s="11" t="n">
        <v>0.4</v>
      </c>
      <c r="K208" s="11" t="n">
        <v>0.34</v>
      </c>
      <c r="L208" s="11" t="n">
        <v>0.62</v>
      </c>
      <c r="M208" s="11" t="n">
        <v>0.28</v>
      </c>
      <c r="N208" s="27" t="s">
        <v>3094</v>
      </c>
      <c r="O208" s="27" t="s">
        <v>86</v>
      </c>
      <c r="P208" s="27" t="s">
        <v>1580</v>
      </c>
      <c r="Q208" s="23" t="s">
        <v>1476</v>
      </c>
      <c r="R208" s="9" t="s">
        <v>3152</v>
      </c>
    </row>
    <row r="209" customFormat="false" ht="19.5" hidden="false" customHeight="true" outlineLevel="0" collapsed="false">
      <c r="A209" s="25" t="s">
        <v>3338</v>
      </c>
      <c r="B209" s="25" t="s">
        <v>3088</v>
      </c>
      <c r="C209" s="25" t="s">
        <v>3149</v>
      </c>
      <c r="D209" s="25" t="s">
        <v>3090</v>
      </c>
      <c r="E209" s="25" t="s">
        <v>334</v>
      </c>
      <c r="F209" s="12" t="s">
        <v>3186</v>
      </c>
      <c r="G209" s="25" t="s">
        <v>1510</v>
      </c>
      <c r="H209" s="25" t="s">
        <v>1334</v>
      </c>
      <c r="I209" s="25" t="s">
        <v>3151</v>
      </c>
      <c r="J209" s="14" t="n">
        <v>0.23</v>
      </c>
      <c r="K209" s="14" t="n">
        <v>0.2</v>
      </c>
      <c r="L209" s="14" t="n">
        <v>0.31</v>
      </c>
      <c r="M209" s="14" t="n">
        <v>0.11</v>
      </c>
      <c r="N209" s="25" t="s">
        <v>3094</v>
      </c>
      <c r="O209" s="25" t="s">
        <v>86</v>
      </c>
      <c r="P209" s="25" t="s">
        <v>1580</v>
      </c>
      <c r="Q209" s="22" t="s">
        <v>1497</v>
      </c>
      <c r="R209" s="12" t="s">
        <v>3187</v>
      </c>
    </row>
    <row r="210" customFormat="false" ht="19.5" hidden="false" customHeight="true" outlineLevel="0" collapsed="false">
      <c r="A210" s="27" t="s">
        <v>3339</v>
      </c>
      <c r="B210" s="27" t="s">
        <v>3088</v>
      </c>
      <c r="C210" s="27" t="s">
        <v>3149</v>
      </c>
      <c r="D210" s="27" t="s">
        <v>3090</v>
      </c>
      <c r="E210" s="27" t="s">
        <v>328</v>
      </c>
      <c r="F210" s="9" t="s">
        <v>3189</v>
      </c>
      <c r="G210" s="27" t="s">
        <v>1510</v>
      </c>
      <c r="H210" s="27" t="s">
        <v>1334</v>
      </c>
      <c r="I210" s="27" t="s">
        <v>3151</v>
      </c>
      <c r="J210" s="11" t="n">
        <v>0.67</v>
      </c>
      <c r="K210" s="11" t="n">
        <v>-0.23</v>
      </c>
      <c r="L210" s="11" t="n">
        <v>0.75</v>
      </c>
      <c r="M210" s="11" t="n">
        <v>0.98</v>
      </c>
      <c r="N210" s="27" t="s">
        <v>3094</v>
      </c>
      <c r="O210" s="27" t="s">
        <v>86</v>
      </c>
      <c r="P210" s="27" t="s">
        <v>1580</v>
      </c>
      <c r="Q210" s="23" t="s">
        <v>1497</v>
      </c>
      <c r="R210" s="9" t="s">
        <v>3190</v>
      </c>
    </row>
    <row r="211" customFormat="false" ht="19.5" hidden="false" customHeight="true" outlineLevel="0" collapsed="false">
      <c r="A211" s="25" t="s">
        <v>3340</v>
      </c>
      <c r="B211" s="25" t="s">
        <v>3088</v>
      </c>
      <c r="C211" s="25" t="s">
        <v>3149</v>
      </c>
      <c r="D211" s="25" t="s">
        <v>3090</v>
      </c>
      <c r="E211" s="25" t="s">
        <v>466</v>
      </c>
      <c r="F211" s="12" t="s">
        <v>1578</v>
      </c>
      <c r="G211" s="25" t="s">
        <v>1510</v>
      </c>
      <c r="H211" s="25" t="s">
        <v>1334</v>
      </c>
      <c r="I211" s="25" t="s">
        <v>3151</v>
      </c>
      <c r="J211" s="29"/>
      <c r="K211" s="14" t="n">
        <v>-0.27</v>
      </c>
      <c r="L211" s="14" t="n">
        <v>1.18</v>
      </c>
      <c r="M211" s="14" t="n">
        <v>1.45</v>
      </c>
      <c r="N211" s="25" t="s">
        <v>3094</v>
      </c>
      <c r="O211" s="25" t="s">
        <v>86</v>
      </c>
      <c r="P211" s="25" t="s">
        <v>1580</v>
      </c>
      <c r="Q211" s="22" t="s">
        <v>1497</v>
      </c>
      <c r="R211" s="12" t="s">
        <v>3155</v>
      </c>
    </row>
    <row r="212" customFormat="false" ht="19.5" hidden="false" customHeight="true" outlineLevel="0" collapsed="false">
      <c r="A212" s="27" t="s">
        <v>3341</v>
      </c>
      <c r="B212" s="27" t="s">
        <v>3088</v>
      </c>
      <c r="C212" s="27" t="s">
        <v>3149</v>
      </c>
      <c r="D212" s="27" t="s">
        <v>3090</v>
      </c>
      <c r="E212" s="27" t="s">
        <v>492</v>
      </c>
      <c r="F212" s="9" t="s">
        <v>1583</v>
      </c>
      <c r="G212" s="27" t="s">
        <v>1510</v>
      </c>
      <c r="H212" s="27" t="s">
        <v>1334</v>
      </c>
      <c r="I212" s="27" t="s">
        <v>3151</v>
      </c>
      <c r="J212" s="11" t="n">
        <v>0.53</v>
      </c>
      <c r="K212" s="11" t="n">
        <v>0.46</v>
      </c>
      <c r="L212" s="11" t="n">
        <v>0.53</v>
      </c>
      <c r="M212" s="11" t="n">
        <v>0.07</v>
      </c>
      <c r="N212" s="27" t="s">
        <v>3094</v>
      </c>
      <c r="O212" s="27" t="s">
        <v>86</v>
      </c>
      <c r="P212" s="27" t="s">
        <v>1580</v>
      </c>
      <c r="Q212" s="23" t="s">
        <v>1497</v>
      </c>
      <c r="R212" s="9" t="s">
        <v>3155</v>
      </c>
    </row>
    <row r="213" customFormat="false" ht="19.5" hidden="false" customHeight="true" outlineLevel="0" collapsed="false">
      <c r="A213" s="25" t="s">
        <v>3342</v>
      </c>
      <c r="B213" s="25" t="s">
        <v>3088</v>
      </c>
      <c r="C213" s="25" t="s">
        <v>3149</v>
      </c>
      <c r="D213" s="25" t="s">
        <v>3090</v>
      </c>
      <c r="E213" s="25" t="s">
        <v>473</v>
      </c>
      <c r="F213" s="12" t="s">
        <v>1585</v>
      </c>
      <c r="G213" s="25" t="s">
        <v>1510</v>
      </c>
      <c r="H213" s="25" t="s">
        <v>1334</v>
      </c>
      <c r="I213" s="25" t="s">
        <v>3151</v>
      </c>
      <c r="J213" s="14" t="n">
        <v>0.2</v>
      </c>
      <c r="K213" s="14" t="n">
        <v>0.16</v>
      </c>
      <c r="L213" s="14" t="n">
        <v>0.2</v>
      </c>
      <c r="M213" s="14" t="n">
        <v>0.04</v>
      </c>
      <c r="N213" s="25" t="s">
        <v>3094</v>
      </c>
      <c r="O213" s="25" t="s">
        <v>86</v>
      </c>
      <c r="P213" s="25" t="s">
        <v>1580</v>
      </c>
      <c r="Q213" s="22" t="s">
        <v>1497</v>
      </c>
      <c r="R213" s="12" t="s">
        <v>3155</v>
      </c>
    </row>
    <row r="214" customFormat="false" ht="19.5" hidden="false" customHeight="true" outlineLevel="0" collapsed="false">
      <c r="A214" s="27" t="s">
        <v>3343</v>
      </c>
      <c r="B214" s="27" t="s">
        <v>3088</v>
      </c>
      <c r="C214" s="27" t="s">
        <v>3149</v>
      </c>
      <c r="D214" s="27" t="s">
        <v>3090</v>
      </c>
      <c r="E214" s="27" t="s">
        <v>459</v>
      </c>
      <c r="F214" s="9" t="s">
        <v>1587</v>
      </c>
      <c r="G214" s="27" t="s">
        <v>1510</v>
      </c>
      <c r="H214" s="27" t="s">
        <v>1334</v>
      </c>
      <c r="I214" s="27" t="s">
        <v>3151</v>
      </c>
      <c r="J214" s="11" t="n">
        <v>0.62</v>
      </c>
      <c r="K214" s="11" t="n">
        <v>-0.4</v>
      </c>
      <c r="L214" s="11" t="n">
        <v>0.64</v>
      </c>
      <c r="M214" s="11" t="n">
        <v>1.04</v>
      </c>
      <c r="N214" s="27" t="s">
        <v>3094</v>
      </c>
      <c r="O214" s="27" t="s">
        <v>86</v>
      </c>
      <c r="P214" s="27" t="s">
        <v>1580</v>
      </c>
      <c r="Q214" s="23" t="s">
        <v>1497</v>
      </c>
      <c r="R214" s="9" t="s">
        <v>3155</v>
      </c>
    </row>
    <row r="215" customFormat="false" ht="19.5" hidden="false" customHeight="true" outlineLevel="0" collapsed="false">
      <c r="A215" s="25" t="s">
        <v>3344</v>
      </c>
      <c r="B215" s="25" t="s">
        <v>3088</v>
      </c>
      <c r="C215" s="25" t="s">
        <v>3149</v>
      </c>
      <c r="D215" s="25" t="s">
        <v>3090</v>
      </c>
      <c r="E215" s="25" t="s">
        <v>486</v>
      </c>
      <c r="F215" s="12" t="s">
        <v>1589</v>
      </c>
      <c r="G215" s="25" t="s">
        <v>1510</v>
      </c>
      <c r="H215" s="25" t="s">
        <v>1334</v>
      </c>
      <c r="I215" s="25" t="s">
        <v>3151</v>
      </c>
      <c r="J215" s="14" t="n">
        <v>0.64</v>
      </c>
      <c r="K215" s="14" t="n">
        <v>0.05</v>
      </c>
      <c r="L215" s="14" t="n">
        <v>0.64</v>
      </c>
      <c r="M215" s="14" t="n">
        <v>0.59</v>
      </c>
      <c r="N215" s="25" t="s">
        <v>3094</v>
      </c>
      <c r="O215" s="25" t="s">
        <v>86</v>
      </c>
      <c r="P215" s="25" t="s">
        <v>1580</v>
      </c>
      <c r="Q215" s="22" t="s">
        <v>1497</v>
      </c>
      <c r="R215" s="12" t="s">
        <v>3155</v>
      </c>
    </row>
    <row r="216" customFormat="false" ht="19.5" hidden="false" customHeight="true" outlineLevel="0" collapsed="false">
      <c r="A216" s="27" t="s">
        <v>3345</v>
      </c>
      <c r="B216" s="27" t="s">
        <v>3088</v>
      </c>
      <c r="C216" s="27" t="s">
        <v>3149</v>
      </c>
      <c r="D216" s="27" t="s">
        <v>3090</v>
      </c>
      <c r="E216" s="27" t="s">
        <v>479</v>
      </c>
      <c r="F216" s="9" t="s">
        <v>1591</v>
      </c>
      <c r="G216" s="27" t="s">
        <v>1510</v>
      </c>
      <c r="H216" s="27" t="s">
        <v>1334</v>
      </c>
      <c r="I216" s="27" t="s">
        <v>3151</v>
      </c>
      <c r="J216" s="11" t="n">
        <v>0.2</v>
      </c>
      <c r="K216" s="11" t="n">
        <v>-0.76</v>
      </c>
      <c r="L216" s="11" t="n">
        <v>0.33</v>
      </c>
      <c r="M216" s="11" t="n">
        <v>1.09</v>
      </c>
      <c r="N216" s="27" t="s">
        <v>3094</v>
      </c>
      <c r="O216" s="27" t="s">
        <v>86</v>
      </c>
      <c r="P216" s="27" t="s">
        <v>1580</v>
      </c>
      <c r="Q216" s="23" t="s">
        <v>1497</v>
      </c>
      <c r="R216" s="9" t="s">
        <v>3155</v>
      </c>
    </row>
    <row r="217" customFormat="false" ht="19.5" hidden="false" customHeight="true" outlineLevel="0" collapsed="false">
      <c r="A217" s="25" t="s">
        <v>3346</v>
      </c>
      <c r="B217" s="25" t="s">
        <v>3088</v>
      </c>
      <c r="C217" s="25" t="s">
        <v>3149</v>
      </c>
      <c r="D217" s="25" t="s">
        <v>3090</v>
      </c>
      <c r="E217" s="25" t="s">
        <v>233</v>
      </c>
      <c r="F217" s="12" t="s">
        <v>1593</v>
      </c>
      <c r="G217" s="25" t="s">
        <v>1510</v>
      </c>
      <c r="H217" s="25" t="s">
        <v>1334</v>
      </c>
      <c r="I217" s="25" t="s">
        <v>3151</v>
      </c>
      <c r="J217" s="14" t="n">
        <v>0.4</v>
      </c>
      <c r="K217" s="14" t="n">
        <v>0.4</v>
      </c>
      <c r="L217" s="14" t="n">
        <v>0.4</v>
      </c>
      <c r="M217" s="14" t="n">
        <v>0</v>
      </c>
      <c r="N217" s="25" t="s">
        <v>3094</v>
      </c>
      <c r="O217" s="25" t="s">
        <v>86</v>
      </c>
      <c r="P217" s="25" t="s">
        <v>1580</v>
      </c>
      <c r="Q217" s="22" t="s">
        <v>1497</v>
      </c>
      <c r="R217" s="12" t="s">
        <v>3162</v>
      </c>
    </row>
    <row r="218" customFormat="false" ht="19.5" hidden="false" customHeight="true" outlineLevel="0" collapsed="false">
      <c r="A218" s="27" t="s">
        <v>3347</v>
      </c>
      <c r="B218" s="27" t="s">
        <v>3088</v>
      </c>
      <c r="C218" s="27" t="s">
        <v>3149</v>
      </c>
      <c r="D218" s="27" t="s">
        <v>3090</v>
      </c>
      <c r="E218" s="27" t="s">
        <v>426</v>
      </c>
      <c r="F218" s="9" t="s">
        <v>1601</v>
      </c>
      <c r="G218" s="27" t="s">
        <v>1510</v>
      </c>
      <c r="H218" s="27" t="s">
        <v>1334</v>
      </c>
      <c r="I218" s="27" t="s">
        <v>3151</v>
      </c>
      <c r="J218" s="11" t="n">
        <v>0.04</v>
      </c>
      <c r="K218" s="11" t="n">
        <v>-0.58</v>
      </c>
      <c r="L218" s="11" t="n">
        <v>0.14</v>
      </c>
      <c r="M218" s="11" t="n">
        <v>0.72</v>
      </c>
      <c r="N218" s="27" t="s">
        <v>3094</v>
      </c>
      <c r="O218" s="27" t="s">
        <v>86</v>
      </c>
      <c r="P218" s="27" t="s">
        <v>1580</v>
      </c>
      <c r="Q218" s="23" t="s">
        <v>1497</v>
      </c>
      <c r="R218" s="9" t="s">
        <v>3152</v>
      </c>
    </row>
    <row r="219" customFormat="false" ht="19.5" hidden="false" customHeight="true" outlineLevel="0" collapsed="false">
      <c r="A219" s="25" t="s">
        <v>3348</v>
      </c>
      <c r="B219" s="25" t="s">
        <v>3088</v>
      </c>
      <c r="C219" s="25" t="s">
        <v>3149</v>
      </c>
      <c r="D219" s="25" t="s">
        <v>3090</v>
      </c>
      <c r="E219" s="25" t="s">
        <v>385</v>
      </c>
      <c r="F219" s="12" t="s">
        <v>1603</v>
      </c>
      <c r="G219" s="25" t="s">
        <v>1510</v>
      </c>
      <c r="H219" s="25" t="s">
        <v>1334</v>
      </c>
      <c r="I219" s="25" t="s">
        <v>3151</v>
      </c>
      <c r="J219" s="14" t="n">
        <v>0.26</v>
      </c>
      <c r="K219" s="14" t="n">
        <v>0.21</v>
      </c>
      <c r="L219" s="14" t="n">
        <v>0.26</v>
      </c>
      <c r="M219" s="14" t="n">
        <v>0.05</v>
      </c>
      <c r="N219" s="25" t="s">
        <v>3094</v>
      </c>
      <c r="O219" s="25" t="s">
        <v>86</v>
      </c>
      <c r="P219" s="25" t="s">
        <v>1580</v>
      </c>
      <c r="Q219" s="22" t="s">
        <v>1497</v>
      </c>
      <c r="R219" s="12" t="s">
        <v>3152</v>
      </c>
    </row>
    <row r="220" customFormat="false" ht="19.5" hidden="false" customHeight="true" outlineLevel="0" collapsed="false">
      <c r="A220" s="27" t="s">
        <v>3349</v>
      </c>
      <c r="B220" s="27" t="s">
        <v>3088</v>
      </c>
      <c r="C220" s="27" t="s">
        <v>3149</v>
      </c>
      <c r="D220" s="27" t="s">
        <v>3090</v>
      </c>
      <c r="E220" s="27" t="s">
        <v>392</v>
      </c>
      <c r="F220" s="9" t="s">
        <v>1605</v>
      </c>
      <c r="G220" s="27" t="s">
        <v>1510</v>
      </c>
      <c r="H220" s="27" t="s">
        <v>1334</v>
      </c>
      <c r="I220" s="27" t="s">
        <v>3151</v>
      </c>
      <c r="J220" s="11" t="n">
        <v>0.3</v>
      </c>
      <c r="K220" s="11" t="n">
        <v>0.3</v>
      </c>
      <c r="L220" s="11" t="n">
        <v>0.35</v>
      </c>
      <c r="M220" s="11" t="n">
        <v>0.05</v>
      </c>
      <c r="N220" s="27" t="s">
        <v>3094</v>
      </c>
      <c r="O220" s="27" t="s">
        <v>86</v>
      </c>
      <c r="P220" s="27" t="s">
        <v>1580</v>
      </c>
      <c r="Q220" s="23" t="s">
        <v>1497</v>
      </c>
      <c r="R220" s="9" t="s">
        <v>3152</v>
      </c>
    </row>
    <row r="221" customFormat="false" ht="19.5" hidden="false" customHeight="true" outlineLevel="0" collapsed="false">
      <c r="A221" s="25" t="s">
        <v>3350</v>
      </c>
      <c r="B221" s="25" t="s">
        <v>3088</v>
      </c>
      <c r="C221" s="25" t="s">
        <v>3149</v>
      </c>
      <c r="D221" s="25" t="s">
        <v>3090</v>
      </c>
      <c r="E221" s="25" t="s">
        <v>399</v>
      </c>
      <c r="F221" s="12" t="s">
        <v>1607</v>
      </c>
      <c r="G221" s="25" t="s">
        <v>1510</v>
      </c>
      <c r="H221" s="25" t="s">
        <v>1334</v>
      </c>
      <c r="I221" s="25" t="s">
        <v>3151</v>
      </c>
      <c r="J221" s="14" t="n">
        <v>0.29</v>
      </c>
      <c r="K221" s="14" t="n">
        <v>-0.15</v>
      </c>
      <c r="L221" s="14" t="n">
        <v>0.33</v>
      </c>
      <c r="M221" s="14" t="n">
        <v>0.48</v>
      </c>
      <c r="N221" s="25" t="s">
        <v>3094</v>
      </c>
      <c r="O221" s="25" t="s">
        <v>86</v>
      </c>
      <c r="P221" s="25" t="s">
        <v>1580</v>
      </c>
      <c r="Q221" s="22" t="s">
        <v>1497</v>
      </c>
      <c r="R221" s="12" t="s">
        <v>3152</v>
      </c>
    </row>
    <row r="222" customFormat="false" ht="19.5" hidden="false" customHeight="true" outlineLevel="0" collapsed="false">
      <c r="A222" s="27" t="s">
        <v>3351</v>
      </c>
      <c r="B222" s="27" t="s">
        <v>3088</v>
      </c>
      <c r="C222" s="27" t="s">
        <v>3149</v>
      </c>
      <c r="D222" s="27" t="s">
        <v>3090</v>
      </c>
      <c r="E222" s="27" t="s">
        <v>433</v>
      </c>
      <c r="F222" s="9" t="s">
        <v>1609</v>
      </c>
      <c r="G222" s="27" t="s">
        <v>1510</v>
      </c>
      <c r="H222" s="27" t="s">
        <v>1334</v>
      </c>
      <c r="I222" s="27" t="s">
        <v>3151</v>
      </c>
      <c r="J222" s="11" t="n">
        <v>0.31</v>
      </c>
      <c r="K222" s="30"/>
      <c r="L222" s="30"/>
      <c r="M222" s="30"/>
      <c r="N222" s="27" t="s">
        <v>3094</v>
      </c>
      <c r="O222" s="27" t="s">
        <v>86</v>
      </c>
      <c r="P222" s="27" t="s">
        <v>1580</v>
      </c>
      <c r="Q222" s="23" t="s">
        <v>1497</v>
      </c>
      <c r="R222" s="9" t="s">
        <v>3152</v>
      </c>
    </row>
    <row r="223" customFormat="false" ht="19.5" hidden="false" customHeight="true" outlineLevel="0" collapsed="false">
      <c r="A223" s="25" t="s">
        <v>3352</v>
      </c>
      <c r="B223" s="25" t="s">
        <v>3088</v>
      </c>
      <c r="C223" s="25" t="s">
        <v>3149</v>
      </c>
      <c r="D223" s="25" t="s">
        <v>3090</v>
      </c>
      <c r="E223" s="25" t="s">
        <v>405</v>
      </c>
      <c r="F223" s="12" t="s">
        <v>1611</v>
      </c>
      <c r="G223" s="25" t="s">
        <v>1510</v>
      </c>
      <c r="H223" s="25" t="s">
        <v>1334</v>
      </c>
      <c r="I223" s="25" t="s">
        <v>3151</v>
      </c>
      <c r="J223" s="14" t="n">
        <v>0.3</v>
      </c>
      <c r="K223" s="14" t="n">
        <v>0.3</v>
      </c>
      <c r="L223" s="14" t="n">
        <v>0.38</v>
      </c>
      <c r="M223" s="14" t="n">
        <v>0.08</v>
      </c>
      <c r="N223" s="25" t="s">
        <v>3094</v>
      </c>
      <c r="O223" s="25" t="s">
        <v>86</v>
      </c>
      <c r="P223" s="25" t="s">
        <v>1580</v>
      </c>
      <c r="Q223" s="22" t="s">
        <v>1497</v>
      </c>
      <c r="R223" s="12" t="s">
        <v>3152</v>
      </c>
    </row>
    <row r="224" customFormat="false" ht="19.5" hidden="false" customHeight="true" outlineLevel="0" collapsed="false">
      <c r="A224" s="27" t="s">
        <v>3353</v>
      </c>
      <c r="B224" s="27" t="s">
        <v>3088</v>
      </c>
      <c r="C224" s="27" t="s">
        <v>3149</v>
      </c>
      <c r="D224" s="27" t="s">
        <v>3090</v>
      </c>
      <c r="E224" s="27" t="s">
        <v>411</v>
      </c>
      <c r="F224" s="9" t="s">
        <v>1613</v>
      </c>
      <c r="G224" s="27" t="s">
        <v>1510</v>
      </c>
      <c r="H224" s="27" t="s">
        <v>1334</v>
      </c>
      <c r="I224" s="27" t="s">
        <v>3151</v>
      </c>
      <c r="J224" s="11" t="n">
        <v>0.33</v>
      </c>
      <c r="K224" s="11" t="n">
        <v>-0.2</v>
      </c>
      <c r="L224" s="11" t="n">
        <v>0.33</v>
      </c>
      <c r="M224" s="11" t="n">
        <v>0.53</v>
      </c>
      <c r="N224" s="27" t="s">
        <v>3094</v>
      </c>
      <c r="O224" s="27" t="s">
        <v>86</v>
      </c>
      <c r="P224" s="27" t="s">
        <v>1580</v>
      </c>
      <c r="Q224" s="23" t="s">
        <v>1497</v>
      </c>
      <c r="R224" s="9" t="s">
        <v>3152</v>
      </c>
    </row>
    <row r="225" customFormat="false" ht="19.5" hidden="false" customHeight="true" outlineLevel="0" collapsed="false">
      <c r="A225" s="25" t="s">
        <v>3354</v>
      </c>
      <c r="B225" s="25" t="s">
        <v>3088</v>
      </c>
      <c r="C225" s="25" t="s">
        <v>3149</v>
      </c>
      <c r="D225" s="25" t="s">
        <v>3090</v>
      </c>
      <c r="E225" s="25" t="s">
        <v>416</v>
      </c>
      <c r="F225" s="12" t="s">
        <v>1615</v>
      </c>
      <c r="G225" s="25" t="s">
        <v>1510</v>
      </c>
      <c r="H225" s="25" t="s">
        <v>1334</v>
      </c>
      <c r="I225" s="25" t="s">
        <v>3151</v>
      </c>
      <c r="J225" s="14" t="n">
        <v>0.31</v>
      </c>
      <c r="K225" s="14" t="n">
        <v>0.31</v>
      </c>
      <c r="L225" s="14" t="n">
        <v>0.41</v>
      </c>
      <c r="M225" s="14" t="n">
        <v>0.1</v>
      </c>
      <c r="N225" s="25" t="s">
        <v>3094</v>
      </c>
      <c r="O225" s="25" t="s">
        <v>86</v>
      </c>
      <c r="P225" s="25" t="s">
        <v>1580</v>
      </c>
      <c r="Q225" s="22" t="s">
        <v>1497</v>
      </c>
      <c r="R225" s="12" t="s">
        <v>3152</v>
      </c>
    </row>
    <row r="226" customFormat="false" ht="19.5" hidden="false" customHeight="true" outlineLevel="0" collapsed="false">
      <c r="A226" s="27" t="s">
        <v>3355</v>
      </c>
      <c r="B226" s="27" t="s">
        <v>3088</v>
      </c>
      <c r="C226" s="27" t="s">
        <v>3149</v>
      </c>
      <c r="D226" s="27" t="s">
        <v>3090</v>
      </c>
      <c r="E226" s="27" t="s">
        <v>377</v>
      </c>
      <c r="F226" s="9" t="s">
        <v>1617</v>
      </c>
      <c r="G226" s="27" t="s">
        <v>1510</v>
      </c>
      <c r="H226" s="27" t="s">
        <v>1334</v>
      </c>
      <c r="I226" s="27" t="s">
        <v>3151</v>
      </c>
      <c r="J226" s="11" t="n">
        <v>0.33</v>
      </c>
      <c r="K226" s="11" t="n">
        <v>-0.6</v>
      </c>
      <c r="L226" s="11" t="n">
        <v>0.33</v>
      </c>
      <c r="M226" s="11" t="n">
        <v>0.93</v>
      </c>
      <c r="N226" s="27" t="s">
        <v>3094</v>
      </c>
      <c r="O226" s="27" t="s">
        <v>86</v>
      </c>
      <c r="P226" s="27" t="s">
        <v>1580</v>
      </c>
      <c r="Q226" s="23" t="s">
        <v>1497</v>
      </c>
      <c r="R226" s="9" t="s">
        <v>3152</v>
      </c>
    </row>
    <row r="227" customFormat="false" ht="19.5" hidden="false" customHeight="true" outlineLevel="0" collapsed="false">
      <c r="A227" s="25" t="s">
        <v>3356</v>
      </c>
      <c r="B227" s="25" t="s">
        <v>3088</v>
      </c>
      <c r="C227" s="25" t="s">
        <v>3149</v>
      </c>
      <c r="D227" s="25" t="s">
        <v>3090</v>
      </c>
      <c r="E227" s="25" t="s">
        <v>420</v>
      </c>
      <c r="F227" s="12" t="s">
        <v>1619</v>
      </c>
      <c r="G227" s="25" t="s">
        <v>1510</v>
      </c>
      <c r="H227" s="25" t="s">
        <v>1334</v>
      </c>
      <c r="I227" s="25" t="s">
        <v>3151</v>
      </c>
      <c r="J227" s="14" t="n">
        <v>0.2</v>
      </c>
      <c r="K227" s="14" t="n">
        <v>-0.63</v>
      </c>
      <c r="L227" s="14" t="n">
        <v>0.21</v>
      </c>
      <c r="M227" s="14" t="n">
        <v>0.84</v>
      </c>
      <c r="N227" s="25" t="s">
        <v>3094</v>
      </c>
      <c r="O227" s="25" t="s">
        <v>86</v>
      </c>
      <c r="P227" s="25" t="s">
        <v>1580</v>
      </c>
      <c r="Q227" s="22" t="s">
        <v>1497</v>
      </c>
      <c r="R227" s="12" t="s">
        <v>3152</v>
      </c>
    </row>
    <row r="228" customFormat="false" ht="19.5" hidden="false" customHeight="true" outlineLevel="0" collapsed="false">
      <c r="A228" s="27" t="s">
        <v>3357</v>
      </c>
      <c r="B228" s="27" t="s">
        <v>3088</v>
      </c>
      <c r="C228" s="27" t="s">
        <v>3149</v>
      </c>
      <c r="D228" s="27" t="s">
        <v>3090</v>
      </c>
      <c r="E228" s="27" t="s">
        <v>250</v>
      </c>
      <c r="F228" s="9" t="s">
        <v>1621</v>
      </c>
      <c r="G228" s="27" t="s">
        <v>1510</v>
      </c>
      <c r="H228" s="27" t="s">
        <v>1334</v>
      </c>
      <c r="I228" s="27" t="s">
        <v>3151</v>
      </c>
      <c r="J228" s="11" t="n">
        <v>0.3</v>
      </c>
      <c r="K228" s="30"/>
      <c r="L228" s="30"/>
      <c r="M228" s="30"/>
      <c r="N228" s="27" t="s">
        <v>3094</v>
      </c>
      <c r="O228" s="27" t="s">
        <v>86</v>
      </c>
      <c r="P228" s="27" t="s">
        <v>1580</v>
      </c>
      <c r="Q228" s="23" t="s">
        <v>1497</v>
      </c>
      <c r="R228" s="9" t="s">
        <v>3152</v>
      </c>
    </row>
    <row r="229" customFormat="false" ht="19.5" hidden="false" customHeight="true" outlineLevel="0" collapsed="false">
      <c r="A229" s="25" t="s">
        <v>3358</v>
      </c>
      <c r="B229" s="25" t="s">
        <v>3088</v>
      </c>
      <c r="C229" s="25" t="s">
        <v>3149</v>
      </c>
      <c r="D229" s="25" t="s">
        <v>3090</v>
      </c>
      <c r="E229" s="25" t="s">
        <v>312</v>
      </c>
      <c r="F229" s="12" t="s">
        <v>3213</v>
      </c>
      <c r="G229" s="25" t="s">
        <v>1510</v>
      </c>
      <c r="H229" s="25" t="s">
        <v>1334</v>
      </c>
      <c r="I229" s="25" t="s">
        <v>3151</v>
      </c>
      <c r="J229" s="14" t="n">
        <v>0.46</v>
      </c>
      <c r="K229" s="14" t="n">
        <v>-0.45</v>
      </c>
      <c r="L229" s="14" t="n">
        <v>0.67</v>
      </c>
      <c r="M229" s="14" t="n">
        <v>1.12</v>
      </c>
      <c r="N229" s="25" t="s">
        <v>3094</v>
      </c>
      <c r="O229" s="25" t="s">
        <v>86</v>
      </c>
      <c r="P229" s="25" t="s">
        <v>1580</v>
      </c>
      <c r="Q229" s="22" t="s">
        <v>1497</v>
      </c>
      <c r="R229" s="12" t="s">
        <v>3214</v>
      </c>
    </row>
    <row r="230" customFormat="false" ht="19.5" hidden="false" customHeight="true" outlineLevel="0" collapsed="false">
      <c r="A230" s="27" t="s">
        <v>3359</v>
      </c>
      <c r="B230" s="27" t="s">
        <v>3088</v>
      </c>
      <c r="C230" s="27" t="s">
        <v>3149</v>
      </c>
      <c r="D230" s="27" t="s">
        <v>3090</v>
      </c>
      <c r="E230" s="27" t="s">
        <v>226</v>
      </c>
      <c r="F230" s="9" t="s">
        <v>1623</v>
      </c>
      <c r="G230" s="27" t="s">
        <v>1510</v>
      </c>
      <c r="H230" s="27" t="s">
        <v>1334</v>
      </c>
      <c r="I230" s="27" t="s">
        <v>3151</v>
      </c>
      <c r="J230" s="11" t="n">
        <v>0.24</v>
      </c>
      <c r="K230" s="11" t="n">
        <v>0.1</v>
      </c>
      <c r="L230" s="11" t="n">
        <v>0.24</v>
      </c>
      <c r="M230" s="11" t="n">
        <v>0.14</v>
      </c>
      <c r="N230" s="27" t="s">
        <v>3094</v>
      </c>
      <c r="O230" s="27" t="s">
        <v>86</v>
      </c>
      <c r="P230" s="27" t="s">
        <v>1580</v>
      </c>
      <c r="Q230" s="23" t="s">
        <v>1497</v>
      </c>
      <c r="R230" s="9" t="s">
        <v>3152</v>
      </c>
    </row>
    <row r="231" customFormat="false" ht="19.5" hidden="false" customHeight="true" outlineLevel="0" collapsed="false">
      <c r="A231" s="25" t="s">
        <v>3360</v>
      </c>
      <c r="B231" s="25" t="s">
        <v>3088</v>
      </c>
      <c r="C231" s="25" t="s">
        <v>3149</v>
      </c>
      <c r="D231" s="25" t="s">
        <v>3090</v>
      </c>
      <c r="E231" s="25" t="s">
        <v>319</v>
      </c>
      <c r="F231" s="12" t="s">
        <v>3217</v>
      </c>
      <c r="G231" s="25" t="s">
        <v>1510</v>
      </c>
      <c r="H231" s="25" t="s">
        <v>1334</v>
      </c>
      <c r="I231" s="25" t="s">
        <v>3151</v>
      </c>
      <c r="J231" s="14" t="n">
        <v>0.6</v>
      </c>
      <c r="K231" s="14" t="n">
        <v>-0.48</v>
      </c>
      <c r="L231" s="14" t="n">
        <v>0.6</v>
      </c>
      <c r="M231" s="14" t="n">
        <v>1.08</v>
      </c>
      <c r="N231" s="25" t="s">
        <v>3094</v>
      </c>
      <c r="O231" s="25" t="s">
        <v>86</v>
      </c>
      <c r="P231" s="25" t="s">
        <v>1580</v>
      </c>
      <c r="Q231" s="22" t="s">
        <v>1497</v>
      </c>
      <c r="R231" s="12" t="s">
        <v>3214</v>
      </c>
    </row>
    <row r="232" customFormat="false" ht="19.5" hidden="false" customHeight="true" outlineLevel="0" collapsed="false">
      <c r="A232" s="27" t="s">
        <v>3361</v>
      </c>
      <c r="B232" s="27" t="s">
        <v>3088</v>
      </c>
      <c r="C232" s="27" t="s">
        <v>3149</v>
      </c>
      <c r="D232" s="27" t="s">
        <v>3090</v>
      </c>
      <c r="E232" s="27" t="s">
        <v>292</v>
      </c>
      <c r="F232" s="9" t="s">
        <v>3219</v>
      </c>
      <c r="G232" s="27" t="s">
        <v>1510</v>
      </c>
      <c r="H232" s="27" t="s">
        <v>1334</v>
      </c>
      <c r="I232" s="27" t="s">
        <v>3151</v>
      </c>
      <c r="J232" s="11" t="n">
        <v>0.76</v>
      </c>
      <c r="K232" s="11" t="n">
        <v>-0.5</v>
      </c>
      <c r="L232" s="11" t="n">
        <v>0.84</v>
      </c>
      <c r="M232" s="11" t="n">
        <v>1.34</v>
      </c>
      <c r="N232" s="27" t="s">
        <v>3094</v>
      </c>
      <c r="O232" s="27" t="s">
        <v>86</v>
      </c>
      <c r="P232" s="27" t="s">
        <v>1580</v>
      </c>
      <c r="Q232" s="23" t="s">
        <v>1497</v>
      </c>
      <c r="R232" s="9" t="s">
        <v>3214</v>
      </c>
    </row>
    <row r="233" customFormat="false" ht="19.5" hidden="false" customHeight="true" outlineLevel="0" collapsed="false">
      <c r="A233" s="25" t="s">
        <v>3362</v>
      </c>
      <c r="B233" s="25" t="s">
        <v>3088</v>
      </c>
      <c r="C233" s="25" t="s">
        <v>3149</v>
      </c>
      <c r="D233" s="25" t="s">
        <v>3090</v>
      </c>
      <c r="E233" s="25" t="s">
        <v>215</v>
      </c>
      <c r="F233" s="12" t="s">
        <v>1625</v>
      </c>
      <c r="G233" s="25" t="s">
        <v>1510</v>
      </c>
      <c r="H233" s="25" t="s">
        <v>1334</v>
      </c>
      <c r="I233" s="25" t="s">
        <v>3151</v>
      </c>
      <c r="J233" s="14" t="n">
        <v>0.37</v>
      </c>
      <c r="K233" s="29"/>
      <c r="L233" s="29"/>
      <c r="M233" s="29"/>
      <c r="N233" s="25" t="s">
        <v>3094</v>
      </c>
      <c r="O233" s="25" t="s">
        <v>86</v>
      </c>
      <c r="P233" s="25" t="s">
        <v>1580</v>
      </c>
      <c r="Q233" s="22" t="s">
        <v>1497</v>
      </c>
      <c r="R233" s="12" t="s">
        <v>3152</v>
      </c>
    </row>
    <row r="234" customFormat="false" ht="19.5" hidden="false" customHeight="true" outlineLevel="0" collapsed="false">
      <c r="A234" s="27" t="s">
        <v>3363</v>
      </c>
      <c r="B234" s="27" t="s">
        <v>3088</v>
      </c>
      <c r="C234" s="27" t="s">
        <v>3149</v>
      </c>
      <c r="D234" s="27" t="s">
        <v>3090</v>
      </c>
      <c r="E234" s="27" t="s">
        <v>257</v>
      </c>
      <c r="F234" s="9" t="s">
        <v>1627</v>
      </c>
      <c r="G234" s="27" t="s">
        <v>1510</v>
      </c>
      <c r="H234" s="27" t="s">
        <v>1334</v>
      </c>
      <c r="I234" s="27" t="s">
        <v>3151</v>
      </c>
      <c r="J234" s="11" t="n">
        <v>0.35</v>
      </c>
      <c r="K234" s="11" t="n">
        <v>0.25</v>
      </c>
      <c r="L234" s="11" t="n">
        <v>0.35</v>
      </c>
      <c r="M234" s="11" t="n">
        <v>0.1</v>
      </c>
      <c r="N234" s="27" t="s">
        <v>3094</v>
      </c>
      <c r="O234" s="27" t="s">
        <v>86</v>
      </c>
      <c r="P234" s="27" t="s">
        <v>1580</v>
      </c>
      <c r="Q234" s="23" t="s">
        <v>1497</v>
      </c>
      <c r="R234" s="9" t="s">
        <v>3152</v>
      </c>
    </row>
    <row r="235" customFormat="false" ht="19.5" hidden="false" customHeight="true" outlineLevel="0" collapsed="false">
      <c r="A235" s="25" t="s">
        <v>3364</v>
      </c>
      <c r="B235" s="25" t="s">
        <v>3088</v>
      </c>
      <c r="C235" s="25" t="s">
        <v>3149</v>
      </c>
      <c r="D235" s="25" t="s">
        <v>3090</v>
      </c>
      <c r="E235" s="25" t="s">
        <v>334</v>
      </c>
      <c r="F235" s="12" t="s">
        <v>3186</v>
      </c>
      <c r="G235" s="25" t="s">
        <v>1532</v>
      </c>
      <c r="H235" s="25" t="s">
        <v>1334</v>
      </c>
      <c r="I235" s="25" t="s">
        <v>3151</v>
      </c>
      <c r="J235" s="14" t="n">
        <v>0.3</v>
      </c>
      <c r="K235" s="14" t="n">
        <v>0.3</v>
      </c>
      <c r="L235" s="14" t="n">
        <v>0.35</v>
      </c>
      <c r="M235" s="14" t="n">
        <v>0.05</v>
      </c>
      <c r="N235" s="25" t="s">
        <v>3094</v>
      </c>
      <c r="O235" s="25" t="s">
        <v>86</v>
      </c>
      <c r="P235" s="25" t="s">
        <v>1580</v>
      </c>
      <c r="Q235" s="22" t="s">
        <v>1517</v>
      </c>
      <c r="R235" s="12" t="s">
        <v>3187</v>
      </c>
    </row>
    <row r="236" customFormat="false" ht="19.5" hidden="false" customHeight="true" outlineLevel="0" collapsed="false">
      <c r="A236" s="27" t="s">
        <v>3365</v>
      </c>
      <c r="B236" s="27" t="s">
        <v>3088</v>
      </c>
      <c r="C236" s="27" t="s">
        <v>3149</v>
      </c>
      <c r="D236" s="27" t="s">
        <v>3090</v>
      </c>
      <c r="E236" s="27" t="s">
        <v>328</v>
      </c>
      <c r="F236" s="9" t="s">
        <v>3189</v>
      </c>
      <c r="G236" s="27" t="s">
        <v>1532</v>
      </c>
      <c r="H236" s="27" t="s">
        <v>1334</v>
      </c>
      <c r="I236" s="27" t="s">
        <v>3151</v>
      </c>
      <c r="J236" s="11" t="n">
        <v>0.58</v>
      </c>
      <c r="K236" s="11" t="n">
        <v>-0.13</v>
      </c>
      <c r="L236" s="11" t="n">
        <v>0.79</v>
      </c>
      <c r="M236" s="11" t="n">
        <v>0.92</v>
      </c>
      <c r="N236" s="27" t="s">
        <v>3094</v>
      </c>
      <c r="O236" s="27" t="s">
        <v>86</v>
      </c>
      <c r="P236" s="27" t="s">
        <v>1580</v>
      </c>
      <c r="Q236" s="23" t="s">
        <v>1517</v>
      </c>
      <c r="R236" s="9" t="s">
        <v>3190</v>
      </c>
    </row>
    <row r="237" customFormat="false" ht="19.5" hidden="false" customHeight="true" outlineLevel="0" collapsed="false">
      <c r="A237" s="25" t="s">
        <v>3366</v>
      </c>
      <c r="B237" s="25" t="s">
        <v>3088</v>
      </c>
      <c r="C237" s="25" t="s">
        <v>3149</v>
      </c>
      <c r="D237" s="25" t="s">
        <v>3090</v>
      </c>
      <c r="E237" s="25" t="s">
        <v>466</v>
      </c>
      <c r="F237" s="12" t="s">
        <v>1578</v>
      </c>
      <c r="G237" s="25" t="s">
        <v>1532</v>
      </c>
      <c r="H237" s="25" t="s">
        <v>1334</v>
      </c>
      <c r="I237" s="25" t="s">
        <v>3151</v>
      </c>
      <c r="J237" s="29"/>
      <c r="K237" s="14" t="n">
        <v>-0.4</v>
      </c>
      <c r="L237" s="14" t="n">
        <v>1.16</v>
      </c>
      <c r="M237" s="14" t="n">
        <v>1.56</v>
      </c>
      <c r="N237" s="25" t="s">
        <v>3094</v>
      </c>
      <c r="O237" s="25" t="s">
        <v>86</v>
      </c>
      <c r="P237" s="25" t="s">
        <v>1580</v>
      </c>
      <c r="Q237" s="22" t="s">
        <v>1517</v>
      </c>
      <c r="R237" s="12" t="s">
        <v>3155</v>
      </c>
    </row>
    <row r="238" customFormat="false" ht="19.5" hidden="false" customHeight="true" outlineLevel="0" collapsed="false">
      <c r="A238" s="27" t="s">
        <v>3367</v>
      </c>
      <c r="B238" s="27" t="s">
        <v>3088</v>
      </c>
      <c r="C238" s="27" t="s">
        <v>3149</v>
      </c>
      <c r="D238" s="27" t="s">
        <v>3090</v>
      </c>
      <c r="E238" s="27" t="s">
        <v>492</v>
      </c>
      <c r="F238" s="9" t="s">
        <v>1583</v>
      </c>
      <c r="G238" s="27" t="s">
        <v>1532</v>
      </c>
      <c r="H238" s="27" t="s">
        <v>1334</v>
      </c>
      <c r="I238" s="27" t="s">
        <v>3151</v>
      </c>
      <c r="J238" s="11" t="n">
        <v>0.54</v>
      </c>
      <c r="K238" s="11" t="n">
        <v>0.45</v>
      </c>
      <c r="L238" s="11" t="n">
        <v>0.54</v>
      </c>
      <c r="M238" s="11" t="n">
        <v>0.09</v>
      </c>
      <c r="N238" s="27" t="s">
        <v>3094</v>
      </c>
      <c r="O238" s="27" t="s">
        <v>86</v>
      </c>
      <c r="P238" s="27" t="s">
        <v>1580</v>
      </c>
      <c r="Q238" s="23" t="s">
        <v>1517</v>
      </c>
      <c r="R238" s="9" t="s">
        <v>3155</v>
      </c>
    </row>
    <row r="239" customFormat="false" ht="19.5" hidden="false" customHeight="true" outlineLevel="0" collapsed="false">
      <c r="A239" s="25" t="s">
        <v>3368</v>
      </c>
      <c r="B239" s="25" t="s">
        <v>3088</v>
      </c>
      <c r="C239" s="25" t="s">
        <v>3149</v>
      </c>
      <c r="D239" s="25" t="s">
        <v>3090</v>
      </c>
      <c r="E239" s="25" t="s">
        <v>473</v>
      </c>
      <c r="F239" s="12" t="s">
        <v>1585</v>
      </c>
      <c r="G239" s="25" t="s">
        <v>1532</v>
      </c>
      <c r="H239" s="25" t="s">
        <v>1334</v>
      </c>
      <c r="I239" s="25" t="s">
        <v>3151</v>
      </c>
      <c r="J239" s="14" t="n">
        <v>0.38</v>
      </c>
      <c r="K239" s="14" t="n">
        <v>0.24</v>
      </c>
      <c r="L239" s="14" t="n">
        <v>0.38</v>
      </c>
      <c r="M239" s="14" t="n">
        <v>0.14</v>
      </c>
      <c r="N239" s="25" t="s">
        <v>3094</v>
      </c>
      <c r="O239" s="25" t="s">
        <v>86</v>
      </c>
      <c r="P239" s="25" t="s">
        <v>1580</v>
      </c>
      <c r="Q239" s="22" t="s">
        <v>1517</v>
      </c>
      <c r="R239" s="12" t="s">
        <v>3155</v>
      </c>
    </row>
    <row r="240" customFormat="false" ht="19.5" hidden="false" customHeight="true" outlineLevel="0" collapsed="false">
      <c r="A240" s="27" t="s">
        <v>3369</v>
      </c>
      <c r="B240" s="27" t="s">
        <v>3088</v>
      </c>
      <c r="C240" s="27" t="s">
        <v>3149</v>
      </c>
      <c r="D240" s="27" t="s">
        <v>3090</v>
      </c>
      <c r="E240" s="27" t="s">
        <v>459</v>
      </c>
      <c r="F240" s="9" t="s">
        <v>1587</v>
      </c>
      <c r="G240" s="27" t="s">
        <v>1532</v>
      </c>
      <c r="H240" s="27" t="s">
        <v>1334</v>
      </c>
      <c r="I240" s="27" t="s">
        <v>3151</v>
      </c>
      <c r="J240" s="11" t="n">
        <v>0.65</v>
      </c>
      <c r="K240" s="11" t="n">
        <v>-0.57</v>
      </c>
      <c r="L240" s="11" t="n">
        <v>0.65</v>
      </c>
      <c r="M240" s="11" t="n">
        <v>1.22</v>
      </c>
      <c r="N240" s="27" t="s">
        <v>3094</v>
      </c>
      <c r="O240" s="27" t="s">
        <v>86</v>
      </c>
      <c r="P240" s="27" t="s">
        <v>1580</v>
      </c>
      <c r="Q240" s="23" t="s">
        <v>1517</v>
      </c>
      <c r="R240" s="9" t="s">
        <v>3155</v>
      </c>
    </row>
    <row r="241" customFormat="false" ht="19.5" hidden="false" customHeight="true" outlineLevel="0" collapsed="false">
      <c r="A241" s="25" t="s">
        <v>3370</v>
      </c>
      <c r="B241" s="25" t="s">
        <v>3088</v>
      </c>
      <c r="C241" s="25" t="s">
        <v>3149</v>
      </c>
      <c r="D241" s="25" t="s">
        <v>3090</v>
      </c>
      <c r="E241" s="25" t="s">
        <v>486</v>
      </c>
      <c r="F241" s="12" t="s">
        <v>1589</v>
      </c>
      <c r="G241" s="25" t="s">
        <v>1532</v>
      </c>
      <c r="H241" s="25" t="s">
        <v>1334</v>
      </c>
      <c r="I241" s="25" t="s">
        <v>3151</v>
      </c>
      <c r="J241" s="14" t="n">
        <v>0.64</v>
      </c>
      <c r="K241" s="14" t="n">
        <v>-0.05</v>
      </c>
      <c r="L241" s="14" t="n">
        <v>0.64</v>
      </c>
      <c r="M241" s="14" t="n">
        <v>0.69</v>
      </c>
      <c r="N241" s="25" t="s">
        <v>3094</v>
      </c>
      <c r="O241" s="25" t="s">
        <v>86</v>
      </c>
      <c r="P241" s="25" t="s">
        <v>1580</v>
      </c>
      <c r="Q241" s="22" t="s">
        <v>1517</v>
      </c>
      <c r="R241" s="12" t="s">
        <v>3155</v>
      </c>
    </row>
    <row r="242" customFormat="false" ht="19.5" hidden="false" customHeight="true" outlineLevel="0" collapsed="false">
      <c r="A242" s="27" t="s">
        <v>3371</v>
      </c>
      <c r="B242" s="27" t="s">
        <v>3088</v>
      </c>
      <c r="C242" s="27" t="s">
        <v>3149</v>
      </c>
      <c r="D242" s="27" t="s">
        <v>3090</v>
      </c>
      <c r="E242" s="27" t="s">
        <v>479</v>
      </c>
      <c r="F242" s="9" t="s">
        <v>1591</v>
      </c>
      <c r="G242" s="27" t="s">
        <v>1532</v>
      </c>
      <c r="H242" s="27" t="s">
        <v>1334</v>
      </c>
      <c r="I242" s="27" t="s">
        <v>3151</v>
      </c>
      <c r="J242" s="11" t="n">
        <v>0.36</v>
      </c>
      <c r="K242" s="11" t="n">
        <v>0.23</v>
      </c>
      <c r="L242" s="11" t="n">
        <v>0.36</v>
      </c>
      <c r="M242" s="11" t="n">
        <v>0.13</v>
      </c>
      <c r="N242" s="27" t="s">
        <v>3094</v>
      </c>
      <c r="O242" s="27" t="s">
        <v>86</v>
      </c>
      <c r="P242" s="27" t="s">
        <v>1580</v>
      </c>
      <c r="Q242" s="23" t="s">
        <v>1517</v>
      </c>
      <c r="R242" s="9" t="s">
        <v>3155</v>
      </c>
    </row>
    <row r="243" customFormat="false" ht="19.5" hidden="false" customHeight="true" outlineLevel="0" collapsed="false">
      <c r="A243" s="25" t="s">
        <v>3372</v>
      </c>
      <c r="B243" s="25" t="s">
        <v>3088</v>
      </c>
      <c r="C243" s="25" t="s">
        <v>3149</v>
      </c>
      <c r="D243" s="25" t="s">
        <v>3090</v>
      </c>
      <c r="E243" s="25" t="s">
        <v>233</v>
      </c>
      <c r="F243" s="12" t="s">
        <v>1593</v>
      </c>
      <c r="G243" s="25" t="s">
        <v>1532</v>
      </c>
      <c r="H243" s="25" t="s">
        <v>1334</v>
      </c>
      <c r="I243" s="25" t="s">
        <v>3151</v>
      </c>
      <c r="J243" s="14" t="n">
        <v>0.4</v>
      </c>
      <c r="K243" s="14" t="n">
        <v>0.4</v>
      </c>
      <c r="L243" s="14" t="n">
        <v>0.4</v>
      </c>
      <c r="M243" s="14" t="n">
        <v>0</v>
      </c>
      <c r="N243" s="25" t="s">
        <v>3094</v>
      </c>
      <c r="O243" s="25" t="s">
        <v>86</v>
      </c>
      <c r="P243" s="25" t="s">
        <v>1580</v>
      </c>
      <c r="Q243" s="22" t="s">
        <v>1517</v>
      </c>
      <c r="R243" s="12" t="s">
        <v>3162</v>
      </c>
    </row>
    <row r="244" customFormat="false" ht="19.5" hidden="false" customHeight="true" outlineLevel="0" collapsed="false">
      <c r="A244" s="27" t="s">
        <v>3373</v>
      </c>
      <c r="B244" s="27" t="s">
        <v>3088</v>
      </c>
      <c r="C244" s="27" t="s">
        <v>3149</v>
      </c>
      <c r="D244" s="27" t="s">
        <v>3090</v>
      </c>
      <c r="E244" s="27" t="s">
        <v>448</v>
      </c>
      <c r="F244" s="9" t="s">
        <v>1595</v>
      </c>
      <c r="G244" s="27" t="s">
        <v>1532</v>
      </c>
      <c r="H244" s="27" t="s">
        <v>1334</v>
      </c>
      <c r="I244" s="27" t="s">
        <v>3151</v>
      </c>
      <c r="J244" s="11" t="n">
        <v>0.33</v>
      </c>
      <c r="K244" s="30"/>
      <c r="L244" s="30"/>
      <c r="M244" s="30"/>
      <c r="N244" s="27" t="s">
        <v>3094</v>
      </c>
      <c r="O244" s="27" t="s">
        <v>86</v>
      </c>
      <c r="P244" s="27" t="s">
        <v>1580</v>
      </c>
      <c r="Q244" s="23" t="s">
        <v>1517</v>
      </c>
      <c r="R244" s="9" t="s">
        <v>3152</v>
      </c>
    </row>
    <row r="245" customFormat="false" ht="19.5" hidden="false" customHeight="true" outlineLevel="0" collapsed="false">
      <c r="A245" s="25" t="s">
        <v>3374</v>
      </c>
      <c r="B245" s="25" t="s">
        <v>3088</v>
      </c>
      <c r="C245" s="25" t="s">
        <v>3149</v>
      </c>
      <c r="D245" s="25" t="s">
        <v>3090</v>
      </c>
      <c r="E245" s="25" t="s">
        <v>455</v>
      </c>
      <c r="F245" s="12" t="s">
        <v>1597</v>
      </c>
      <c r="G245" s="25" t="s">
        <v>1532</v>
      </c>
      <c r="H245" s="25" t="s">
        <v>1334</v>
      </c>
      <c r="I245" s="25" t="s">
        <v>3151</v>
      </c>
      <c r="J245" s="14" t="n">
        <v>0.34</v>
      </c>
      <c r="K245" s="29"/>
      <c r="L245" s="29"/>
      <c r="M245" s="29"/>
      <c r="N245" s="25" t="s">
        <v>3094</v>
      </c>
      <c r="O245" s="25" t="s">
        <v>86</v>
      </c>
      <c r="P245" s="25" t="s">
        <v>1580</v>
      </c>
      <c r="Q245" s="22" t="s">
        <v>1517</v>
      </c>
      <c r="R245" s="12" t="s">
        <v>3152</v>
      </c>
    </row>
    <row r="246" customFormat="false" ht="19.5" hidden="false" customHeight="true" outlineLevel="0" collapsed="false">
      <c r="A246" s="27" t="s">
        <v>3375</v>
      </c>
      <c r="B246" s="27" t="s">
        <v>3088</v>
      </c>
      <c r="C246" s="27" t="s">
        <v>3149</v>
      </c>
      <c r="D246" s="27" t="s">
        <v>3090</v>
      </c>
      <c r="E246" s="27" t="s">
        <v>439</v>
      </c>
      <c r="F246" s="9" t="s">
        <v>1599</v>
      </c>
      <c r="G246" s="27" t="s">
        <v>1532</v>
      </c>
      <c r="H246" s="27" t="s">
        <v>1334</v>
      </c>
      <c r="I246" s="27" t="s">
        <v>3151</v>
      </c>
      <c r="J246" s="11" t="n">
        <v>0.35</v>
      </c>
      <c r="K246" s="30"/>
      <c r="L246" s="30"/>
      <c r="M246" s="30"/>
      <c r="N246" s="27" t="s">
        <v>3094</v>
      </c>
      <c r="O246" s="27" t="s">
        <v>86</v>
      </c>
      <c r="P246" s="27" t="s">
        <v>1580</v>
      </c>
      <c r="Q246" s="23" t="s">
        <v>1517</v>
      </c>
      <c r="R246" s="9" t="s">
        <v>3152</v>
      </c>
    </row>
    <row r="247" customFormat="false" ht="19.5" hidden="false" customHeight="true" outlineLevel="0" collapsed="false">
      <c r="A247" s="25" t="s">
        <v>3376</v>
      </c>
      <c r="B247" s="25" t="s">
        <v>3088</v>
      </c>
      <c r="C247" s="25" t="s">
        <v>3149</v>
      </c>
      <c r="D247" s="25" t="s">
        <v>3090</v>
      </c>
      <c r="E247" s="25" t="s">
        <v>426</v>
      </c>
      <c r="F247" s="12" t="s">
        <v>1601</v>
      </c>
      <c r="G247" s="25" t="s">
        <v>1532</v>
      </c>
      <c r="H247" s="25" t="s">
        <v>1334</v>
      </c>
      <c r="I247" s="25" t="s">
        <v>3151</v>
      </c>
      <c r="J247" s="14" t="n">
        <v>0.33</v>
      </c>
      <c r="K247" s="14" t="n">
        <v>0.04</v>
      </c>
      <c r="L247" s="14" t="n">
        <v>0.33</v>
      </c>
      <c r="M247" s="14" t="n">
        <v>0.29</v>
      </c>
      <c r="N247" s="25" t="s">
        <v>3094</v>
      </c>
      <c r="O247" s="25" t="s">
        <v>86</v>
      </c>
      <c r="P247" s="25" t="s">
        <v>1580</v>
      </c>
      <c r="Q247" s="22" t="s">
        <v>1517</v>
      </c>
      <c r="R247" s="12" t="s">
        <v>3152</v>
      </c>
    </row>
    <row r="248" customFormat="false" ht="19.5" hidden="false" customHeight="true" outlineLevel="0" collapsed="false">
      <c r="A248" s="27" t="s">
        <v>3377</v>
      </c>
      <c r="B248" s="27" t="s">
        <v>3088</v>
      </c>
      <c r="C248" s="27" t="s">
        <v>3149</v>
      </c>
      <c r="D248" s="27" t="s">
        <v>3090</v>
      </c>
      <c r="E248" s="27" t="s">
        <v>385</v>
      </c>
      <c r="F248" s="9" t="s">
        <v>1603</v>
      </c>
      <c r="G248" s="27" t="s">
        <v>1532</v>
      </c>
      <c r="H248" s="27" t="s">
        <v>1334</v>
      </c>
      <c r="I248" s="27" t="s">
        <v>3151</v>
      </c>
      <c r="J248" s="11" t="n">
        <v>0.34</v>
      </c>
      <c r="K248" s="11" t="n">
        <v>0.3</v>
      </c>
      <c r="L248" s="11" t="n">
        <v>0.34</v>
      </c>
      <c r="M248" s="11" t="n">
        <v>0.04</v>
      </c>
      <c r="N248" s="27" t="s">
        <v>3094</v>
      </c>
      <c r="O248" s="27" t="s">
        <v>86</v>
      </c>
      <c r="P248" s="27" t="s">
        <v>1580</v>
      </c>
      <c r="Q248" s="23" t="s">
        <v>1517</v>
      </c>
      <c r="R248" s="9" t="s">
        <v>3152</v>
      </c>
    </row>
    <row r="249" customFormat="false" ht="19.5" hidden="false" customHeight="true" outlineLevel="0" collapsed="false">
      <c r="A249" s="25" t="s">
        <v>3378</v>
      </c>
      <c r="B249" s="25" t="s">
        <v>3088</v>
      </c>
      <c r="C249" s="25" t="s">
        <v>3149</v>
      </c>
      <c r="D249" s="25" t="s">
        <v>3090</v>
      </c>
      <c r="E249" s="25" t="s">
        <v>392</v>
      </c>
      <c r="F249" s="12" t="s">
        <v>1605</v>
      </c>
      <c r="G249" s="25" t="s">
        <v>1532</v>
      </c>
      <c r="H249" s="25" t="s">
        <v>1334</v>
      </c>
      <c r="I249" s="25" t="s">
        <v>3151</v>
      </c>
      <c r="J249" s="14" t="n">
        <v>0.34</v>
      </c>
      <c r="K249" s="14" t="n">
        <v>0.3</v>
      </c>
      <c r="L249" s="14" t="n">
        <v>0.34</v>
      </c>
      <c r="M249" s="14" t="n">
        <v>0.04</v>
      </c>
      <c r="N249" s="25" t="s">
        <v>3094</v>
      </c>
      <c r="O249" s="25" t="s">
        <v>86</v>
      </c>
      <c r="P249" s="25" t="s">
        <v>1580</v>
      </c>
      <c r="Q249" s="22" t="s">
        <v>1517</v>
      </c>
      <c r="R249" s="12" t="s">
        <v>3152</v>
      </c>
    </row>
    <row r="250" customFormat="false" ht="19.5" hidden="false" customHeight="true" outlineLevel="0" collapsed="false">
      <c r="A250" s="27" t="s">
        <v>3379</v>
      </c>
      <c r="B250" s="27" t="s">
        <v>3088</v>
      </c>
      <c r="C250" s="27" t="s">
        <v>3149</v>
      </c>
      <c r="D250" s="27" t="s">
        <v>3090</v>
      </c>
      <c r="E250" s="27" t="s">
        <v>399</v>
      </c>
      <c r="F250" s="9" t="s">
        <v>1607</v>
      </c>
      <c r="G250" s="27" t="s">
        <v>1532</v>
      </c>
      <c r="H250" s="27" t="s">
        <v>1334</v>
      </c>
      <c r="I250" s="27" t="s">
        <v>3151</v>
      </c>
      <c r="J250" s="11" t="n">
        <v>0.34</v>
      </c>
      <c r="K250" s="11" t="n">
        <v>0.29</v>
      </c>
      <c r="L250" s="11" t="n">
        <v>0.34</v>
      </c>
      <c r="M250" s="11" t="n">
        <v>0.05</v>
      </c>
      <c r="N250" s="27" t="s">
        <v>3094</v>
      </c>
      <c r="O250" s="27" t="s">
        <v>86</v>
      </c>
      <c r="P250" s="27" t="s">
        <v>1580</v>
      </c>
      <c r="Q250" s="23" t="s">
        <v>1517</v>
      </c>
      <c r="R250" s="9" t="s">
        <v>3152</v>
      </c>
    </row>
    <row r="251" customFormat="false" ht="19.5" hidden="false" customHeight="true" outlineLevel="0" collapsed="false">
      <c r="A251" s="25" t="s">
        <v>3380</v>
      </c>
      <c r="B251" s="25" t="s">
        <v>3088</v>
      </c>
      <c r="C251" s="25" t="s">
        <v>3149</v>
      </c>
      <c r="D251" s="25" t="s">
        <v>3090</v>
      </c>
      <c r="E251" s="25" t="s">
        <v>433</v>
      </c>
      <c r="F251" s="12" t="s">
        <v>1609</v>
      </c>
      <c r="G251" s="25" t="s">
        <v>1532</v>
      </c>
      <c r="H251" s="25" t="s">
        <v>1334</v>
      </c>
      <c r="I251" s="25" t="s">
        <v>3151</v>
      </c>
      <c r="J251" s="14" t="n">
        <v>0.34</v>
      </c>
      <c r="K251" s="29"/>
      <c r="L251" s="29"/>
      <c r="M251" s="29"/>
      <c r="N251" s="25" t="s">
        <v>3094</v>
      </c>
      <c r="O251" s="25" t="s">
        <v>86</v>
      </c>
      <c r="P251" s="25" t="s">
        <v>1580</v>
      </c>
      <c r="Q251" s="22" t="s">
        <v>1517</v>
      </c>
      <c r="R251" s="12" t="s">
        <v>3152</v>
      </c>
    </row>
    <row r="252" customFormat="false" ht="19.5" hidden="false" customHeight="true" outlineLevel="0" collapsed="false">
      <c r="A252" s="27" t="s">
        <v>3381</v>
      </c>
      <c r="B252" s="27" t="s">
        <v>3088</v>
      </c>
      <c r="C252" s="27" t="s">
        <v>3149</v>
      </c>
      <c r="D252" s="27" t="s">
        <v>3090</v>
      </c>
      <c r="E252" s="27" t="s">
        <v>405</v>
      </c>
      <c r="F252" s="9" t="s">
        <v>1611</v>
      </c>
      <c r="G252" s="27" t="s">
        <v>1532</v>
      </c>
      <c r="H252" s="27" t="s">
        <v>1334</v>
      </c>
      <c r="I252" s="27" t="s">
        <v>3151</v>
      </c>
      <c r="J252" s="11" t="n">
        <v>0.34</v>
      </c>
      <c r="K252" s="11" t="n">
        <v>0.3</v>
      </c>
      <c r="L252" s="11" t="n">
        <v>0.34</v>
      </c>
      <c r="M252" s="11" t="n">
        <v>0.04</v>
      </c>
      <c r="N252" s="27" t="s">
        <v>3094</v>
      </c>
      <c r="O252" s="27" t="s">
        <v>86</v>
      </c>
      <c r="P252" s="27" t="s">
        <v>1580</v>
      </c>
      <c r="Q252" s="23" t="s">
        <v>1517</v>
      </c>
      <c r="R252" s="9" t="s">
        <v>3152</v>
      </c>
    </row>
    <row r="253" customFormat="false" ht="19.5" hidden="false" customHeight="true" outlineLevel="0" collapsed="false">
      <c r="A253" s="25" t="s">
        <v>3382</v>
      </c>
      <c r="B253" s="25" t="s">
        <v>3088</v>
      </c>
      <c r="C253" s="25" t="s">
        <v>3149</v>
      </c>
      <c r="D253" s="25" t="s">
        <v>3090</v>
      </c>
      <c r="E253" s="25" t="s">
        <v>411</v>
      </c>
      <c r="F253" s="12" t="s">
        <v>1613</v>
      </c>
      <c r="G253" s="25" t="s">
        <v>1532</v>
      </c>
      <c r="H253" s="25" t="s">
        <v>1334</v>
      </c>
      <c r="I253" s="25" t="s">
        <v>3151</v>
      </c>
      <c r="J253" s="14" t="n">
        <v>0.34</v>
      </c>
      <c r="K253" s="14" t="n">
        <v>0.31</v>
      </c>
      <c r="L253" s="14" t="n">
        <v>0.34</v>
      </c>
      <c r="M253" s="14" t="n">
        <v>0.03</v>
      </c>
      <c r="N253" s="25" t="s">
        <v>3094</v>
      </c>
      <c r="O253" s="25" t="s">
        <v>86</v>
      </c>
      <c r="P253" s="25" t="s">
        <v>1580</v>
      </c>
      <c r="Q253" s="22" t="s">
        <v>1517</v>
      </c>
      <c r="R253" s="12" t="s">
        <v>3152</v>
      </c>
    </row>
    <row r="254" customFormat="false" ht="19.5" hidden="false" customHeight="true" outlineLevel="0" collapsed="false">
      <c r="A254" s="27" t="s">
        <v>3383</v>
      </c>
      <c r="B254" s="27" t="s">
        <v>3088</v>
      </c>
      <c r="C254" s="27" t="s">
        <v>3149</v>
      </c>
      <c r="D254" s="27" t="s">
        <v>3090</v>
      </c>
      <c r="E254" s="27" t="s">
        <v>416</v>
      </c>
      <c r="F254" s="9" t="s">
        <v>1615</v>
      </c>
      <c r="G254" s="27" t="s">
        <v>1532</v>
      </c>
      <c r="H254" s="27" t="s">
        <v>1334</v>
      </c>
      <c r="I254" s="27" t="s">
        <v>3151</v>
      </c>
      <c r="J254" s="11" t="n">
        <v>0.35</v>
      </c>
      <c r="K254" s="11" t="n">
        <v>0.31</v>
      </c>
      <c r="L254" s="11" t="n">
        <v>0.35</v>
      </c>
      <c r="M254" s="11" t="n">
        <v>0.04</v>
      </c>
      <c r="N254" s="27" t="s">
        <v>3094</v>
      </c>
      <c r="O254" s="27" t="s">
        <v>86</v>
      </c>
      <c r="P254" s="27" t="s">
        <v>1580</v>
      </c>
      <c r="Q254" s="23" t="s">
        <v>1517</v>
      </c>
      <c r="R254" s="9" t="s">
        <v>3152</v>
      </c>
    </row>
    <row r="255" customFormat="false" ht="19.5" hidden="false" customHeight="true" outlineLevel="0" collapsed="false">
      <c r="A255" s="25" t="s">
        <v>3384</v>
      </c>
      <c r="B255" s="25" t="s">
        <v>3088</v>
      </c>
      <c r="C255" s="25" t="s">
        <v>3149</v>
      </c>
      <c r="D255" s="25" t="s">
        <v>3090</v>
      </c>
      <c r="E255" s="25" t="s">
        <v>377</v>
      </c>
      <c r="F255" s="12" t="s">
        <v>1617</v>
      </c>
      <c r="G255" s="25" t="s">
        <v>1532</v>
      </c>
      <c r="H255" s="25" t="s">
        <v>1334</v>
      </c>
      <c r="I255" s="25" t="s">
        <v>3151</v>
      </c>
      <c r="J255" s="14" t="n">
        <v>0.35</v>
      </c>
      <c r="K255" s="14" t="n">
        <v>0.31</v>
      </c>
      <c r="L255" s="14" t="n">
        <v>0.35</v>
      </c>
      <c r="M255" s="14" t="n">
        <v>0.04</v>
      </c>
      <c r="N255" s="25" t="s">
        <v>3094</v>
      </c>
      <c r="O255" s="25" t="s">
        <v>86</v>
      </c>
      <c r="P255" s="25" t="s">
        <v>1580</v>
      </c>
      <c r="Q255" s="22" t="s">
        <v>1517</v>
      </c>
      <c r="R255" s="12" t="s">
        <v>3152</v>
      </c>
    </row>
    <row r="256" customFormat="false" ht="19.5" hidden="false" customHeight="true" outlineLevel="0" collapsed="false">
      <c r="A256" s="27" t="s">
        <v>3385</v>
      </c>
      <c r="B256" s="27" t="s">
        <v>3088</v>
      </c>
      <c r="C256" s="27" t="s">
        <v>3149</v>
      </c>
      <c r="D256" s="27" t="s">
        <v>3090</v>
      </c>
      <c r="E256" s="27" t="s">
        <v>420</v>
      </c>
      <c r="F256" s="9" t="s">
        <v>1619</v>
      </c>
      <c r="G256" s="27" t="s">
        <v>1532</v>
      </c>
      <c r="H256" s="27" t="s">
        <v>1334</v>
      </c>
      <c r="I256" s="27" t="s">
        <v>3151</v>
      </c>
      <c r="J256" s="11" t="n">
        <v>0.32</v>
      </c>
      <c r="K256" s="11" t="n">
        <v>0.2</v>
      </c>
      <c r="L256" s="11" t="n">
        <v>0.32</v>
      </c>
      <c r="M256" s="11" t="n">
        <v>0.12</v>
      </c>
      <c r="N256" s="27" t="s">
        <v>3094</v>
      </c>
      <c r="O256" s="27" t="s">
        <v>86</v>
      </c>
      <c r="P256" s="27" t="s">
        <v>1580</v>
      </c>
      <c r="Q256" s="23" t="s">
        <v>1517</v>
      </c>
      <c r="R256" s="9" t="s">
        <v>3152</v>
      </c>
    </row>
    <row r="257" customFormat="false" ht="19.5" hidden="false" customHeight="true" outlineLevel="0" collapsed="false">
      <c r="A257" s="25" t="s">
        <v>3386</v>
      </c>
      <c r="B257" s="25" t="s">
        <v>3088</v>
      </c>
      <c r="C257" s="25" t="s">
        <v>3149</v>
      </c>
      <c r="D257" s="25" t="s">
        <v>3090</v>
      </c>
      <c r="E257" s="25" t="s">
        <v>250</v>
      </c>
      <c r="F257" s="12" t="s">
        <v>1621</v>
      </c>
      <c r="G257" s="25" t="s">
        <v>1532</v>
      </c>
      <c r="H257" s="25" t="s">
        <v>1334</v>
      </c>
      <c r="I257" s="25" t="s">
        <v>3151</v>
      </c>
      <c r="J257" s="14" t="n">
        <v>0.34</v>
      </c>
      <c r="K257" s="29"/>
      <c r="L257" s="29"/>
      <c r="M257" s="29"/>
      <c r="N257" s="25" t="s">
        <v>3094</v>
      </c>
      <c r="O257" s="25" t="s">
        <v>86</v>
      </c>
      <c r="P257" s="25" t="s">
        <v>1580</v>
      </c>
      <c r="Q257" s="22" t="s">
        <v>1517</v>
      </c>
      <c r="R257" s="12" t="s">
        <v>3152</v>
      </c>
    </row>
    <row r="258" customFormat="false" ht="19.5" hidden="false" customHeight="true" outlineLevel="0" collapsed="false">
      <c r="A258" s="27" t="s">
        <v>3387</v>
      </c>
      <c r="B258" s="27" t="s">
        <v>3088</v>
      </c>
      <c r="C258" s="27" t="s">
        <v>3149</v>
      </c>
      <c r="D258" s="27" t="s">
        <v>3090</v>
      </c>
      <c r="E258" s="27" t="s">
        <v>312</v>
      </c>
      <c r="F258" s="9" t="s">
        <v>3213</v>
      </c>
      <c r="G258" s="27" t="s">
        <v>1532</v>
      </c>
      <c r="H258" s="27" t="s">
        <v>1334</v>
      </c>
      <c r="I258" s="27" t="s">
        <v>3151</v>
      </c>
      <c r="J258" s="11" t="n">
        <v>0.52</v>
      </c>
      <c r="K258" s="11" t="n">
        <v>-0.64</v>
      </c>
      <c r="L258" s="11" t="n">
        <v>0.6</v>
      </c>
      <c r="M258" s="11" t="n">
        <v>1.24</v>
      </c>
      <c r="N258" s="27" t="s">
        <v>3094</v>
      </c>
      <c r="O258" s="27" t="s">
        <v>86</v>
      </c>
      <c r="P258" s="27" t="s">
        <v>1580</v>
      </c>
      <c r="Q258" s="23" t="s">
        <v>1517</v>
      </c>
      <c r="R258" s="9" t="s">
        <v>3214</v>
      </c>
    </row>
    <row r="259" customFormat="false" ht="19.5" hidden="false" customHeight="true" outlineLevel="0" collapsed="false">
      <c r="A259" s="25" t="s">
        <v>3388</v>
      </c>
      <c r="B259" s="25" t="s">
        <v>3088</v>
      </c>
      <c r="C259" s="25" t="s">
        <v>3149</v>
      </c>
      <c r="D259" s="25" t="s">
        <v>3090</v>
      </c>
      <c r="E259" s="25" t="s">
        <v>226</v>
      </c>
      <c r="F259" s="12" t="s">
        <v>1623</v>
      </c>
      <c r="G259" s="25" t="s">
        <v>1532</v>
      </c>
      <c r="H259" s="25" t="s">
        <v>1334</v>
      </c>
      <c r="I259" s="25" t="s">
        <v>3151</v>
      </c>
      <c r="J259" s="14" t="n">
        <v>0.3</v>
      </c>
      <c r="K259" s="14" t="n">
        <v>0.24</v>
      </c>
      <c r="L259" s="14" t="n">
        <v>0.3</v>
      </c>
      <c r="M259" s="14" t="n">
        <v>0.06</v>
      </c>
      <c r="N259" s="25" t="s">
        <v>3094</v>
      </c>
      <c r="O259" s="25" t="s">
        <v>86</v>
      </c>
      <c r="P259" s="25" t="s">
        <v>1580</v>
      </c>
      <c r="Q259" s="22" t="s">
        <v>1517</v>
      </c>
      <c r="R259" s="12" t="s">
        <v>3152</v>
      </c>
    </row>
    <row r="260" customFormat="false" ht="19.5" hidden="false" customHeight="true" outlineLevel="0" collapsed="false">
      <c r="A260" s="27" t="s">
        <v>3389</v>
      </c>
      <c r="B260" s="27" t="s">
        <v>3088</v>
      </c>
      <c r="C260" s="27" t="s">
        <v>3149</v>
      </c>
      <c r="D260" s="27" t="s">
        <v>3090</v>
      </c>
      <c r="E260" s="27" t="s">
        <v>319</v>
      </c>
      <c r="F260" s="9" t="s">
        <v>3217</v>
      </c>
      <c r="G260" s="27" t="s">
        <v>1532</v>
      </c>
      <c r="H260" s="27" t="s">
        <v>1334</v>
      </c>
      <c r="I260" s="27" t="s">
        <v>3151</v>
      </c>
      <c r="J260" s="11" t="n">
        <v>0.64</v>
      </c>
      <c r="K260" s="11" t="n">
        <v>0.32</v>
      </c>
      <c r="L260" s="11" t="n">
        <v>0.64</v>
      </c>
      <c r="M260" s="11" t="n">
        <v>0.32</v>
      </c>
      <c r="N260" s="27" t="s">
        <v>3094</v>
      </c>
      <c r="O260" s="27" t="s">
        <v>86</v>
      </c>
      <c r="P260" s="27" t="s">
        <v>1580</v>
      </c>
      <c r="Q260" s="23" t="s">
        <v>1517</v>
      </c>
      <c r="R260" s="9" t="s">
        <v>3214</v>
      </c>
    </row>
    <row r="261" customFormat="false" ht="19.5" hidden="false" customHeight="true" outlineLevel="0" collapsed="false">
      <c r="A261" s="25" t="s">
        <v>3390</v>
      </c>
      <c r="B261" s="25" t="s">
        <v>3088</v>
      </c>
      <c r="C261" s="25" t="s">
        <v>3149</v>
      </c>
      <c r="D261" s="25" t="s">
        <v>3090</v>
      </c>
      <c r="E261" s="25" t="s">
        <v>292</v>
      </c>
      <c r="F261" s="12" t="s">
        <v>3219</v>
      </c>
      <c r="G261" s="25" t="s">
        <v>1532</v>
      </c>
      <c r="H261" s="25" t="s">
        <v>1334</v>
      </c>
      <c r="I261" s="25" t="s">
        <v>3151</v>
      </c>
      <c r="J261" s="14" t="n">
        <v>0.77</v>
      </c>
      <c r="K261" s="14" t="n">
        <v>-0.7</v>
      </c>
      <c r="L261" s="14" t="n">
        <v>0.8</v>
      </c>
      <c r="M261" s="14" t="n">
        <v>1.5</v>
      </c>
      <c r="N261" s="25" t="s">
        <v>3094</v>
      </c>
      <c r="O261" s="25" t="s">
        <v>86</v>
      </c>
      <c r="P261" s="25" t="s">
        <v>1580</v>
      </c>
      <c r="Q261" s="22" t="s">
        <v>1517</v>
      </c>
      <c r="R261" s="12" t="s">
        <v>3214</v>
      </c>
    </row>
    <row r="262" customFormat="false" ht="19.5" hidden="false" customHeight="true" outlineLevel="0" collapsed="false">
      <c r="A262" s="27" t="s">
        <v>3391</v>
      </c>
      <c r="B262" s="27" t="s">
        <v>3088</v>
      </c>
      <c r="C262" s="27" t="s">
        <v>3149</v>
      </c>
      <c r="D262" s="27" t="s">
        <v>3090</v>
      </c>
      <c r="E262" s="27" t="s">
        <v>215</v>
      </c>
      <c r="F262" s="9" t="s">
        <v>1625</v>
      </c>
      <c r="G262" s="27" t="s">
        <v>1532</v>
      </c>
      <c r="H262" s="27" t="s">
        <v>1334</v>
      </c>
      <c r="I262" s="27" t="s">
        <v>3151</v>
      </c>
      <c r="J262" s="11" t="n">
        <v>0.35</v>
      </c>
      <c r="K262" s="30"/>
      <c r="L262" s="30"/>
      <c r="M262" s="30"/>
      <c r="N262" s="27" t="s">
        <v>3094</v>
      </c>
      <c r="O262" s="27" t="s">
        <v>86</v>
      </c>
      <c r="P262" s="27" t="s">
        <v>1580</v>
      </c>
      <c r="Q262" s="23" t="s">
        <v>1517</v>
      </c>
      <c r="R262" s="9" t="s">
        <v>3152</v>
      </c>
    </row>
    <row r="263" customFormat="false" ht="19.5" hidden="false" customHeight="true" outlineLevel="0" collapsed="false">
      <c r="A263" s="25" t="s">
        <v>3392</v>
      </c>
      <c r="B263" s="25" t="s">
        <v>3088</v>
      </c>
      <c r="C263" s="25" t="s">
        <v>3149</v>
      </c>
      <c r="D263" s="25" t="s">
        <v>3090</v>
      </c>
      <c r="E263" s="25" t="s">
        <v>257</v>
      </c>
      <c r="F263" s="12" t="s">
        <v>1627</v>
      </c>
      <c r="G263" s="25" t="s">
        <v>1532</v>
      </c>
      <c r="H263" s="25" t="s">
        <v>1334</v>
      </c>
      <c r="I263" s="25" t="s">
        <v>3151</v>
      </c>
      <c r="J263" s="14" t="n">
        <v>0.35</v>
      </c>
      <c r="K263" s="14" t="n">
        <v>0.34</v>
      </c>
      <c r="L263" s="14" t="n">
        <v>0.35</v>
      </c>
      <c r="M263" s="14" t="n">
        <v>0.01</v>
      </c>
      <c r="N263" s="25" t="s">
        <v>3094</v>
      </c>
      <c r="O263" s="25" t="s">
        <v>86</v>
      </c>
      <c r="P263" s="25" t="s">
        <v>1580</v>
      </c>
      <c r="Q263" s="22" t="s">
        <v>1517</v>
      </c>
      <c r="R263" s="12" t="s">
        <v>3152</v>
      </c>
    </row>
    <row r="264" customFormat="false" ht="19.5" hidden="false" customHeight="true" outlineLevel="0" collapsed="false">
      <c r="A264" s="27" t="s">
        <v>3393</v>
      </c>
      <c r="B264" s="27" t="s">
        <v>3088</v>
      </c>
      <c r="C264" s="27" t="s">
        <v>3149</v>
      </c>
      <c r="D264" s="27" t="s">
        <v>3090</v>
      </c>
      <c r="E264" s="27" t="s">
        <v>334</v>
      </c>
      <c r="F264" s="9" t="s">
        <v>3186</v>
      </c>
      <c r="G264" s="27" t="s">
        <v>1555</v>
      </c>
      <c r="H264" s="27" t="s">
        <v>1334</v>
      </c>
      <c r="I264" s="27" t="s">
        <v>3151</v>
      </c>
      <c r="J264" s="11" t="n">
        <v>0.36</v>
      </c>
      <c r="K264" s="11" t="n">
        <v>0.3</v>
      </c>
      <c r="L264" s="11" t="n">
        <v>0.42</v>
      </c>
      <c r="M264" s="11" t="n">
        <v>0.12</v>
      </c>
      <c r="N264" s="27" t="s">
        <v>3094</v>
      </c>
      <c r="O264" s="27" t="s">
        <v>86</v>
      </c>
      <c r="P264" s="27" t="s">
        <v>1580</v>
      </c>
      <c r="Q264" s="23" t="s">
        <v>93</v>
      </c>
      <c r="R264" s="9" t="s">
        <v>3187</v>
      </c>
    </row>
    <row r="265" customFormat="false" ht="19.5" hidden="false" customHeight="true" outlineLevel="0" collapsed="false">
      <c r="A265" s="25" t="s">
        <v>3394</v>
      </c>
      <c r="B265" s="25" t="s">
        <v>3088</v>
      </c>
      <c r="C265" s="25" t="s">
        <v>3149</v>
      </c>
      <c r="D265" s="25" t="s">
        <v>3090</v>
      </c>
      <c r="E265" s="25" t="s">
        <v>328</v>
      </c>
      <c r="F265" s="12" t="s">
        <v>3189</v>
      </c>
      <c r="G265" s="25" t="s">
        <v>1555</v>
      </c>
      <c r="H265" s="25" t="s">
        <v>1334</v>
      </c>
      <c r="I265" s="25" t="s">
        <v>3151</v>
      </c>
      <c r="J265" s="14" t="n">
        <v>0.76</v>
      </c>
      <c r="K265" s="14" t="n">
        <v>0.05</v>
      </c>
      <c r="L265" s="14" t="n">
        <v>0.81</v>
      </c>
      <c r="M265" s="14" t="n">
        <v>0.76</v>
      </c>
      <c r="N265" s="25" t="s">
        <v>3094</v>
      </c>
      <c r="O265" s="25" t="s">
        <v>86</v>
      </c>
      <c r="P265" s="25" t="s">
        <v>1580</v>
      </c>
      <c r="Q265" s="22" t="s">
        <v>93</v>
      </c>
      <c r="R265" s="12" t="s">
        <v>3190</v>
      </c>
    </row>
    <row r="266" customFormat="false" ht="19.5" hidden="false" customHeight="true" outlineLevel="0" collapsed="false">
      <c r="A266" s="27" t="s">
        <v>3395</v>
      </c>
      <c r="B266" s="27" t="s">
        <v>3088</v>
      </c>
      <c r="C266" s="27" t="s">
        <v>3149</v>
      </c>
      <c r="D266" s="27" t="s">
        <v>3090</v>
      </c>
      <c r="E266" s="27" t="s">
        <v>466</v>
      </c>
      <c r="F266" s="9" t="s">
        <v>1578</v>
      </c>
      <c r="G266" s="27" t="s">
        <v>1555</v>
      </c>
      <c r="H266" s="27" t="s">
        <v>1334</v>
      </c>
      <c r="I266" s="27" t="s">
        <v>3151</v>
      </c>
      <c r="J266" s="30"/>
      <c r="K266" s="11" t="n">
        <v>-0.51</v>
      </c>
      <c r="L266" s="11" t="n">
        <v>1.16</v>
      </c>
      <c r="M266" s="11" t="n">
        <v>1.67</v>
      </c>
      <c r="N266" s="27" t="s">
        <v>3094</v>
      </c>
      <c r="O266" s="27" t="s">
        <v>86</v>
      </c>
      <c r="P266" s="27" t="s">
        <v>1580</v>
      </c>
      <c r="Q266" s="23" t="s">
        <v>93</v>
      </c>
      <c r="R266" s="9" t="s">
        <v>3155</v>
      </c>
    </row>
    <row r="267" customFormat="false" ht="19.5" hidden="false" customHeight="true" outlineLevel="0" collapsed="false">
      <c r="A267" s="25" t="s">
        <v>3396</v>
      </c>
      <c r="B267" s="25" t="s">
        <v>3088</v>
      </c>
      <c r="C267" s="25" t="s">
        <v>3149</v>
      </c>
      <c r="D267" s="25" t="s">
        <v>3090</v>
      </c>
      <c r="E267" s="25" t="s">
        <v>492</v>
      </c>
      <c r="F267" s="12" t="s">
        <v>1583</v>
      </c>
      <c r="G267" s="25" t="s">
        <v>1555</v>
      </c>
      <c r="H267" s="25" t="s">
        <v>1334</v>
      </c>
      <c r="I267" s="25" t="s">
        <v>3151</v>
      </c>
      <c r="J267" s="14" t="n">
        <v>0.53</v>
      </c>
      <c r="K267" s="14" t="n">
        <v>0.46</v>
      </c>
      <c r="L267" s="14" t="n">
        <v>0.53</v>
      </c>
      <c r="M267" s="14" t="n">
        <v>0.07</v>
      </c>
      <c r="N267" s="25" t="s">
        <v>3094</v>
      </c>
      <c r="O267" s="25" t="s">
        <v>86</v>
      </c>
      <c r="P267" s="25" t="s">
        <v>1580</v>
      </c>
      <c r="Q267" s="22" t="s">
        <v>93</v>
      </c>
      <c r="R267" s="12" t="s">
        <v>3155</v>
      </c>
    </row>
    <row r="268" customFormat="false" ht="19.5" hidden="false" customHeight="true" outlineLevel="0" collapsed="false">
      <c r="A268" s="27" t="s">
        <v>3397</v>
      </c>
      <c r="B268" s="27" t="s">
        <v>3088</v>
      </c>
      <c r="C268" s="27" t="s">
        <v>3149</v>
      </c>
      <c r="D268" s="27" t="s">
        <v>3090</v>
      </c>
      <c r="E268" s="27" t="s">
        <v>473</v>
      </c>
      <c r="F268" s="9" t="s">
        <v>1585</v>
      </c>
      <c r="G268" s="27" t="s">
        <v>1555</v>
      </c>
      <c r="H268" s="27" t="s">
        <v>1334</v>
      </c>
      <c r="I268" s="27" t="s">
        <v>3151</v>
      </c>
      <c r="J268" s="11" t="n">
        <v>0.48</v>
      </c>
      <c r="K268" s="11" t="n">
        <v>0.36</v>
      </c>
      <c r="L268" s="11" t="n">
        <v>0.48</v>
      </c>
      <c r="M268" s="11" t="n">
        <v>0.12</v>
      </c>
      <c r="N268" s="27" t="s">
        <v>3094</v>
      </c>
      <c r="O268" s="27" t="s">
        <v>86</v>
      </c>
      <c r="P268" s="27" t="s">
        <v>1580</v>
      </c>
      <c r="Q268" s="23" t="s">
        <v>93</v>
      </c>
      <c r="R268" s="9" t="s">
        <v>3155</v>
      </c>
    </row>
    <row r="269" customFormat="false" ht="19.5" hidden="false" customHeight="true" outlineLevel="0" collapsed="false">
      <c r="A269" s="25" t="s">
        <v>3398</v>
      </c>
      <c r="B269" s="25" t="s">
        <v>3088</v>
      </c>
      <c r="C269" s="25" t="s">
        <v>3149</v>
      </c>
      <c r="D269" s="25" t="s">
        <v>3090</v>
      </c>
      <c r="E269" s="25" t="s">
        <v>459</v>
      </c>
      <c r="F269" s="12" t="s">
        <v>1587</v>
      </c>
      <c r="G269" s="25" t="s">
        <v>1555</v>
      </c>
      <c r="H269" s="25" t="s">
        <v>1334</v>
      </c>
      <c r="I269" s="25" t="s">
        <v>3151</v>
      </c>
      <c r="J269" s="14" t="n">
        <v>0.68</v>
      </c>
      <c r="K269" s="14" t="n">
        <v>0.29</v>
      </c>
      <c r="L269" s="14" t="n">
        <v>0.68</v>
      </c>
      <c r="M269" s="14" t="n">
        <v>0.39</v>
      </c>
      <c r="N269" s="25" t="s">
        <v>3094</v>
      </c>
      <c r="O269" s="25" t="s">
        <v>86</v>
      </c>
      <c r="P269" s="25" t="s">
        <v>1580</v>
      </c>
      <c r="Q269" s="22" t="s">
        <v>93</v>
      </c>
      <c r="R269" s="12" t="s">
        <v>3155</v>
      </c>
    </row>
    <row r="270" customFormat="false" ht="19.5" hidden="false" customHeight="true" outlineLevel="0" collapsed="false">
      <c r="A270" s="27" t="s">
        <v>3399</v>
      </c>
      <c r="B270" s="27" t="s">
        <v>3088</v>
      </c>
      <c r="C270" s="27" t="s">
        <v>3149</v>
      </c>
      <c r="D270" s="27" t="s">
        <v>3090</v>
      </c>
      <c r="E270" s="27" t="s">
        <v>486</v>
      </c>
      <c r="F270" s="9" t="s">
        <v>1589</v>
      </c>
      <c r="G270" s="27" t="s">
        <v>1555</v>
      </c>
      <c r="H270" s="27" t="s">
        <v>1334</v>
      </c>
      <c r="I270" s="27" t="s">
        <v>3151</v>
      </c>
      <c r="J270" s="11" t="n">
        <v>0.64</v>
      </c>
      <c r="K270" s="11" t="n">
        <v>-0.08</v>
      </c>
      <c r="L270" s="11" t="n">
        <v>0.62</v>
      </c>
      <c r="M270" s="11" t="n">
        <v>0.7</v>
      </c>
      <c r="N270" s="27" t="s">
        <v>3094</v>
      </c>
      <c r="O270" s="27" t="s">
        <v>86</v>
      </c>
      <c r="P270" s="27" t="s">
        <v>1580</v>
      </c>
      <c r="Q270" s="23" t="s">
        <v>93</v>
      </c>
      <c r="R270" s="9" t="s">
        <v>3155</v>
      </c>
    </row>
    <row r="271" customFormat="false" ht="19.5" hidden="false" customHeight="true" outlineLevel="0" collapsed="false">
      <c r="A271" s="25" t="s">
        <v>3400</v>
      </c>
      <c r="B271" s="25" t="s">
        <v>3088</v>
      </c>
      <c r="C271" s="25" t="s">
        <v>3149</v>
      </c>
      <c r="D271" s="25" t="s">
        <v>3090</v>
      </c>
      <c r="E271" s="25" t="s">
        <v>479</v>
      </c>
      <c r="F271" s="12" t="s">
        <v>1591</v>
      </c>
      <c r="G271" s="25" t="s">
        <v>1555</v>
      </c>
      <c r="H271" s="25" t="s">
        <v>1334</v>
      </c>
      <c r="I271" s="25" t="s">
        <v>3151</v>
      </c>
      <c r="J271" s="14" t="n">
        <v>0.48</v>
      </c>
      <c r="K271" s="14" t="n">
        <v>0.38</v>
      </c>
      <c r="L271" s="14" t="n">
        <v>0.48</v>
      </c>
      <c r="M271" s="14" t="n">
        <v>0.1</v>
      </c>
      <c r="N271" s="25" t="s">
        <v>3094</v>
      </c>
      <c r="O271" s="25" t="s">
        <v>86</v>
      </c>
      <c r="P271" s="25" t="s">
        <v>1580</v>
      </c>
      <c r="Q271" s="22" t="s">
        <v>93</v>
      </c>
      <c r="R271" s="12" t="s">
        <v>3155</v>
      </c>
    </row>
    <row r="272" customFormat="false" ht="19.5" hidden="false" customHeight="true" outlineLevel="0" collapsed="false">
      <c r="A272" s="27" t="s">
        <v>3401</v>
      </c>
      <c r="B272" s="27" t="s">
        <v>3088</v>
      </c>
      <c r="C272" s="27" t="s">
        <v>3149</v>
      </c>
      <c r="D272" s="27" t="s">
        <v>3090</v>
      </c>
      <c r="E272" s="27" t="s">
        <v>233</v>
      </c>
      <c r="F272" s="9" t="s">
        <v>1593</v>
      </c>
      <c r="G272" s="27" t="s">
        <v>1555</v>
      </c>
      <c r="H272" s="27" t="s">
        <v>1334</v>
      </c>
      <c r="I272" s="27" t="s">
        <v>3151</v>
      </c>
      <c r="J272" s="11" t="n">
        <v>0.39</v>
      </c>
      <c r="K272" s="11" t="n">
        <v>0.39</v>
      </c>
      <c r="L272" s="11" t="n">
        <v>0.4</v>
      </c>
      <c r="M272" s="11" t="n">
        <v>0.01</v>
      </c>
      <c r="N272" s="27" t="s">
        <v>3094</v>
      </c>
      <c r="O272" s="27" t="s">
        <v>86</v>
      </c>
      <c r="P272" s="27" t="s">
        <v>1580</v>
      </c>
      <c r="Q272" s="23" t="s">
        <v>93</v>
      </c>
      <c r="R272" s="9" t="s">
        <v>3162</v>
      </c>
    </row>
    <row r="273" customFormat="false" ht="19.5" hidden="false" customHeight="true" outlineLevel="0" collapsed="false">
      <c r="A273" s="25" t="s">
        <v>3402</v>
      </c>
      <c r="B273" s="25" t="s">
        <v>3088</v>
      </c>
      <c r="C273" s="25" t="s">
        <v>3149</v>
      </c>
      <c r="D273" s="25" t="s">
        <v>3090</v>
      </c>
      <c r="E273" s="25" t="s">
        <v>448</v>
      </c>
      <c r="F273" s="12" t="s">
        <v>1595</v>
      </c>
      <c r="G273" s="25" t="s">
        <v>1555</v>
      </c>
      <c r="H273" s="25" t="s">
        <v>1334</v>
      </c>
      <c r="I273" s="25" t="s">
        <v>3151</v>
      </c>
      <c r="J273" s="14" t="n">
        <v>0.33</v>
      </c>
      <c r="K273" s="29"/>
      <c r="L273" s="29"/>
      <c r="M273" s="29"/>
      <c r="N273" s="25" t="s">
        <v>3094</v>
      </c>
      <c r="O273" s="25" t="s">
        <v>86</v>
      </c>
      <c r="P273" s="25" t="s">
        <v>1580</v>
      </c>
      <c r="Q273" s="22" t="s">
        <v>93</v>
      </c>
      <c r="R273" s="12" t="s">
        <v>3152</v>
      </c>
    </row>
    <row r="274" customFormat="false" ht="19.5" hidden="false" customHeight="true" outlineLevel="0" collapsed="false">
      <c r="A274" s="27" t="s">
        <v>3403</v>
      </c>
      <c r="B274" s="27" t="s">
        <v>3088</v>
      </c>
      <c r="C274" s="27" t="s">
        <v>3149</v>
      </c>
      <c r="D274" s="27" t="s">
        <v>3090</v>
      </c>
      <c r="E274" s="27" t="s">
        <v>455</v>
      </c>
      <c r="F274" s="9" t="s">
        <v>1597</v>
      </c>
      <c r="G274" s="27" t="s">
        <v>1555</v>
      </c>
      <c r="H274" s="27" t="s">
        <v>1334</v>
      </c>
      <c r="I274" s="27" t="s">
        <v>3151</v>
      </c>
      <c r="J274" s="11" t="n">
        <v>0.35</v>
      </c>
      <c r="K274" s="30"/>
      <c r="L274" s="30"/>
      <c r="M274" s="30"/>
      <c r="N274" s="27" t="s">
        <v>3094</v>
      </c>
      <c r="O274" s="27" t="s">
        <v>86</v>
      </c>
      <c r="P274" s="27" t="s">
        <v>1580</v>
      </c>
      <c r="Q274" s="23" t="s">
        <v>93</v>
      </c>
      <c r="R274" s="9" t="s">
        <v>3152</v>
      </c>
    </row>
    <row r="275" customFormat="false" ht="19.5" hidden="false" customHeight="true" outlineLevel="0" collapsed="false">
      <c r="A275" s="25" t="s">
        <v>3404</v>
      </c>
      <c r="B275" s="25" t="s">
        <v>3088</v>
      </c>
      <c r="C275" s="25" t="s">
        <v>3149</v>
      </c>
      <c r="D275" s="25" t="s">
        <v>3090</v>
      </c>
      <c r="E275" s="25" t="s">
        <v>439</v>
      </c>
      <c r="F275" s="12" t="s">
        <v>1599</v>
      </c>
      <c r="G275" s="25" t="s">
        <v>1555</v>
      </c>
      <c r="H275" s="25" t="s">
        <v>1334</v>
      </c>
      <c r="I275" s="25" t="s">
        <v>3151</v>
      </c>
      <c r="J275" s="14" t="n">
        <v>0.36</v>
      </c>
      <c r="K275" s="29"/>
      <c r="L275" s="29"/>
      <c r="M275" s="29"/>
      <c r="N275" s="25" t="s">
        <v>3094</v>
      </c>
      <c r="O275" s="25" t="s">
        <v>86</v>
      </c>
      <c r="P275" s="25" t="s">
        <v>1580</v>
      </c>
      <c r="Q275" s="22" t="s">
        <v>93</v>
      </c>
      <c r="R275" s="12" t="s">
        <v>3152</v>
      </c>
    </row>
    <row r="276" customFormat="false" ht="19.5" hidden="false" customHeight="true" outlineLevel="0" collapsed="false">
      <c r="A276" s="27" t="s">
        <v>3405</v>
      </c>
      <c r="B276" s="27" t="s">
        <v>3088</v>
      </c>
      <c r="C276" s="27" t="s">
        <v>3149</v>
      </c>
      <c r="D276" s="27" t="s">
        <v>3090</v>
      </c>
      <c r="E276" s="27" t="s">
        <v>426</v>
      </c>
      <c r="F276" s="9" t="s">
        <v>1601</v>
      </c>
      <c r="G276" s="27" t="s">
        <v>1555</v>
      </c>
      <c r="H276" s="27" t="s">
        <v>1334</v>
      </c>
      <c r="I276" s="27" t="s">
        <v>3151</v>
      </c>
      <c r="J276" s="11" t="n">
        <v>0.32</v>
      </c>
      <c r="K276" s="11" t="n">
        <v>0.3</v>
      </c>
      <c r="L276" s="11" t="n">
        <v>0.33</v>
      </c>
      <c r="M276" s="11" t="n">
        <v>0.03</v>
      </c>
      <c r="N276" s="27" t="s">
        <v>3094</v>
      </c>
      <c r="O276" s="27" t="s">
        <v>86</v>
      </c>
      <c r="P276" s="27" t="s">
        <v>1580</v>
      </c>
      <c r="Q276" s="23" t="s">
        <v>93</v>
      </c>
      <c r="R276" s="9" t="s">
        <v>3152</v>
      </c>
    </row>
    <row r="277" customFormat="false" ht="19.5" hidden="false" customHeight="true" outlineLevel="0" collapsed="false">
      <c r="A277" s="25" t="s">
        <v>3406</v>
      </c>
      <c r="B277" s="25" t="s">
        <v>3088</v>
      </c>
      <c r="C277" s="25" t="s">
        <v>3149</v>
      </c>
      <c r="D277" s="25" t="s">
        <v>3090</v>
      </c>
      <c r="E277" s="25" t="s">
        <v>385</v>
      </c>
      <c r="F277" s="12" t="s">
        <v>1603</v>
      </c>
      <c r="G277" s="25" t="s">
        <v>1555</v>
      </c>
      <c r="H277" s="25" t="s">
        <v>1334</v>
      </c>
      <c r="I277" s="25" t="s">
        <v>3151</v>
      </c>
      <c r="J277" s="14" t="n">
        <v>0.34</v>
      </c>
      <c r="K277" s="14" t="n">
        <v>0.32</v>
      </c>
      <c r="L277" s="14" t="n">
        <v>0.34</v>
      </c>
      <c r="M277" s="14" t="n">
        <v>0.02</v>
      </c>
      <c r="N277" s="25" t="s">
        <v>3094</v>
      </c>
      <c r="O277" s="25" t="s">
        <v>86</v>
      </c>
      <c r="P277" s="25" t="s">
        <v>1580</v>
      </c>
      <c r="Q277" s="22" t="s">
        <v>93</v>
      </c>
      <c r="R277" s="12" t="s">
        <v>3152</v>
      </c>
    </row>
    <row r="278" customFormat="false" ht="19.5" hidden="false" customHeight="true" outlineLevel="0" collapsed="false">
      <c r="A278" s="27" t="s">
        <v>3407</v>
      </c>
      <c r="B278" s="27" t="s">
        <v>3088</v>
      </c>
      <c r="C278" s="27" t="s">
        <v>3149</v>
      </c>
      <c r="D278" s="27" t="s">
        <v>3090</v>
      </c>
      <c r="E278" s="27" t="s">
        <v>392</v>
      </c>
      <c r="F278" s="9" t="s">
        <v>1605</v>
      </c>
      <c r="G278" s="27" t="s">
        <v>1555</v>
      </c>
      <c r="H278" s="27" t="s">
        <v>1334</v>
      </c>
      <c r="I278" s="27" t="s">
        <v>3151</v>
      </c>
      <c r="J278" s="11" t="n">
        <v>0.36</v>
      </c>
      <c r="K278" s="11" t="n">
        <v>0.32</v>
      </c>
      <c r="L278" s="11" t="n">
        <v>0.36</v>
      </c>
      <c r="M278" s="11" t="n">
        <v>0.04</v>
      </c>
      <c r="N278" s="27" t="s">
        <v>3094</v>
      </c>
      <c r="O278" s="27" t="s">
        <v>86</v>
      </c>
      <c r="P278" s="27" t="s">
        <v>1580</v>
      </c>
      <c r="Q278" s="23" t="s">
        <v>93</v>
      </c>
      <c r="R278" s="9" t="s">
        <v>3152</v>
      </c>
    </row>
    <row r="279" customFormat="false" ht="19.5" hidden="false" customHeight="true" outlineLevel="0" collapsed="false">
      <c r="A279" s="25" t="s">
        <v>3408</v>
      </c>
      <c r="B279" s="25" t="s">
        <v>3088</v>
      </c>
      <c r="C279" s="25" t="s">
        <v>3149</v>
      </c>
      <c r="D279" s="25" t="s">
        <v>3090</v>
      </c>
      <c r="E279" s="25" t="s">
        <v>399</v>
      </c>
      <c r="F279" s="12" t="s">
        <v>1607</v>
      </c>
      <c r="G279" s="25" t="s">
        <v>1555</v>
      </c>
      <c r="H279" s="25" t="s">
        <v>1334</v>
      </c>
      <c r="I279" s="25" t="s">
        <v>3151</v>
      </c>
      <c r="J279" s="14" t="n">
        <v>0.34</v>
      </c>
      <c r="K279" s="14" t="n">
        <v>0.32</v>
      </c>
      <c r="L279" s="14" t="n">
        <v>0.34</v>
      </c>
      <c r="M279" s="14" t="n">
        <v>0.02</v>
      </c>
      <c r="N279" s="25" t="s">
        <v>3094</v>
      </c>
      <c r="O279" s="25" t="s">
        <v>86</v>
      </c>
      <c r="P279" s="25" t="s">
        <v>1580</v>
      </c>
      <c r="Q279" s="22" t="s">
        <v>93</v>
      </c>
      <c r="R279" s="12" t="s">
        <v>3152</v>
      </c>
    </row>
    <row r="280" customFormat="false" ht="19.5" hidden="false" customHeight="true" outlineLevel="0" collapsed="false">
      <c r="A280" s="27" t="s">
        <v>3409</v>
      </c>
      <c r="B280" s="27" t="s">
        <v>3088</v>
      </c>
      <c r="C280" s="27" t="s">
        <v>3149</v>
      </c>
      <c r="D280" s="27" t="s">
        <v>3090</v>
      </c>
      <c r="E280" s="27" t="s">
        <v>433</v>
      </c>
      <c r="F280" s="9" t="s">
        <v>1609</v>
      </c>
      <c r="G280" s="27" t="s">
        <v>1555</v>
      </c>
      <c r="H280" s="27" t="s">
        <v>1334</v>
      </c>
      <c r="I280" s="27" t="s">
        <v>3151</v>
      </c>
      <c r="J280" s="11" t="n">
        <v>0.13</v>
      </c>
      <c r="K280" s="30"/>
      <c r="L280" s="30"/>
      <c r="M280" s="30"/>
      <c r="N280" s="27" t="s">
        <v>3094</v>
      </c>
      <c r="O280" s="27" t="s">
        <v>86</v>
      </c>
      <c r="P280" s="27" t="s">
        <v>1580</v>
      </c>
      <c r="Q280" s="23" t="s">
        <v>93</v>
      </c>
      <c r="R280" s="9" t="s">
        <v>3152</v>
      </c>
    </row>
    <row r="281" customFormat="false" ht="19.5" hidden="false" customHeight="true" outlineLevel="0" collapsed="false">
      <c r="A281" s="25" t="s">
        <v>3410</v>
      </c>
      <c r="B281" s="25" t="s">
        <v>3088</v>
      </c>
      <c r="C281" s="25" t="s">
        <v>3149</v>
      </c>
      <c r="D281" s="25" t="s">
        <v>3090</v>
      </c>
      <c r="E281" s="25" t="s">
        <v>405</v>
      </c>
      <c r="F281" s="12" t="s">
        <v>1611</v>
      </c>
      <c r="G281" s="25" t="s">
        <v>1555</v>
      </c>
      <c r="H281" s="25" t="s">
        <v>1334</v>
      </c>
      <c r="I281" s="25" t="s">
        <v>3151</v>
      </c>
      <c r="J281" s="14" t="n">
        <v>0.17</v>
      </c>
      <c r="K281" s="14" t="n">
        <v>0.16</v>
      </c>
      <c r="L281" s="14" t="n">
        <v>0.34</v>
      </c>
      <c r="M281" s="14" t="n">
        <v>0.18</v>
      </c>
      <c r="N281" s="25" t="s">
        <v>3094</v>
      </c>
      <c r="O281" s="25" t="s">
        <v>86</v>
      </c>
      <c r="P281" s="25" t="s">
        <v>1580</v>
      </c>
      <c r="Q281" s="22" t="s">
        <v>93</v>
      </c>
      <c r="R281" s="12" t="s">
        <v>3152</v>
      </c>
    </row>
    <row r="282" customFormat="false" ht="19.5" hidden="false" customHeight="true" outlineLevel="0" collapsed="false">
      <c r="A282" s="27" t="s">
        <v>3411</v>
      </c>
      <c r="B282" s="27" t="s">
        <v>3088</v>
      </c>
      <c r="C282" s="27" t="s">
        <v>3149</v>
      </c>
      <c r="D282" s="27" t="s">
        <v>3090</v>
      </c>
      <c r="E282" s="27" t="s">
        <v>411</v>
      </c>
      <c r="F282" s="9" t="s">
        <v>1613</v>
      </c>
      <c r="G282" s="27" t="s">
        <v>1555</v>
      </c>
      <c r="H282" s="27" t="s">
        <v>1334</v>
      </c>
      <c r="I282" s="27" t="s">
        <v>3151</v>
      </c>
      <c r="J282" s="11" t="n">
        <v>0.34</v>
      </c>
      <c r="K282" s="11" t="n">
        <v>0.3</v>
      </c>
      <c r="L282" s="11" t="n">
        <v>0.34</v>
      </c>
      <c r="M282" s="11" t="n">
        <v>0.04</v>
      </c>
      <c r="N282" s="27" t="s">
        <v>3094</v>
      </c>
      <c r="O282" s="27" t="s">
        <v>86</v>
      </c>
      <c r="P282" s="27" t="s">
        <v>1580</v>
      </c>
      <c r="Q282" s="23" t="s">
        <v>93</v>
      </c>
      <c r="R282" s="9" t="s">
        <v>3152</v>
      </c>
    </row>
    <row r="283" customFormat="false" ht="19.5" hidden="false" customHeight="true" outlineLevel="0" collapsed="false">
      <c r="A283" s="25" t="s">
        <v>3412</v>
      </c>
      <c r="B283" s="25" t="s">
        <v>3088</v>
      </c>
      <c r="C283" s="25" t="s">
        <v>3149</v>
      </c>
      <c r="D283" s="25" t="s">
        <v>3090</v>
      </c>
      <c r="E283" s="25" t="s">
        <v>416</v>
      </c>
      <c r="F283" s="12" t="s">
        <v>1615</v>
      </c>
      <c r="G283" s="25" t="s">
        <v>1555</v>
      </c>
      <c r="H283" s="25" t="s">
        <v>1334</v>
      </c>
      <c r="I283" s="25" t="s">
        <v>3151</v>
      </c>
      <c r="J283" s="14" t="n">
        <v>0.26</v>
      </c>
      <c r="K283" s="14" t="n">
        <v>0.25</v>
      </c>
      <c r="L283" s="14" t="n">
        <v>0.35</v>
      </c>
      <c r="M283" s="14" t="n">
        <v>0.1</v>
      </c>
      <c r="N283" s="25" t="s">
        <v>3094</v>
      </c>
      <c r="O283" s="25" t="s">
        <v>86</v>
      </c>
      <c r="P283" s="25" t="s">
        <v>1580</v>
      </c>
      <c r="Q283" s="22" t="s">
        <v>93</v>
      </c>
      <c r="R283" s="12" t="s">
        <v>3152</v>
      </c>
    </row>
    <row r="284" customFormat="false" ht="19.5" hidden="false" customHeight="true" outlineLevel="0" collapsed="false">
      <c r="A284" s="27" t="s">
        <v>3413</v>
      </c>
      <c r="B284" s="27" t="s">
        <v>3088</v>
      </c>
      <c r="C284" s="27" t="s">
        <v>3149</v>
      </c>
      <c r="D284" s="27" t="s">
        <v>3090</v>
      </c>
      <c r="E284" s="27" t="s">
        <v>377</v>
      </c>
      <c r="F284" s="9" t="s">
        <v>1617</v>
      </c>
      <c r="G284" s="27" t="s">
        <v>1555</v>
      </c>
      <c r="H284" s="27" t="s">
        <v>1334</v>
      </c>
      <c r="I284" s="27" t="s">
        <v>3151</v>
      </c>
      <c r="J284" s="11" t="n">
        <v>0.44</v>
      </c>
      <c r="K284" s="11" t="n">
        <v>0.35</v>
      </c>
      <c r="L284" s="11" t="n">
        <v>0.44</v>
      </c>
      <c r="M284" s="11" t="n">
        <v>0.09</v>
      </c>
      <c r="N284" s="27" t="s">
        <v>3094</v>
      </c>
      <c r="O284" s="27" t="s">
        <v>86</v>
      </c>
      <c r="P284" s="27" t="s">
        <v>1580</v>
      </c>
      <c r="Q284" s="23" t="s">
        <v>93</v>
      </c>
      <c r="R284" s="9" t="s">
        <v>3152</v>
      </c>
    </row>
    <row r="285" customFormat="false" ht="19.5" hidden="false" customHeight="true" outlineLevel="0" collapsed="false">
      <c r="A285" s="25" t="s">
        <v>3414</v>
      </c>
      <c r="B285" s="25" t="s">
        <v>3088</v>
      </c>
      <c r="C285" s="25" t="s">
        <v>3149</v>
      </c>
      <c r="D285" s="25" t="s">
        <v>3090</v>
      </c>
      <c r="E285" s="25" t="s">
        <v>420</v>
      </c>
      <c r="F285" s="12" t="s">
        <v>1619</v>
      </c>
      <c r="G285" s="25" t="s">
        <v>1555</v>
      </c>
      <c r="H285" s="25" t="s">
        <v>1334</v>
      </c>
      <c r="I285" s="25" t="s">
        <v>3151</v>
      </c>
      <c r="J285" s="14" t="n">
        <v>0.32</v>
      </c>
      <c r="K285" s="14" t="n">
        <v>0.3</v>
      </c>
      <c r="L285" s="14" t="n">
        <v>0.32</v>
      </c>
      <c r="M285" s="14" t="n">
        <v>0.02</v>
      </c>
      <c r="N285" s="25" t="s">
        <v>3094</v>
      </c>
      <c r="O285" s="25" t="s">
        <v>86</v>
      </c>
      <c r="P285" s="25" t="s">
        <v>1580</v>
      </c>
      <c r="Q285" s="22" t="s">
        <v>93</v>
      </c>
      <c r="R285" s="12" t="s">
        <v>3152</v>
      </c>
    </row>
    <row r="286" customFormat="false" ht="19.5" hidden="false" customHeight="true" outlineLevel="0" collapsed="false">
      <c r="A286" s="27" t="s">
        <v>3415</v>
      </c>
      <c r="B286" s="27" t="s">
        <v>3088</v>
      </c>
      <c r="C286" s="27" t="s">
        <v>3149</v>
      </c>
      <c r="D286" s="27" t="s">
        <v>3090</v>
      </c>
      <c r="E286" s="27" t="s">
        <v>250</v>
      </c>
      <c r="F286" s="9" t="s">
        <v>1621</v>
      </c>
      <c r="G286" s="27" t="s">
        <v>1555</v>
      </c>
      <c r="H286" s="27" t="s">
        <v>1334</v>
      </c>
      <c r="I286" s="27" t="s">
        <v>3151</v>
      </c>
      <c r="J286" s="11" t="n">
        <v>0.11</v>
      </c>
      <c r="K286" s="30"/>
      <c r="L286" s="30"/>
      <c r="M286" s="30"/>
      <c r="N286" s="27" t="s">
        <v>3094</v>
      </c>
      <c r="O286" s="27" t="s">
        <v>86</v>
      </c>
      <c r="P286" s="27" t="s">
        <v>1580</v>
      </c>
      <c r="Q286" s="23" t="s">
        <v>93</v>
      </c>
      <c r="R286" s="9" t="s">
        <v>3152</v>
      </c>
    </row>
    <row r="287" customFormat="false" ht="19.5" hidden="false" customHeight="true" outlineLevel="0" collapsed="false">
      <c r="A287" s="25" t="s">
        <v>3416</v>
      </c>
      <c r="B287" s="25" t="s">
        <v>3088</v>
      </c>
      <c r="C287" s="25" t="s">
        <v>3149</v>
      </c>
      <c r="D287" s="25" t="s">
        <v>3090</v>
      </c>
      <c r="E287" s="25" t="s">
        <v>312</v>
      </c>
      <c r="F287" s="12" t="s">
        <v>3213</v>
      </c>
      <c r="G287" s="25" t="s">
        <v>1555</v>
      </c>
      <c r="H287" s="25" t="s">
        <v>1334</v>
      </c>
      <c r="I287" s="25" t="s">
        <v>3151</v>
      </c>
      <c r="J287" s="14" t="n">
        <v>0.63</v>
      </c>
      <c r="K287" s="14" t="n">
        <v>-0.75</v>
      </c>
      <c r="L287" s="14" t="n">
        <v>0.63</v>
      </c>
      <c r="M287" s="14" t="n">
        <v>1.38</v>
      </c>
      <c r="N287" s="25" t="s">
        <v>3094</v>
      </c>
      <c r="O287" s="25" t="s">
        <v>86</v>
      </c>
      <c r="P287" s="25" t="s">
        <v>1580</v>
      </c>
      <c r="Q287" s="22" t="s">
        <v>93</v>
      </c>
      <c r="R287" s="12" t="s">
        <v>3214</v>
      </c>
    </row>
    <row r="288" customFormat="false" ht="19.5" hidden="false" customHeight="true" outlineLevel="0" collapsed="false">
      <c r="A288" s="27" t="s">
        <v>3417</v>
      </c>
      <c r="B288" s="27" t="s">
        <v>3088</v>
      </c>
      <c r="C288" s="27" t="s">
        <v>3149</v>
      </c>
      <c r="D288" s="27" t="s">
        <v>3090</v>
      </c>
      <c r="E288" s="27" t="s">
        <v>226</v>
      </c>
      <c r="F288" s="9" t="s">
        <v>1623</v>
      </c>
      <c r="G288" s="27" t="s">
        <v>1555</v>
      </c>
      <c r="H288" s="27" t="s">
        <v>1334</v>
      </c>
      <c r="I288" s="27" t="s">
        <v>3151</v>
      </c>
      <c r="J288" s="11" t="n">
        <v>0.35</v>
      </c>
      <c r="K288" s="11" t="n">
        <v>0.3</v>
      </c>
      <c r="L288" s="11" t="n">
        <v>0.35</v>
      </c>
      <c r="M288" s="11" t="n">
        <v>0.05</v>
      </c>
      <c r="N288" s="27" t="s">
        <v>3094</v>
      </c>
      <c r="O288" s="27" t="s">
        <v>86</v>
      </c>
      <c r="P288" s="27" t="s">
        <v>1580</v>
      </c>
      <c r="Q288" s="23" t="s">
        <v>93</v>
      </c>
      <c r="R288" s="9" t="s">
        <v>3152</v>
      </c>
    </row>
    <row r="289" customFormat="false" ht="19.5" hidden="false" customHeight="true" outlineLevel="0" collapsed="false">
      <c r="A289" s="25" t="s">
        <v>3418</v>
      </c>
      <c r="B289" s="25" t="s">
        <v>3088</v>
      </c>
      <c r="C289" s="25" t="s">
        <v>3149</v>
      </c>
      <c r="D289" s="25" t="s">
        <v>3090</v>
      </c>
      <c r="E289" s="25" t="s">
        <v>319</v>
      </c>
      <c r="F289" s="12" t="s">
        <v>3217</v>
      </c>
      <c r="G289" s="25" t="s">
        <v>1555</v>
      </c>
      <c r="H289" s="25" t="s">
        <v>1334</v>
      </c>
      <c r="I289" s="25" t="s">
        <v>3151</v>
      </c>
      <c r="J289" s="14" t="n">
        <v>0.69</v>
      </c>
      <c r="K289" s="14" t="n">
        <v>0.19</v>
      </c>
      <c r="L289" s="14" t="n">
        <v>0.69</v>
      </c>
      <c r="M289" s="14" t="n">
        <v>0.5</v>
      </c>
      <c r="N289" s="25" t="s">
        <v>3094</v>
      </c>
      <c r="O289" s="25" t="s">
        <v>86</v>
      </c>
      <c r="P289" s="25" t="s">
        <v>1580</v>
      </c>
      <c r="Q289" s="22" t="s">
        <v>93</v>
      </c>
      <c r="R289" s="12" t="s">
        <v>3214</v>
      </c>
    </row>
    <row r="290" customFormat="false" ht="19.5" hidden="false" customHeight="true" outlineLevel="0" collapsed="false">
      <c r="A290" s="27" t="s">
        <v>3419</v>
      </c>
      <c r="B290" s="27" t="s">
        <v>3088</v>
      </c>
      <c r="C290" s="27" t="s">
        <v>3149</v>
      </c>
      <c r="D290" s="27" t="s">
        <v>3090</v>
      </c>
      <c r="E290" s="27" t="s">
        <v>292</v>
      </c>
      <c r="F290" s="9" t="s">
        <v>3219</v>
      </c>
      <c r="G290" s="27" t="s">
        <v>1555</v>
      </c>
      <c r="H290" s="27" t="s">
        <v>1334</v>
      </c>
      <c r="I290" s="27" t="s">
        <v>3151</v>
      </c>
      <c r="J290" s="11" t="n">
        <v>0.95</v>
      </c>
      <c r="K290" s="11" t="n">
        <v>-0.84</v>
      </c>
      <c r="L290" s="11" t="n">
        <v>0.95</v>
      </c>
      <c r="M290" s="11" t="n">
        <v>1.79</v>
      </c>
      <c r="N290" s="27" t="s">
        <v>3094</v>
      </c>
      <c r="O290" s="27" t="s">
        <v>86</v>
      </c>
      <c r="P290" s="27" t="s">
        <v>1580</v>
      </c>
      <c r="Q290" s="23" t="s">
        <v>93</v>
      </c>
      <c r="R290" s="9" t="s">
        <v>3214</v>
      </c>
    </row>
    <row r="291" customFormat="false" ht="19.5" hidden="false" customHeight="true" outlineLevel="0" collapsed="false">
      <c r="A291" s="25" t="s">
        <v>3420</v>
      </c>
      <c r="B291" s="25" t="s">
        <v>3088</v>
      </c>
      <c r="C291" s="25" t="s">
        <v>3149</v>
      </c>
      <c r="D291" s="25" t="s">
        <v>3090</v>
      </c>
      <c r="E291" s="25" t="s">
        <v>215</v>
      </c>
      <c r="F291" s="12" t="s">
        <v>1625</v>
      </c>
      <c r="G291" s="25" t="s">
        <v>1555</v>
      </c>
      <c r="H291" s="25" t="s">
        <v>1334</v>
      </c>
      <c r="I291" s="25" t="s">
        <v>3151</v>
      </c>
      <c r="J291" s="14" t="n">
        <v>0.35</v>
      </c>
      <c r="K291" s="29"/>
      <c r="L291" s="29"/>
      <c r="M291" s="29"/>
      <c r="N291" s="25" t="s">
        <v>3094</v>
      </c>
      <c r="O291" s="25" t="s">
        <v>86</v>
      </c>
      <c r="P291" s="25" t="s">
        <v>1580</v>
      </c>
      <c r="Q291" s="22" t="s">
        <v>93</v>
      </c>
      <c r="R291" s="12" t="s">
        <v>3152</v>
      </c>
    </row>
    <row r="292" customFormat="false" ht="19.5" hidden="false" customHeight="true" outlineLevel="0" collapsed="false">
      <c r="A292" s="27" t="s">
        <v>3421</v>
      </c>
      <c r="B292" s="27" t="s">
        <v>3088</v>
      </c>
      <c r="C292" s="27" t="s">
        <v>3149</v>
      </c>
      <c r="D292" s="27" t="s">
        <v>3090</v>
      </c>
      <c r="E292" s="27" t="s">
        <v>257</v>
      </c>
      <c r="F292" s="9" t="s">
        <v>1627</v>
      </c>
      <c r="G292" s="27" t="s">
        <v>1555</v>
      </c>
      <c r="H292" s="27" t="s">
        <v>1334</v>
      </c>
      <c r="I292" s="27" t="s">
        <v>3151</v>
      </c>
      <c r="J292" s="30"/>
      <c r="K292" s="11" t="n">
        <v>0.32</v>
      </c>
      <c r="L292" s="11" t="n">
        <v>1.58</v>
      </c>
      <c r="M292" s="11" t="n">
        <v>1.26</v>
      </c>
      <c r="N292" s="27" t="s">
        <v>3094</v>
      </c>
      <c r="O292" s="27" t="s">
        <v>86</v>
      </c>
      <c r="P292" s="27" t="s">
        <v>1580</v>
      </c>
      <c r="Q292" s="23" t="s">
        <v>93</v>
      </c>
      <c r="R292" s="9" t="s">
        <v>3152</v>
      </c>
    </row>
    <row r="293" customFormat="false" ht="19.5" hidden="false" customHeight="true" outlineLevel="0" collapsed="false">
      <c r="A293" s="25" t="s">
        <v>3422</v>
      </c>
      <c r="B293" s="25" t="s">
        <v>3088</v>
      </c>
      <c r="C293" s="25" t="s">
        <v>3423</v>
      </c>
      <c r="D293" s="25" t="s">
        <v>3090</v>
      </c>
      <c r="E293" s="25" t="s">
        <v>362</v>
      </c>
      <c r="F293" s="12" t="s">
        <v>3424</v>
      </c>
      <c r="G293" s="25" t="s">
        <v>3425</v>
      </c>
      <c r="H293" s="25" t="s">
        <v>626</v>
      </c>
      <c r="I293" s="25" t="s">
        <v>1580</v>
      </c>
      <c r="J293" s="14" t="n">
        <v>1.36</v>
      </c>
      <c r="K293" s="29"/>
      <c r="L293" s="29"/>
      <c r="M293" s="29"/>
      <c r="N293" s="25" t="s">
        <v>3094</v>
      </c>
      <c r="O293" s="25" t="s">
        <v>113</v>
      </c>
      <c r="P293" s="25" t="s">
        <v>1580</v>
      </c>
      <c r="Q293" s="22" t="s">
        <v>849</v>
      </c>
      <c r="R293" s="12" t="s">
        <v>3426</v>
      </c>
    </row>
    <row r="294" customFormat="false" ht="19.5" hidden="false" customHeight="true" outlineLevel="0" collapsed="false">
      <c r="A294" s="27" t="s">
        <v>3427</v>
      </c>
      <c r="B294" s="27" t="s">
        <v>3088</v>
      </c>
      <c r="C294" s="27" t="s">
        <v>3423</v>
      </c>
      <c r="D294" s="27" t="s">
        <v>3090</v>
      </c>
      <c r="E294" s="27" t="s">
        <v>355</v>
      </c>
      <c r="F294" s="9" t="s">
        <v>356</v>
      </c>
      <c r="G294" s="27" t="s">
        <v>3425</v>
      </c>
      <c r="H294" s="27" t="s">
        <v>626</v>
      </c>
      <c r="I294" s="27" t="s">
        <v>1580</v>
      </c>
      <c r="J294" s="11" t="n">
        <v>1.48</v>
      </c>
      <c r="K294" s="30"/>
      <c r="L294" s="30"/>
      <c r="M294" s="30"/>
      <c r="N294" s="27" t="s">
        <v>3094</v>
      </c>
      <c r="O294" s="27" t="s">
        <v>113</v>
      </c>
      <c r="P294" s="27" t="s">
        <v>1580</v>
      </c>
      <c r="Q294" s="23" t="s">
        <v>849</v>
      </c>
      <c r="R294" s="9" t="s">
        <v>3428</v>
      </c>
    </row>
    <row r="295" customFormat="false" ht="19.5" hidden="false" customHeight="true" outlineLevel="0" collapsed="false">
      <c r="A295" s="25" t="s">
        <v>3429</v>
      </c>
      <c r="B295" s="25" t="s">
        <v>3088</v>
      </c>
      <c r="C295" s="25" t="s">
        <v>3423</v>
      </c>
      <c r="D295" s="25" t="s">
        <v>3090</v>
      </c>
      <c r="E295" s="25" t="s">
        <v>266</v>
      </c>
      <c r="F295" s="12" t="s">
        <v>3430</v>
      </c>
      <c r="G295" s="25" t="s">
        <v>3425</v>
      </c>
      <c r="H295" s="25" t="s">
        <v>626</v>
      </c>
      <c r="I295" s="25" t="s">
        <v>1580</v>
      </c>
      <c r="J295" s="14" t="n">
        <v>1.55</v>
      </c>
      <c r="K295" s="29"/>
      <c r="L295" s="29"/>
      <c r="M295" s="29"/>
      <c r="N295" s="25" t="s">
        <v>3094</v>
      </c>
      <c r="O295" s="25" t="s">
        <v>113</v>
      </c>
      <c r="P295" s="25" t="s">
        <v>1580</v>
      </c>
      <c r="Q295" s="22" t="s">
        <v>849</v>
      </c>
      <c r="R295" s="12" t="s">
        <v>3431</v>
      </c>
    </row>
    <row r="296" customFormat="false" ht="19.5" hidden="false" customHeight="true" outlineLevel="0" collapsed="false">
      <c r="A296" s="27" t="s">
        <v>3432</v>
      </c>
      <c r="B296" s="27" t="s">
        <v>3088</v>
      </c>
      <c r="C296" s="27" t="s">
        <v>3149</v>
      </c>
      <c r="D296" s="27" t="s">
        <v>3090</v>
      </c>
      <c r="E296" s="27" t="s">
        <v>257</v>
      </c>
      <c r="F296" s="9" t="s">
        <v>3433</v>
      </c>
      <c r="G296" s="27" t="s">
        <v>3434</v>
      </c>
      <c r="H296" s="27" t="s">
        <v>3435</v>
      </c>
      <c r="I296" s="27" t="s">
        <v>1580</v>
      </c>
      <c r="J296" s="11" t="n">
        <v>-0.08</v>
      </c>
      <c r="K296" s="11" t="n">
        <v>-0.1</v>
      </c>
      <c r="L296" s="11" t="n">
        <v>-0.06</v>
      </c>
      <c r="M296" s="30"/>
      <c r="N296" s="27" t="s">
        <v>3094</v>
      </c>
      <c r="O296" s="27" t="s">
        <v>86</v>
      </c>
      <c r="P296" s="27" t="s">
        <v>1580</v>
      </c>
      <c r="Q296" s="23" t="s">
        <v>879</v>
      </c>
      <c r="R296" s="9" t="s">
        <v>3436</v>
      </c>
    </row>
    <row r="297" customFormat="false" ht="19.5" hidden="false" customHeight="true" outlineLevel="0" collapsed="false">
      <c r="A297" s="25" t="s">
        <v>3437</v>
      </c>
      <c r="B297" s="25" t="s">
        <v>3088</v>
      </c>
      <c r="C297" s="25" t="s">
        <v>3423</v>
      </c>
      <c r="D297" s="25" t="s">
        <v>3090</v>
      </c>
      <c r="E297" s="25" t="s">
        <v>266</v>
      </c>
      <c r="F297" s="12" t="s">
        <v>3430</v>
      </c>
      <c r="G297" s="25" t="s">
        <v>3438</v>
      </c>
      <c r="H297" s="25" t="s">
        <v>626</v>
      </c>
      <c r="I297" s="25" t="s">
        <v>1580</v>
      </c>
      <c r="J297" s="14" t="n">
        <v>1.44</v>
      </c>
      <c r="K297" s="29"/>
      <c r="L297" s="29"/>
      <c r="M297" s="29"/>
      <c r="N297" s="25" t="s">
        <v>3094</v>
      </c>
      <c r="O297" s="25" t="s">
        <v>113</v>
      </c>
      <c r="P297" s="25" t="s">
        <v>1580</v>
      </c>
      <c r="Q297" s="22" t="s">
        <v>2905</v>
      </c>
      <c r="R297" s="12" t="s">
        <v>3439</v>
      </c>
    </row>
    <row r="298" customFormat="false" ht="19.5" hidden="false" customHeight="true" outlineLevel="0" collapsed="false">
      <c r="A298" s="27" t="s">
        <v>3440</v>
      </c>
      <c r="B298" s="27" t="s">
        <v>3088</v>
      </c>
      <c r="C298" s="27" t="s">
        <v>3441</v>
      </c>
      <c r="D298" s="27" t="s">
        <v>3090</v>
      </c>
      <c r="E298" s="27" t="s">
        <v>266</v>
      </c>
      <c r="F298" s="9" t="s">
        <v>3430</v>
      </c>
      <c r="G298" s="27" t="s">
        <v>3442</v>
      </c>
      <c r="H298" s="27" t="s">
        <v>3443</v>
      </c>
      <c r="I298" s="27" t="s">
        <v>3444</v>
      </c>
      <c r="J298" s="11" t="n">
        <v>1.68</v>
      </c>
      <c r="K298" s="11" t="n">
        <v>1.65</v>
      </c>
      <c r="L298" s="11" t="n">
        <v>1.73</v>
      </c>
      <c r="M298" s="30"/>
      <c r="N298" s="27" t="s">
        <v>3094</v>
      </c>
      <c r="O298" s="27" t="s">
        <v>113</v>
      </c>
      <c r="P298" s="27" t="s">
        <v>3444</v>
      </c>
      <c r="Q298" s="23" t="s">
        <v>2830</v>
      </c>
      <c r="R298" s="9" t="s">
        <v>3445</v>
      </c>
    </row>
    <row r="299" customFormat="false" ht="19.5" hidden="false" customHeight="true" outlineLevel="0" collapsed="false">
      <c r="A299" s="25" t="s">
        <v>3446</v>
      </c>
      <c r="B299" s="25" t="s">
        <v>3088</v>
      </c>
      <c r="C299" s="25" t="s">
        <v>3447</v>
      </c>
      <c r="D299" s="25" t="s">
        <v>3090</v>
      </c>
      <c r="E299" s="25" t="s">
        <v>362</v>
      </c>
      <c r="F299" s="12" t="s">
        <v>3448</v>
      </c>
      <c r="G299" s="25" t="s">
        <v>3449</v>
      </c>
      <c r="H299" s="25" t="s">
        <v>3450</v>
      </c>
      <c r="I299" s="25" t="s">
        <v>3451</v>
      </c>
      <c r="J299" s="29"/>
      <c r="K299" s="29"/>
      <c r="L299" s="29"/>
      <c r="M299" s="29"/>
      <c r="N299" s="25" t="s">
        <v>3452</v>
      </c>
      <c r="O299" s="25" t="s">
        <v>157</v>
      </c>
      <c r="P299" s="25" t="s">
        <v>3451</v>
      </c>
      <c r="Q299" s="22" t="s">
        <v>1810</v>
      </c>
      <c r="R299" s="12" t="s">
        <v>3453</v>
      </c>
    </row>
    <row r="300" customFormat="false" ht="19.5" hidden="false" customHeight="true" outlineLevel="0" collapsed="false">
      <c r="A300" s="27" t="s">
        <v>3454</v>
      </c>
      <c r="B300" s="27" t="s">
        <v>3088</v>
      </c>
      <c r="C300" s="27" t="s">
        <v>3455</v>
      </c>
      <c r="D300" s="27" t="s">
        <v>3090</v>
      </c>
      <c r="E300" s="27" t="s">
        <v>362</v>
      </c>
      <c r="F300" s="9" t="s">
        <v>3424</v>
      </c>
      <c r="G300" s="27" t="s">
        <v>3456</v>
      </c>
      <c r="H300" s="27" t="s">
        <v>3457</v>
      </c>
      <c r="I300" s="27" t="s">
        <v>1580</v>
      </c>
      <c r="J300" s="11" t="n">
        <v>1.21</v>
      </c>
      <c r="K300" s="30"/>
      <c r="L300" s="11" t="n">
        <v>1.21</v>
      </c>
      <c r="M300" s="30"/>
      <c r="N300" s="27" t="s">
        <v>3094</v>
      </c>
      <c r="O300" s="27" t="s">
        <v>113</v>
      </c>
      <c r="P300" s="27" t="s">
        <v>1580</v>
      </c>
      <c r="Q300" s="23" t="s">
        <v>3458</v>
      </c>
      <c r="R300" s="9" t="s">
        <v>3459</v>
      </c>
    </row>
    <row r="301" customFormat="false" ht="19.5" hidden="false" customHeight="true" outlineLevel="0" collapsed="false">
      <c r="A301" s="25" t="s">
        <v>3460</v>
      </c>
      <c r="B301" s="25" t="s">
        <v>3088</v>
      </c>
      <c r="C301" s="25" t="s">
        <v>3455</v>
      </c>
      <c r="D301" s="25" t="s">
        <v>3090</v>
      </c>
      <c r="E301" s="25" t="s">
        <v>355</v>
      </c>
      <c r="F301" s="12" t="s">
        <v>356</v>
      </c>
      <c r="G301" s="25" t="s">
        <v>3456</v>
      </c>
      <c r="H301" s="25" t="s">
        <v>3457</v>
      </c>
      <c r="I301" s="25" t="s">
        <v>1580</v>
      </c>
      <c r="J301" s="14" t="n">
        <v>1.63</v>
      </c>
      <c r="K301" s="29"/>
      <c r="L301" s="14" t="n">
        <v>1.63</v>
      </c>
      <c r="M301" s="29"/>
      <c r="N301" s="25" t="s">
        <v>3094</v>
      </c>
      <c r="O301" s="25" t="s">
        <v>113</v>
      </c>
      <c r="P301" s="25" t="s">
        <v>1580</v>
      </c>
      <c r="Q301" s="22" t="s">
        <v>3458</v>
      </c>
      <c r="R301" s="12" t="s">
        <v>3461</v>
      </c>
    </row>
    <row r="302" customFormat="false" ht="19.5" hidden="false" customHeight="true" outlineLevel="0" collapsed="false">
      <c r="A302" s="27" t="s">
        <v>3462</v>
      </c>
      <c r="B302" s="27" t="s">
        <v>3088</v>
      </c>
      <c r="C302" s="27" t="s">
        <v>3455</v>
      </c>
      <c r="D302" s="27" t="s">
        <v>3090</v>
      </c>
      <c r="E302" s="27" t="s">
        <v>266</v>
      </c>
      <c r="F302" s="9" t="s">
        <v>3430</v>
      </c>
      <c r="G302" s="27" t="s">
        <v>3456</v>
      </c>
      <c r="H302" s="27" t="s">
        <v>3457</v>
      </c>
      <c r="I302" s="27" t="s">
        <v>1580</v>
      </c>
      <c r="J302" s="11" t="n">
        <v>1.75</v>
      </c>
      <c r="K302" s="11" t="n">
        <v>1.6</v>
      </c>
      <c r="L302" s="11" t="n">
        <v>1.75</v>
      </c>
      <c r="M302" s="30"/>
      <c r="N302" s="27" t="s">
        <v>3094</v>
      </c>
      <c r="O302" s="27" t="s">
        <v>113</v>
      </c>
      <c r="P302" s="27" t="s">
        <v>1580</v>
      </c>
      <c r="Q302" s="23" t="s">
        <v>3458</v>
      </c>
      <c r="R302" s="9" t="s">
        <v>3463</v>
      </c>
    </row>
    <row r="303" customFormat="false" ht="19.5" hidden="false" customHeight="true" outlineLevel="0" collapsed="false">
      <c r="A303" s="25" t="s">
        <v>3464</v>
      </c>
      <c r="B303" s="25" t="s">
        <v>3088</v>
      </c>
      <c r="C303" s="25" t="s">
        <v>3423</v>
      </c>
      <c r="D303" s="25" t="s">
        <v>3090</v>
      </c>
      <c r="E303" s="25" t="s">
        <v>266</v>
      </c>
      <c r="F303" s="12" t="s">
        <v>3430</v>
      </c>
      <c r="G303" s="25" t="s">
        <v>3465</v>
      </c>
      <c r="H303" s="25" t="s">
        <v>3466</v>
      </c>
      <c r="I303" s="25" t="s">
        <v>1580</v>
      </c>
      <c r="J303" s="14" t="n">
        <v>1.65</v>
      </c>
      <c r="K303" s="14" t="n">
        <v>1.6</v>
      </c>
      <c r="L303" s="14" t="n">
        <v>1.7</v>
      </c>
      <c r="M303" s="29"/>
      <c r="N303" s="25" t="s">
        <v>3094</v>
      </c>
      <c r="O303" s="25" t="s">
        <v>113</v>
      </c>
      <c r="P303" s="25" t="s">
        <v>1580</v>
      </c>
      <c r="Q303" s="22" t="s">
        <v>964</v>
      </c>
      <c r="R303" s="12" t="s">
        <v>3467</v>
      </c>
    </row>
    <row r="304" customFormat="false" ht="19.5" hidden="false" customHeight="true" outlineLevel="0" collapsed="false">
      <c r="A304" s="27" t="s">
        <v>3468</v>
      </c>
      <c r="B304" s="27" t="s">
        <v>3088</v>
      </c>
      <c r="C304" s="27" t="s">
        <v>3423</v>
      </c>
      <c r="D304" s="27" t="s">
        <v>3090</v>
      </c>
      <c r="E304" s="27" t="s">
        <v>266</v>
      </c>
      <c r="F304" s="9" t="s">
        <v>3430</v>
      </c>
      <c r="G304" s="27" t="s">
        <v>2916</v>
      </c>
      <c r="H304" s="27" t="s">
        <v>3466</v>
      </c>
      <c r="I304" s="27" t="s">
        <v>1580</v>
      </c>
      <c r="J304" s="11" t="n">
        <v>1.55</v>
      </c>
      <c r="K304" s="11" t="n">
        <v>1.5</v>
      </c>
      <c r="L304" s="11" t="n">
        <v>1.6</v>
      </c>
      <c r="M304" s="30"/>
      <c r="N304" s="27" t="s">
        <v>3094</v>
      </c>
      <c r="O304" s="27" t="s">
        <v>113</v>
      </c>
      <c r="P304" s="27" t="s">
        <v>1580</v>
      </c>
      <c r="Q304" s="23" t="s">
        <v>968</v>
      </c>
      <c r="R304" s="9" t="s">
        <v>3469</v>
      </c>
    </row>
    <row r="305" customFormat="false" ht="19.5" hidden="false" customHeight="true" outlineLevel="0" collapsed="false">
      <c r="A305" s="25" t="s">
        <v>3470</v>
      </c>
      <c r="B305" s="25" t="s">
        <v>3088</v>
      </c>
      <c r="C305" s="25" t="s">
        <v>3423</v>
      </c>
      <c r="D305" s="25" t="s">
        <v>3090</v>
      </c>
      <c r="E305" s="25" t="s">
        <v>266</v>
      </c>
      <c r="F305" s="12" t="s">
        <v>3430</v>
      </c>
      <c r="G305" s="25" t="s">
        <v>1194</v>
      </c>
      <c r="H305" s="25" t="s">
        <v>3466</v>
      </c>
      <c r="I305" s="25" t="s">
        <v>1580</v>
      </c>
      <c r="J305" s="14" t="n">
        <v>1.55</v>
      </c>
      <c r="K305" s="14" t="n">
        <v>1.5</v>
      </c>
      <c r="L305" s="14" t="n">
        <v>1.6</v>
      </c>
      <c r="M305" s="29"/>
      <c r="N305" s="25" t="s">
        <v>3094</v>
      </c>
      <c r="O305" s="25" t="s">
        <v>113</v>
      </c>
      <c r="P305" s="25" t="s">
        <v>1580</v>
      </c>
      <c r="Q305" s="22" t="s">
        <v>1189</v>
      </c>
      <c r="R305" s="12" t="s">
        <v>3471</v>
      </c>
    </row>
    <row r="306" customFormat="false" ht="19.5" hidden="false" customHeight="true" outlineLevel="0" collapsed="false">
      <c r="A306" s="27" t="s">
        <v>3472</v>
      </c>
      <c r="B306" s="27" t="s">
        <v>3088</v>
      </c>
      <c r="C306" s="27" t="s">
        <v>3455</v>
      </c>
      <c r="D306" s="27" t="s">
        <v>3090</v>
      </c>
      <c r="E306" s="27" t="s">
        <v>362</v>
      </c>
      <c r="F306" s="9" t="s">
        <v>3424</v>
      </c>
      <c r="G306" s="27" t="s">
        <v>3473</v>
      </c>
      <c r="H306" s="27" t="s">
        <v>3474</v>
      </c>
      <c r="I306" s="27" t="s">
        <v>1580</v>
      </c>
      <c r="J306" s="11" t="n">
        <v>1.35</v>
      </c>
      <c r="K306" s="30"/>
      <c r="L306" s="11" t="n">
        <v>1.35</v>
      </c>
      <c r="M306" s="30"/>
      <c r="N306" s="27" t="s">
        <v>3094</v>
      </c>
      <c r="O306" s="27" t="s">
        <v>113</v>
      </c>
      <c r="P306" s="27" t="s">
        <v>1580</v>
      </c>
      <c r="Q306" s="23" t="s">
        <v>3475</v>
      </c>
      <c r="R306" s="9" t="s">
        <v>3476</v>
      </c>
    </row>
  </sheetData>
  <mergeCells count="2">
    <mergeCell ref="A1:R1"/>
    <mergeCell ref="A2:R2"/>
  </mergeCells>
  <hyperlinks>
    <hyperlink ref="Q5" r:id="rId1" display="http://thuyloitiengiang.vn/web/thuyloitiengiang/chi-tiet-tin-tuc?id=464847"/>
    <hyperlink ref="Q6" r:id="rId2" display="http://thuyloitiengiang.vn/web/thuyloitiengiang/chi-tiet-tin-tuc?id=464847"/>
    <hyperlink ref="Q7" r:id="rId3" display="http://thuyloitiengiang.vn/web/thuyloitiengiang/chi-tiet-tin-tuc?id=464847"/>
    <hyperlink ref="Q8" r:id="rId4" display="http://thuyloitiengiang.vn/web/thuyloitiengiang/chi-tiet-tin-tuc?id=464847"/>
    <hyperlink ref="Q9" r:id="rId5" display="http://thuyloitiengiang.vn/web/thuyloitiengiang/chi-tiet-tin-tuc?id=464851"/>
    <hyperlink ref="Q10" r:id="rId6" display="http://thuyloitiengiang.vn/web/thuyloitiengiang/chi-tiet-tin-tuc?id=464851"/>
    <hyperlink ref="Q11" r:id="rId7" display="http://thuyloitiengiang.vn/web/thuyloitiengiang/chi-tiet-tin-tuc?id=464851"/>
    <hyperlink ref="Q12" r:id="rId8" display="http://thuyloitiengiang.vn/web/thuyloitiengiang/chi-tiet-tin-tuc?id=464851"/>
    <hyperlink ref="Q13" r:id="rId9" display="http://thuyloitiengiang.vn/web/thuyloitiengiang/chi-tiet-tin-tuc?id=464854"/>
    <hyperlink ref="Q14" r:id="rId10" display="http://thuyloitiengiang.vn/web/thuyloitiengiang/chi-tiet-tin-tuc?id=464854"/>
    <hyperlink ref="Q15" r:id="rId11" display="http://thuyloitiengiang.vn/ja/web/thuyloitiengiang/chi-tiet-tin-tuc?id=520619"/>
    <hyperlink ref="Q16" r:id="rId12" display="http://thuyloitiengiang.vn/ja/web/thuyloitiengiang/chi-tiet-tin-tuc?id=520619"/>
    <hyperlink ref="Q17" r:id="rId13" display="http://thuyloitiengiang.vn/ja/web/thuyloitiengiang/chi-tiet-tin-tuc?id=520619"/>
    <hyperlink ref="Q18" r:id="rId14" display="http://thuyloitiengiang.vn/ja/web/thuyloitiengiang/chi-tiet-tin-tuc?id=520619"/>
    <hyperlink ref="Q19" r:id="rId15" display="http://thuyloitiengiang.vn/ja/web/thuyloitiengiang/chi-tiet-tin-tuc?id=520621"/>
    <hyperlink ref="Q20" r:id="rId16" display="http://thuyloitiengiang.vn/ja/web/thuyloitiengiang/chi-tiet-tin-tuc?id=520621"/>
    <hyperlink ref="Q21" r:id="rId17" display="http://thuyloitiengiang.vn/ja/web/thuyloitiengiang/chi-tiet-tin-tuc?id=520621"/>
    <hyperlink ref="Q22" r:id="rId18" display="http://thuyloitiengiang.vn/ja/web/thuyloitiengiang/chi-tiet-tin-tuc?id=520621"/>
    <hyperlink ref="Q23" r:id="rId19" display="http://thuyloitiengiang.vn/ja/web/thuyloitiengiang/chi-tiet-tin-tuc?id=520623"/>
    <hyperlink ref="Q24" r:id="rId20" display="http://thuyloitiengiang.vn/ja/web/thuyloitiengiang/chi-tiet-tin-tuc?id=520623"/>
    <hyperlink ref="Q25" r:id="rId21" display="http://thuyloitiengiang.vn/ja/web/thuyloitiengiang/chi-tiet-tin-tuc?id=520623"/>
    <hyperlink ref="Q26" r:id="rId22" display="http://thuyloitiengiang.vn/ja/web/thuyloitiengiang/chi-tiet-tin-tuc?id=520623"/>
    <hyperlink ref="Q27" r:id="rId23" display="http://thuyloitiengiang.vn/en/web/thuyloitiengiang/chi-tiet-tin-tuc?id=520630"/>
    <hyperlink ref="Q28" r:id="rId24" display="http://thuyloitiengiang.vn/en/web/thuyloitiengiang/chi-tiet-tin-tuc?id=520630"/>
    <hyperlink ref="Q29" r:id="rId25" display="http://thuyloitiengiang.vn/en/web/thuyloitiengiang/chi-tiet-tin-tuc?id=520630"/>
    <hyperlink ref="Q30" r:id="rId26" display="http://thuyloitiengiang.vn/en/web/thuyloitiengiang/chi-tiet-tin-tuc?id=520630"/>
    <hyperlink ref="Q31" r:id="rId27" display="http://thuyloitiengiang.vn/en/web/thuyloitiengiang/chi-tiet-tin-tuc?id=522066"/>
    <hyperlink ref="Q32" r:id="rId28" display="http://thuyloitiengiang.vn/en/web/thuyloitiengiang/chi-tiet-tin-tuc?id=522066"/>
    <hyperlink ref="Q33" r:id="rId29" display="http://thuyloitiengiang.vn/en/web/thuyloitiengiang/chi-tiet-tin-tuc?id=522066"/>
    <hyperlink ref="Q34" r:id="rId30" display="http://thuyloitiengiang.vn/en/web/thuyloitiengiang/chi-tiet-tin-tuc?id=522066"/>
    <hyperlink ref="Q35" r:id="rId31" display="https://baodongthap.vn/tien-giang-muc-nuoc-tai-cac-kinh-rach-vung-ngot-hoa-go-cong-dang-dan-xuong-thap-a4427.html"/>
    <hyperlink ref="Q36" r:id="rId32" display="https://baodongthap.vn/xam-nhap-man-giam-cong-xuan-hoa-lay-gan-nuoc-ngot-a5603.html"/>
    <hyperlink ref="Q37" r:id="rId33" display="https://baodongthap.vn/xam-nhap-man-giam-cong-xuan-hoa-lay-gan-nuoc-ngot-a5603.html"/>
    <hyperlink ref="Q38" r:id="rId34" display="https://baodongthap.vn/xam-nhap-man-dat-dinh-va-se-giam-dan-trong-nhung-ngay-toi-a6163.html"/>
    <hyperlink ref="Q39" r:id="rId35" display="https://baodongthap.vn/xam-nhap-man-dat-dinh-va-se-giam-dan-trong-nhung-ngay-toi-a6163.html"/>
    <hyperlink ref="Q40" r:id="rId36" display="https://phongchongthientaitiengiang.vn/?p=7360"/>
    <hyperlink ref="Q41" r:id="rId37" display="https://phongchongthientaitiengiang.vn/?p=7360"/>
    <hyperlink ref="Q42" r:id="rId38" display="https://phongchongthientaitiengiang.vn/?p=7360"/>
    <hyperlink ref="Q43" r:id="rId39" display="https://phongchongthientaitiengiang.vn/?p=7360"/>
    <hyperlink ref="Q44" r:id="rId40" display="https://phongchongthientaitiengiang.vn/?p=7360"/>
    <hyperlink ref="Q45" r:id="rId41" display="https://phongchongthientaitiengiang.vn/?p=7360"/>
    <hyperlink ref="Q46" r:id="rId42" display="http://thuyloitiengiang.vn/web/thuyloitiengiang/chi-tiet-tin-tuc?id=455328"/>
    <hyperlink ref="Q47" r:id="rId43" display="http://thuyloitiengiang.vn/web/thuyloitiengiang/chi-tiet-tin-tuc?id=455328"/>
    <hyperlink ref="Q48" r:id="rId44" display="http://thuyloitiengiang.vn/web/thuyloitiengiang/chi-tiet-tin-tuc?id=455328"/>
    <hyperlink ref="Q49" r:id="rId45" display="http://thuyloitiengiang.vn/web/thuyloitiengiang/chi-tiet-tin-tuc?id=455328"/>
    <hyperlink ref="Q50" r:id="rId46" display="http://thuyloitiengiang.vn/web/thuyloitiengiang/chi-tiet-tin-tuc?id=455328"/>
    <hyperlink ref="Q51" r:id="rId47" display="http://thuyloitiengiang.vn/web/thuyloitiengiang/chi-tiet-tin-tuc?id=455328"/>
    <hyperlink ref="Q52" r:id="rId48" display="http://thuyloitiengiang.vn/web/thuyloitiengiang/chi-tiet-tin-tuc?id=455332"/>
    <hyperlink ref="Q53" r:id="rId49" display="http://thuyloitiengiang.vn/web/thuyloitiengiang/chi-tiet-tin-tuc?id=455332"/>
    <hyperlink ref="Q54" r:id="rId50" display="http://thuyloitiengiang.vn/web/thuyloitiengiang/chi-tiet-tin-tuc?id=455332"/>
    <hyperlink ref="Q55" r:id="rId51" display="http://thuyloitiengiang.vn/web/thuyloitiengiang/chi-tiet-tin-tuc?id=455336"/>
    <hyperlink ref="Q56" r:id="rId52" display="http://thuyloitiengiang.vn/web/thuyloitiengiang/chi-tiet-tin-tuc?id=455336"/>
    <hyperlink ref="Q57" r:id="rId53" display="http://thuyloitiengiang.vn/web/thuyloitiengiang/chi-tiet-tin-tuc?id=455336"/>
    <hyperlink ref="Q58" r:id="rId54" display="http://thuyloitiengiang.vn/web/thuyloitiengiang/chi-tiet-tin-tuc?id=455412"/>
    <hyperlink ref="Q59" r:id="rId55" display="http://thuyloitiengiang.vn/web/thuyloitiengiang/chi-tiet-tin-tuc?id=455412"/>
    <hyperlink ref="Q60" r:id="rId56" display="http://thuyloitiengiang.vn/web/thuyloitiengiang/chi-tiet-tin-tuc?id=455412"/>
    <hyperlink ref="Q61" r:id="rId57" display="http://thuyloitiengiang.vn/web/thuyloitiengiang/chi-tiet-tin-tuc?id=455416"/>
    <hyperlink ref="Q62" r:id="rId58" display="http://thuyloitiengiang.vn/web/thuyloitiengiang/chi-tiet-tin-tuc?id=455416"/>
    <hyperlink ref="Q63" r:id="rId59" display="http://thuyloitiengiang.vn/web/thuyloitiengiang/chi-tiet-tin-tuc?id=455416"/>
    <hyperlink ref="Q64" r:id="rId60" display="http://thuyloitiengiang.vn/web/thuyloitiengiang/chi-tiet-tin-tuc?id=464847"/>
    <hyperlink ref="Q65" r:id="rId61" display="http://thuyloitiengiang.vn/web/thuyloitiengiang/chi-tiet-tin-tuc?id=464847"/>
    <hyperlink ref="Q66" r:id="rId62" display="http://thuyloitiengiang.vn/web/thuyloitiengiang/chi-tiet-tin-tuc?id=464847"/>
    <hyperlink ref="Q67" r:id="rId63" display="http://thuyloitiengiang.vn/web/thuyloitiengiang/chi-tiet-tin-tuc?id=464847"/>
    <hyperlink ref="Q68" r:id="rId64" display="http://thuyloitiengiang.vn/web/thuyloitiengiang/chi-tiet-tin-tuc?id=464847"/>
    <hyperlink ref="Q69" r:id="rId65" display="http://thuyloitiengiang.vn/web/thuyloitiengiang/chi-tiet-tin-tuc?id=464847"/>
    <hyperlink ref="Q70" r:id="rId66" display="http://thuyloitiengiang.vn/web/thuyloitiengiang/chi-tiet-tin-tuc?id=464847"/>
    <hyperlink ref="Q71" r:id="rId67" display="http://thuyloitiengiang.vn/web/thuyloitiengiang/chi-tiet-tin-tuc?id=464847"/>
    <hyperlink ref="Q72" r:id="rId68" display="http://thuyloitiengiang.vn/web/thuyloitiengiang/chi-tiet-tin-tuc?id=464847"/>
    <hyperlink ref="Q73" r:id="rId69" display="http://thuyloitiengiang.vn/web/thuyloitiengiang/chi-tiet-tin-tuc?id=464847"/>
    <hyperlink ref="Q74" r:id="rId70" display="http://thuyloitiengiang.vn/web/thuyloitiengiang/chi-tiet-tin-tuc?id=464847"/>
    <hyperlink ref="Q75" r:id="rId71" display="http://thuyloitiengiang.vn/web/thuyloitiengiang/chi-tiet-tin-tuc?id=464847"/>
    <hyperlink ref="Q76" r:id="rId72" display="http://thuyloitiengiang.vn/web/thuyloitiengiang/chi-tiet-tin-tuc?id=464847"/>
    <hyperlink ref="Q77" r:id="rId73" display="http://thuyloitiengiang.vn/web/thuyloitiengiang/chi-tiet-tin-tuc?id=464847"/>
    <hyperlink ref="Q78" r:id="rId74" display="http://thuyloitiengiang.vn/web/thuyloitiengiang/chi-tiet-tin-tuc?id=464847"/>
    <hyperlink ref="Q79" r:id="rId75" display="http://thuyloitiengiang.vn/web/thuyloitiengiang/chi-tiet-tin-tuc?id=464847"/>
    <hyperlink ref="Q80" r:id="rId76" display="http://thuyloitiengiang.vn/web/thuyloitiengiang/chi-tiet-tin-tuc?id=464847"/>
    <hyperlink ref="Q81" r:id="rId77" display="http://thuyloitiengiang.vn/web/thuyloitiengiang/chi-tiet-tin-tuc?id=464847"/>
    <hyperlink ref="Q82" r:id="rId78" display="http://thuyloitiengiang.vn/web/thuyloitiengiang/chi-tiet-tin-tuc?id=464847"/>
    <hyperlink ref="Q83" r:id="rId79" display="http://thuyloitiengiang.vn/web/thuyloitiengiang/chi-tiet-tin-tuc?id=464847"/>
    <hyperlink ref="Q84" r:id="rId80" display="http://thuyloitiengiang.vn/web/thuyloitiengiang/chi-tiet-tin-tuc?id=464847"/>
    <hyperlink ref="Q85" r:id="rId81" display="http://thuyloitiengiang.vn/web/thuyloitiengiang/chi-tiet-tin-tuc?id=464847"/>
    <hyperlink ref="Q86" r:id="rId82" display="http://thuyloitiengiang.vn/web/thuyloitiengiang/chi-tiet-tin-tuc?id=464847"/>
    <hyperlink ref="Q87" r:id="rId83" display="http://thuyloitiengiang.vn/web/thuyloitiengiang/chi-tiet-tin-tuc?id=464847"/>
    <hyperlink ref="Q88" r:id="rId84" display="http://thuyloitiengiang.vn/web/thuyloitiengiang/chi-tiet-tin-tuc?id=464847"/>
    <hyperlink ref="Q89" r:id="rId85" display="http://thuyloitiengiang.vn/web/thuyloitiengiang/chi-tiet-tin-tuc?id=464847"/>
    <hyperlink ref="Q90" r:id="rId86" display="http://thuyloitiengiang.vn/web/thuyloitiengiang/chi-tiet-tin-tuc?id=464847"/>
    <hyperlink ref="Q91" r:id="rId87" display="http://thuyloitiengiang.vn/web/thuyloitiengiang/chi-tiet-tin-tuc?id=464847"/>
    <hyperlink ref="Q92" r:id="rId88" display="http://thuyloitiengiang.vn/web/thuyloitiengiang/chi-tiet-tin-tuc?id=464847"/>
    <hyperlink ref="Q93" r:id="rId89" display="http://thuyloitiengiang.vn/web/thuyloitiengiang/chi-tiet-tin-tuc?id=464851"/>
    <hyperlink ref="Q94" r:id="rId90" display="http://thuyloitiengiang.vn/web/thuyloitiengiang/chi-tiet-tin-tuc?id=464851"/>
    <hyperlink ref="Q95" r:id="rId91" display="http://thuyloitiengiang.vn/web/thuyloitiengiang/chi-tiet-tin-tuc?id=464851"/>
    <hyperlink ref="Q96" r:id="rId92" display="http://thuyloitiengiang.vn/web/thuyloitiengiang/chi-tiet-tin-tuc?id=464851"/>
    <hyperlink ref="Q97" r:id="rId93" display="http://thuyloitiengiang.vn/web/thuyloitiengiang/chi-tiet-tin-tuc?id=464851"/>
    <hyperlink ref="Q98" r:id="rId94" display="http://thuyloitiengiang.vn/web/thuyloitiengiang/chi-tiet-tin-tuc?id=464851"/>
    <hyperlink ref="Q99" r:id="rId95" display="http://thuyloitiengiang.vn/web/thuyloitiengiang/chi-tiet-tin-tuc?id=464851"/>
    <hyperlink ref="Q100" r:id="rId96" display="http://thuyloitiengiang.vn/web/thuyloitiengiang/chi-tiet-tin-tuc?id=464851"/>
    <hyperlink ref="Q101" r:id="rId97" display="http://thuyloitiengiang.vn/web/thuyloitiengiang/chi-tiet-tin-tuc?id=464851"/>
    <hyperlink ref="Q102" r:id="rId98" display="http://thuyloitiengiang.vn/web/thuyloitiengiang/chi-tiet-tin-tuc?id=464851"/>
    <hyperlink ref="Q103" r:id="rId99" display="http://thuyloitiengiang.vn/web/thuyloitiengiang/chi-tiet-tin-tuc?id=464851"/>
    <hyperlink ref="Q104" r:id="rId100" display="http://thuyloitiengiang.vn/web/thuyloitiengiang/chi-tiet-tin-tuc?id=464851"/>
    <hyperlink ref="Q105" r:id="rId101" display="http://thuyloitiengiang.vn/web/thuyloitiengiang/chi-tiet-tin-tuc?id=464851"/>
    <hyperlink ref="Q106" r:id="rId102" display="http://thuyloitiengiang.vn/web/thuyloitiengiang/chi-tiet-tin-tuc?id=464851"/>
    <hyperlink ref="Q107" r:id="rId103" display="http://thuyloitiengiang.vn/web/thuyloitiengiang/chi-tiet-tin-tuc?id=464851"/>
    <hyperlink ref="Q108" r:id="rId104" display="http://thuyloitiengiang.vn/web/thuyloitiengiang/chi-tiet-tin-tuc?id=464851"/>
    <hyperlink ref="Q109" r:id="rId105" display="http://thuyloitiengiang.vn/web/thuyloitiengiang/chi-tiet-tin-tuc?id=464851"/>
    <hyperlink ref="Q110" r:id="rId106" display="http://thuyloitiengiang.vn/web/thuyloitiengiang/chi-tiet-tin-tuc?id=464851"/>
    <hyperlink ref="Q111" r:id="rId107" display="http://thuyloitiengiang.vn/web/thuyloitiengiang/chi-tiet-tin-tuc?id=464851"/>
    <hyperlink ref="Q112" r:id="rId108" display="http://thuyloitiengiang.vn/web/thuyloitiengiang/chi-tiet-tin-tuc?id=464851"/>
    <hyperlink ref="Q113" r:id="rId109" display="http://thuyloitiengiang.vn/web/thuyloitiengiang/chi-tiet-tin-tuc?id=464851"/>
    <hyperlink ref="Q114" r:id="rId110" display="http://thuyloitiengiang.vn/web/thuyloitiengiang/chi-tiet-tin-tuc?id=464851"/>
    <hyperlink ref="Q115" r:id="rId111" display="http://thuyloitiengiang.vn/web/thuyloitiengiang/chi-tiet-tin-tuc?id=464851"/>
    <hyperlink ref="Q116" r:id="rId112" display="http://thuyloitiengiang.vn/web/thuyloitiengiang/chi-tiet-tin-tuc?id=464851"/>
    <hyperlink ref="Q117" r:id="rId113" display="http://thuyloitiengiang.vn/web/thuyloitiengiang/chi-tiet-tin-tuc?id=464851"/>
    <hyperlink ref="Q118" r:id="rId114" display="http://thuyloitiengiang.vn/web/thuyloitiengiang/chi-tiet-tin-tuc?id=464851"/>
    <hyperlink ref="Q119" r:id="rId115" display="http://thuyloitiengiang.vn/web/thuyloitiengiang/chi-tiet-tin-tuc?id=464851"/>
    <hyperlink ref="Q120" r:id="rId116" display="http://thuyloitiengiang.vn/web/thuyloitiengiang/chi-tiet-tin-tuc?id=464851"/>
    <hyperlink ref="Q121" r:id="rId117" display="http://thuyloitiengiang.vn/web/thuyloitiengiang/chi-tiet-tin-tuc?id=464851"/>
    <hyperlink ref="Q122" r:id="rId118" display="http://thuyloitiengiang.vn/web/thuyloitiengiang/chi-tiet-tin-tuc?id=464854"/>
    <hyperlink ref="Q123" r:id="rId119" display="http://thuyloitiengiang.vn/web/thuyloitiengiang/chi-tiet-tin-tuc?id=464854"/>
    <hyperlink ref="Q124" r:id="rId120" display="http://thuyloitiengiang.vn/web/thuyloitiengiang/chi-tiet-tin-tuc?id=464854"/>
    <hyperlink ref="Q125" r:id="rId121" display="http://thuyloitiengiang.vn/web/thuyloitiengiang/chi-tiet-tin-tuc?id=464854"/>
    <hyperlink ref="Q126" r:id="rId122" display="http://thuyloitiengiang.vn/web/thuyloitiengiang/chi-tiet-tin-tuc?id=464854"/>
    <hyperlink ref="Q127" r:id="rId123" display="http://thuyloitiengiang.vn/web/thuyloitiengiang/chi-tiet-tin-tuc?id=464854"/>
    <hyperlink ref="Q128" r:id="rId124" display="http://thuyloitiengiang.vn/web/thuyloitiengiang/chi-tiet-tin-tuc?id=464854"/>
    <hyperlink ref="Q129" r:id="rId125" display="http://thuyloitiengiang.vn/web/thuyloitiengiang/chi-tiet-tin-tuc?id=464854"/>
    <hyperlink ref="Q130" r:id="rId126" display="http://thuyloitiengiang.vn/web/thuyloitiengiang/chi-tiet-tin-tuc?id=464854"/>
    <hyperlink ref="Q131" r:id="rId127" display="http://thuyloitiengiang.vn/web/thuyloitiengiang/chi-tiet-tin-tuc?id=464854"/>
    <hyperlink ref="Q132" r:id="rId128" display="http://thuyloitiengiang.vn/web/thuyloitiengiang/chi-tiet-tin-tuc?id=464854"/>
    <hyperlink ref="Q133" r:id="rId129" display="http://thuyloitiengiang.vn/web/thuyloitiengiang/chi-tiet-tin-tuc?id=464854"/>
    <hyperlink ref="Q134" r:id="rId130" display="http://thuyloitiengiang.vn/web/thuyloitiengiang/chi-tiet-tin-tuc?id=464854"/>
    <hyperlink ref="Q135" r:id="rId131" display="http://thuyloitiengiang.vn/web/thuyloitiengiang/chi-tiet-tin-tuc?id=464854"/>
    <hyperlink ref="Q136" r:id="rId132" display="http://thuyloitiengiang.vn/web/thuyloitiengiang/chi-tiet-tin-tuc?id=464854"/>
    <hyperlink ref="Q137" r:id="rId133" display="http://thuyloitiengiang.vn/web/thuyloitiengiang/chi-tiet-tin-tuc?id=464854"/>
    <hyperlink ref="Q138" r:id="rId134" display="http://thuyloitiengiang.vn/web/thuyloitiengiang/chi-tiet-tin-tuc?id=464854"/>
    <hyperlink ref="Q139" r:id="rId135" display="http://thuyloitiengiang.vn/web/thuyloitiengiang/chi-tiet-tin-tuc?id=464854"/>
    <hyperlink ref="Q140" r:id="rId136" display="http://thuyloitiengiang.vn/web/thuyloitiengiang/chi-tiet-tin-tuc?id=464854"/>
    <hyperlink ref="Q141" r:id="rId137" display="http://thuyloitiengiang.vn/web/thuyloitiengiang/chi-tiet-tin-tuc?id=464854"/>
    <hyperlink ref="Q142" r:id="rId138" display="http://thuyloitiengiang.vn/web/thuyloitiengiang/chi-tiet-tin-tuc?id=464854"/>
    <hyperlink ref="Q143" r:id="rId139" display="http://thuyloitiengiang.vn/web/thuyloitiengiang/chi-tiet-tin-tuc?id=464854"/>
    <hyperlink ref="Q144" r:id="rId140" display="http://thuyloitiengiang.vn/web/thuyloitiengiang/chi-tiet-tin-tuc?id=464854"/>
    <hyperlink ref="Q145" r:id="rId141" display="http://thuyloitiengiang.vn/web/thuyloitiengiang/chi-tiet-tin-tuc?id=464854"/>
    <hyperlink ref="Q146" r:id="rId142" display="http://thuyloitiengiang.vn/web/thuyloitiengiang/chi-tiet-tin-tuc?id=464854"/>
    <hyperlink ref="Q147" r:id="rId143" display="http://thuyloitiengiang.vn/web/thuyloitiengiang/chi-tiet-tin-tuc?id=464854"/>
    <hyperlink ref="Q148" r:id="rId144" display="http://thuyloitiengiang.vn/web/thuyloitiengiang/chi-tiet-tin-tuc?id=464854"/>
    <hyperlink ref="Q149" r:id="rId145" display="http://thuyloitiengiang.vn/web/thuyloitiengiang/chi-tiet-tin-tuc?id=464854"/>
    <hyperlink ref="Q150" r:id="rId146" display="http://thuyloitiengiang.vn/web/thuyloitiengiang/chi-tiet-tin-tuc?id=464854"/>
    <hyperlink ref="Q151" r:id="rId147" display="http://thuyloitiengiang.vn/ja/web/thuyloitiengiang/chi-tiet-tin-tuc?id=520619"/>
    <hyperlink ref="Q152" r:id="rId148" display="http://thuyloitiengiang.vn/ja/web/thuyloitiengiang/chi-tiet-tin-tuc?id=520619"/>
    <hyperlink ref="Q153" r:id="rId149" display="http://thuyloitiengiang.vn/ja/web/thuyloitiengiang/chi-tiet-tin-tuc?id=520619"/>
    <hyperlink ref="Q154" r:id="rId150" display="http://thuyloitiengiang.vn/ja/web/thuyloitiengiang/chi-tiet-tin-tuc?id=520619"/>
    <hyperlink ref="Q155" r:id="rId151" display="http://thuyloitiengiang.vn/ja/web/thuyloitiengiang/chi-tiet-tin-tuc?id=520619"/>
    <hyperlink ref="Q156" r:id="rId152" display="http://thuyloitiengiang.vn/ja/web/thuyloitiengiang/chi-tiet-tin-tuc?id=520619"/>
    <hyperlink ref="Q157" r:id="rId153" display="http://thuyloitiengiang.vn/ja/web/thuyloitiengiang/chi-tiet-tin-tuc?id=520619"/>
    <hyperlink ref="Q158" r:id="rId154" display="http://thuyloitiengiang.vn/ja/web/thuyloitiengiang/chi-tiet-tin-tuc?id=520619"/>
    <hyperlink ref="Q159" r:id="rId155" display="http://thuyloitiengiang.vn/ja/web/thuyloitiengiang/chi-tiet-tin-tuc?id=520619"/>
    <hyperlink ref="Q160" r:id="rId156" display="http://thuyloitiengiang.vn/ja/web/thuyloitiengiang/chi-tiet-tin-tuc?id=520619"/>
    <hyperlink ref="Q161" r:id="rId157" display="http://thuyloitiengiang.vn/ja/web/thuyloitiengiang/chi-tiet-tin-tuc?id=520619"/>
    <hyperlink ref="Q162" r:id="rId158" display="http://thuyloitiengiang.vn/ja/web/thuyloitiengiang/chi-tiet-tin-tuc?id=520619"/>
    <hyperlink ref="Q163" r:id="rId159" display="http://thuyloitiengiang.vn/ja/web/thuyloitiengiang/chi-tiet-tin-tuc?id=520619"/>
    <hyperlink ref="Q164" r:id="rId160" display="http://thuyloitiengiang.vn/ja/web/thuyloitiengiang/chi-tiet-tin-tuc?id=520619"/>
    <hyperlink ref="Q165" r:id="rId161" display="http://thuyloitiengiang.vn/ja/web/thuyloitiengiang/chi-tiet-tin-tuc?id=520619"/>
    <hyperlink ref="Q166" r:id="rId162" display="http://thuyloitiengiang.vn/ja/web/thuyloitiengiang/chi-tiet-tin-tuc?id=520619"/>
    <hyperlink ref="Q167" r:id="rId163" display="http://thuyloitiengiang.vn/ja/web/thuyloitiengiang/chi-tiet-tin-tuc?id=520619"/>
    <hyperlink ref="Q168" r:id="rId164" display="http://thuyloitiengiang.vn/ja/web/thuyloitiengiang/chi-tiet-tin-tuc?id=520619"/>
    <hyperlink ref="Q169" r:id="rId165" display="http://thuyloitiengiang.vn/ja/web/thuyloitiengiang/chi-tiet-tin-tuc?id=520619"/>
    <hyperlink ref="Q170" r:id="rId166" display="http://thuyloitiengiang.vn/ja/web/thuyloitiengiang/chi-tiet-tin-tuc?id=520619"/>
    <hyperlink ref="Q171" r:id="rId167" display="http://thuyloitiengiang.vn/ja/web/thuyloitiengiang/chi-tiet-tin-tuc?id=520619"/>
    <hyperlink ref="Q172" r:id="rId168" display="http://thuyloitiengiang.vn/ja/web/thuyloitiengiang/chi-tiet-tin-tuc?id=520619"/>
    <hyperlink ref="Q173" r:id="rId169" display="http://thuyloitiengiang.vn/ja/web/thuyloitiengiang/chi-tiet-tin-tuc?id=520619"/>
    <hyperlink ref="Q174" r:id="rId170" display="http://thuyloitiengiang.vn/ja/web/thuyloitiengiang/chi-tiet-tin-tuc?id=520619"/>
    <hyperlink ref="Q175" r:id="rId171" display="http://thuyloitiengiang.vn/ja/web/thuyloitiengiang/chi-tiet-tin-tuc?id=520619"/>
    <hyperlink ref="Q176" r:id="rId172" display="http://thuyloitiengiang.vn/ja/web/thuyloitiengiang/chi-tiet-tin-tuc?id=520619"/>
    <hyperlink ref="Q177" r:id="rId173" display="http://thuyloitiengiang.vn/ja/web/thuyloitiengiang/chi-tiet-tin-tuc?id=520619"/>
    <hyperlink ref="Q178" r:id="rId174" display="http://thuyloitiengiang.vn/ja/web/thuyloitiengiang/chi-tiet-tin-tuc?id=520619"/>
    <hyperlink ref="Q179" r:id="rId175" display="http://thuyloitiengiang.vn/ja/web/thuyloitiengiang/chi-tiet-tin-tuc?id=520619"/>
    <hyperlink ref="Q180" r:id="rId176" display="http://thuyloitiengiang.vn/ja/web/thuyloitiengiang/chi-tiet-tin-tuc?id=520621"/>
    <hyperlink ref="Q181" r:id="rId177" display="http://thuyloitiengiang.vn/ja/web/thuyloitiengiang/chi-tiet-tin-tuc?id=520621"/>
    <hyperlink ref="Q182" r:id="rId178" display="http://thuyloitiengiang.vn/ja/web/thuyloitiengiang/chi-tiet-tin-tuc?id=520621"/>
    <hyperlink ref="Q183" r:id="rId179" display="http://thuyloitiengiang.vn/ja/web/thuyloitiengiang/chi-tiet-tin-tuc?id=520621"/>
    <hyperlink ref="Q184" r:id="rId180" display="http://thuyloitiengiang.vn/ja/web/thuyloitiengiang/chi-tiet-tin-tuc?id=520621"/>
    <hyperlink ref="Q185" r:id="rId181" display="http://thuyloitiengiang.vn/ja/web/thuyloitiengiang/chi-tiet-tin-tuc?id=520621"/>
    <hyperlink ref="Q186" r:id="rId182" display="http://thuyloitiengiang.vn/ja/web/thuyloitiengiang/chi-tiet-tin-tuc?id=520621"/>
    <hyperlink ref="Q187" r:id="rId183" display="http://thuyloitiengiang.vn/ja/web/thuyloitiengiang/chi-tiet-tin-tuc?id=520621"/>
    <hyperlink ref="Q188" r:id="rId184" display="http://thuyloitiengiang.vn/ja/web/thuyloitiengiang/chi-tiet-tin-tuc?id=520621"/>
    <hyperlink ref="Q189" r:id="rId185" display="http://thuyloitiengiang.vn/ja/web/thuyloitiengiang/chi-tiet-tin-tuc?id=520621"/>
    <hyperlink ref="Q190" r:id="rId186" display="http://thuyloitiengiang.vn/ja/web/thuyloitiengiang/chi-tiet-tin-tuc?id=520621"/>
    <hyperlink ref="Q191" r:id="rId187" display="http://thuyloitiengiang.vn/ja/web/thuyloitiengiang/chi-tiet-tin-tuc?id=520621"/>
    <hyperlink ref="Q192" r:id="rId188" display="http://thuyloitiengiang.vn/ja/web/thuyloitiengiang/chi-tiet-tin-tuc?id=520621"/>
    <hyperlink ref="Q193" r:id="rId189" display="http://thuyloitiengiang.vn/ja/web/thuyloitiengiang/chi-tiet-tin-tuc?id=520621"/>
    <hyperlink ref="Q194" r:id="rId190" display="http://thuyloitiengiang.vn/ja/web/thuyloitiengiang/chi-tiet-tin-tuc?id=520621"/>
    <hyperlink ref="Q195" r:id="rId191" display="http://thuyloitiengiang.vn/ja/web/thuyloitiengiang/chi-tiet-tin-tuc?id=520621"/>
    <hyperlink ref="Q196" r:id="rId192" display="http://thuyloitiengiang.vn/ja/web/thuyloitiengiang/chi-tiet-tin-tuc?id=520621"/>
    <hyperlink ref="Q197" r:id="rId193" display="http://thuyloitiengiang.vn/ja/web/thuyloitiengiang/chi-tiet-tin-tuc?id=520621"/>
    <hyperlink ref="Q198" r:id="rId194" display="http://thuyloitiengiang.vn/ja/web/thuyloitiengiang/chi-tiet-tin-tuc?id=520621"/>
    <hyperlink ref="Q199" r:id="rId195" display="http://thuyloitiengiang.vn/ja/web/thuyloitiengiang/chi-tiet-tin-tuc?id=520621"/>
    <hyperlink ref="Q200" r:id="rId196" display="http://thuyloitiengiang.vn/ja/web/thuyloitiengiang/chi-tiet-tin-tuc?id=520621"/>
    <hyperlink ref="Q201" r:id="rId197" display="http://thuyloitiengiang.vn/ja/web/thuyloitiengiang/chi-tiet-tin-tuc?id=520621"/>
    <hyperlink ref="Q202" r:id="rId198" display="http://thuyloitiengiang.vn/ja/web/thuyloitiengiang/chi-tiet-tin-tuc?id=520621"/>
    <hyperlink ref="Q203" r:id="rId199" display="http://thuyloitiengiang.vn/ja/web/thuyloitiengiang/chi-tiet-tin-tuc?id=520621"/>
    <hyperlink ref="Q204" r:id="rId200" display="http://thuyloitiengiang.vn/ja/web/thuyloitiengiang/chi-tiet-tin-tuc?id=520621"/>
    <hyperlink ref="Q205" r:id="rId201" display="http://thuyloitiengiang.vn/ja/web/thuyloitiengiang/chi-tiet-tin-tuc?id=520621"/>
    <hyperlink ref="Q206" r:id="rId202" display="http://thuyloitiengiang.vn/ja/web/thuyloitiengiang/chi-tiet-tin-tuc?id=520621"/>
    <hyperlink ref="Q207" r:id="rId203" display="http://thuyloitiengiang.vn/ja/web/thuyloitiengiang/chi-tiet-tin-tuc?id=520621"/>
    <hyperlink ref="Q208" r:id="rId204" display="http://thuyloitiengiang.vn/ja/web/thuyloitiengiang/chi-tiet-tin-tuc?id=520621"/>
    <hyperlink ref="Q209" r:id="rId205" display="http://thuyloitiengiang.vn/ja/web/thuyloitiengiang/chi-tiet-tin-tuc?id=520623"/>
    <hyperlink ref="Q210" r:id="rId206" display="http://thuyloitiengiang.vn/ja/web/thuyloitiengiang/chi-tiet-tin-tuc?id=520623"/>
    <hyperlink ref="Q211" r:id="rId207" display="http://thuyloitiengiang.vn/ja/web/thuyloitiengiang/chi-tiet-tin-tuc?id=520623"/>
    <hyperlink ref="Q212" r:id="rId208" display="http://thuyloitiengiang.vn/ja/web/thuyloitiengiang/chi-tiet-tin-tuc?id=520623"/>
    <hyperlink ref="Q213" r:id="rId209" display="http://thuyloitiengiang.vn/ja/web/thuyloitiengiang/chi-tiet-tin-tuc?id=520623"/>
    <hyperlink ref="Q214" r:id="rId210" display="http://thuyloitiengiang.vn/ja/web/thuyloitiengiang/chi-tiet-tin-tuc?id=520623"/>
    <hyperlink ref="Q215" r:id="rId211" display="http://thuyloitiengiang.vn/ja/web/thuyloitiengiang/chi-tiet-tin-tuc?id=520623"/>
    <hyperlink ref="Q216" r:id="rId212" display="http://thuyloitiengiang.vn/ja/web/thuyloitiengiang/chi-tiet-tin-tuc?id=520623"/>
    <hyperlink ref="Q217" r:id="rId213" display="http://thuyloitiengiang.vn/ja/web/thuyloitiengiang/chi-tiet-tin-tuc?id=520623"/>
    <hyperlink ref="Q218" r:id="rId214" display="http://thuyloitiengiang.vn/ja/web/thuyloitiengiang/chi-tiet-tin-tuc?id=520623"/>
    <hyperlink ref="Q219" r:id="rId215" display="http://thuyloitiengiang.vn/ja/web/thuyloitiengiang/chi-tiet-tin-tuc?id=520623"/>
    <hyperlink ref="Q220" r:id="rId216" display="http://thuyloitiengiang.vn/ja/web/thuyloitiengiang/chi-tiet-tin-tuc?id=520623"/>
    <hyperlink ref="Q221" r:id="rId217" display="http://thuyloitiengiang.vn/ja/web/thuyloitiengiang/chi-tiet-tin-tuc?id=520623"/>
    <hyperlink ref="Q222" r:id="rId218" display="http://thuyloitiengiang.vn/ja/web/thuyloitiengiang/chi-tiet-tin-tuc?id=520623"/>
    <hyperlink ref="Q223" r:id="rId219" display="http://thuyloitiengiang.vn/ja/web/thuyloitiengiang/chi-tiet-tin-tuc?id=520623"/>
    <hyperlink ref="Q224" r:id="rId220" display="http://thuyloitiengiang.vn/ja/web/thuyloitiengiang/chi-tiet-tin-tuc?id=520623"/>
    <hyperlink ref="Q225" r:id="rId221" display="http://thuyloitiengiang.vn/ja/web/thuyloitiengiang/chi-tiet-tin-tuc?id=520623"/>
    <hyperlink ref="Q226" r:id="rId222" display="http://thuyloitiengiang.vn/ja/web/thuyloitiengiang/chi-tiet-tin-tuc?id=520623"/>
    <hyperlink ref="Q227" r:id="rId223" display="http://thuyloitiengiang.vn/ja/web/thuyloitiengiang/chi-tiet-tin-tuc?id=520623"/>
    <hyperlink ref="Q228" r:id="rId224" display="http://thuyloitiengiang.vn/ja/web/thuyloitiengiang/chi-tiet-tin-tuc?id=520623"/>
    <hyperlink ref="Q229" r:id="rId225" display="http://thuyloitiengiang.vn/ja/web/thuyloitiengiang/chi-tiet-tin-tuc?id=520623"/>
    <hyperlink ref="Q230" r:id="rId226" display="http://thuyloitiengiang.vn/ja/web/thuyloitiengiang/chi-tiet-tin-tuc?id=520623"/>
    <hyperlink ref="Q231" r:id="rId227" display="http://thuyloitiengiang.vn/ja/web/thuyloitiengiang/chi-tiet-tin-tuc?id=520623"/>
    <hyperlink ref="Q232" r:id="rId228" display="http://thuyloitiengiang.vn/ja/web/thuyloitiengiang/chi-tiet-tin-tuc?id=520623"/>
    <hyperlink ref="Q233" r:id="rId229" display="http://thuyloitiengiang.vn/ja/web/thuyloitiengiang/chi-tiet-tin-tuc?id=520623"/>
    <hyperlink ref="Q234" r:id="rId230" display="http://thuyloitiengiang.vn/ja/web/thuyloitiengiang/chi-tiet-tin-tuc?id=520623"/>
    <hyperlink ref="Q235" r:id="rId231" display="http://thuyloitiengiang.vn/en/web/thuyloitiengiang/chi-tiet-tin-tuc?id=520630"/>
    <hyperlink ref="Q236" r:id="rId232" display="http://thuyloitiengiang.vn/en/web/thuyloitiengiang/chi-tiet-tin-tuc?id=520630"/>
    <hyperlink ref="Q237" r:id="rId233" display="http://thuyloitiengiang.vn/en/web/thuyloitiengiang/chi-tiet-tin-tuc?id=520630"/>
    <hyperlink ref="Q238" r:id="rId234" display="http://thuyloitiengiang.vn/en/web/thuyloitiengiang/chi-tiet-tin-tuc?id=520630"/>
    <hyperlink ref="Q239" r:id="rId235" display="http://thuyloitiengiang.vn/en/web/thuyloitiengiang/chi-tiet-tin-tuc?id=520630"/>
    <hyperlink ref="Q240" r:id="rId236" display="http://thuyloitiengiang.vn/en/web/thuyloitiengiang/chi-tiet-tin-tuc?id=520630"/>
    <hyperlink ref="Q241" r:id="rId237" display="http://thuyloitiengiang.vn/en/web/thuyloitiengiang/chi-tiet-tin-tuc?id=520630"/>
    <hyperlink ref="Q242" r:id="rId238" display="http://thuyloitiengiang.vn/en/web/thuyloitiengiang/chi-tiet-tin-tuc?id=520630"/>
    <hyperlink ref="Q243" r:id="rId239" display="http://thuyloitiengiang.vn/en/web/thuyloitiengiang/chi-tiet-tin-tuc?id=520630"/>
    <hyperlink ref="Q244" r:id="rId240" display="http://thuyloitiengiang.vn/en/web/thuyloitiengiang/chi-tiet-tin-tuc?id=520630"/>
    <hyperlink ref="Q245" r:id="rId241" display="http://thuyloitiengiang.vn/en/web/thuyloitiengiang/chi-tiet-tin-tuc?id=520630"/>
    <hyperlink ref="Q246" r:id="rId242" display="http://thuyloitiengiang.vn/en/web/thuyloitiengiang/chi-tiet-tin-tuc?id=520630"/>
    <hyperlink ref="Q247" r:id="rId243" display="http://thuyloitiengiang.vn/en/web/thuyloitiengiang/chi-tiet-tin-tuc?id=520630"/>
    <hyperlink ref="Q248" r:id="rId244" display="http://thuyloitiengiang.vn/en/web/thuyloitiengiang/chi-tiet-tin-tuc?id=520630"/>
    <hyperlink ref="Q249" r:id="rId245" display="http://thuyloitiengiang.vn/en/web/thuyloitiengiang/chi-tiet-tin-tuc?id=520630"/>
    <hyperlink ref="Q250" r:id="rId246" display="http://thuyloitiengiang.vn/en/web/thuyloitiengiang/chi-tiet-tin-tuc?id=520630"/>
    <hyperlink ref="Q251" r:id="rId247" display="http://thuyloitiengiang.vn/en/web/thuyloitiengiang/chi-tiet-tin-tuc?id=520630"/>
    <hyperlink ref="Q252" r:id="rId248" display="http://thuyloitiengiang.vn/en/web/thuyloitiengiang/chi-tiet-tin-tuc?id=520630"/>
    <hyperlink ref="Q253" r:id="rId249" display="http://thuyloitiengiang.vn/en/web/thuyloitiengiang/chi-tiet-tin-tuc?id=520630"/>
    <hyperlink ref="Q254" r:id="rId250" display="http://thuyloitiengiang.vn/en/web/thuyloitiengiang/chi-tiet-tin-tuc?id=520630"/>
    <hyperlink ref="Q255" r:id="rId251" display="http://thuyloitiengiang.vn/en/web/thuyloitiengiang/chi-tiet-tin-tuc?id=520630"/>
    <hyperlink ref="Q256" r:id="rId252" display="http://thuyloitiengiang.vn/en/web/thuyloitiengiang/chi-tiet-tin-tuc?id=520630"/>
    <hyperlink ref="Q257" r:id="rId253" display="http://thuyloitiengiang.vn/en/web/thuyloitiengiang/chi-tiet-tin-tuc?id=520630"/>
    <hyperlink ref="Q258" r:id="rId254" display="http://thuyloitiengiang.vn/en/web/thuyloitiengiang/chi-tiet-tin-tuc?id=520630"/>
    <hyperlink ref="Q259" r:id="rId255" display="http://thuyloitiengiang.vn/en/web/thuyloitiengiang/chi-tiet-tin-tuc?id=520630"/>
    <hyperlink ref="Q260" r:id="rId256" display="http://thuyloitiengiang.vn/en/web/thuyloitiengiang/chi-tiet-tin-tuc?id=520630"/>
    <hyperlink ref="Q261" r:id="rId257" display="http://thuyloitiengiang.vn/en/web/thuyloitiengiang/chi-tiet-tin-tuc?id=520630"/>
    <hyperlink ref="Q262" r:id="rId258" display="http://thuyloitiengiang.vn/en/web/thuyloitiengiang/chi-tiet-tin-tuc?id=520630"/>
    <hyperlink ref="Q263" r:id="rId259" display="http://thuyloitiengiang.vn/en/web/thuyloitiengiang/chi-tiet-tin-tuc?id=520630"/>
    <hyperlink ref="Q264" r:id="rId260" display="http://thuyloitiengiang.vn/en/web/thuyloitiengiang/chi-tiet-tin-tuc?id=522066"/>
    <hyperlink ref="Q265" r:id="rId261" display="http://thuyloitiengiang.vn/en/web/thuyloitiengiang/chi-tiet-tin-tuc?id=522066"/>
    <hyperlink ref="Q266" r:id="rId262" display="http://thuyloitiengiang.vn/en/web/thuyloitiengiang/chi-tiet-tin-tuc?id=522066"/>
    <hyperlink ref="Q267" r:id="rId263" display="http://thuyloitiengiang.vn/en/web/thuyloitiengiang/chi-tiet-tin-tuc?id=522066"/>
    <hyperlink ref="Q268" r:id="rId264" display="http://thuyloitiengiang.vn/en/web/thuyloitiengiang/chi-tiet-tin-tuc?id=522066"/>
    <hyperlink ref="Q269" r:id="rId265" display="http://thuyloitiengiang.vn/en/web/thuyloitiengiang/chi-tiet-tin-tuc?id=522066"/>
    <hyperlink ref="Q270" r:id="rId266" display="http://thuyloitiengiang.vn/en/web/thuyloitiengiang/chi-tiet-tin-tuc?id=522066"/>
    <hyperlink ref="Q271" r:id="rId267" display="http://thuyloitiengiang.vn/en/web/thuyloitiengiang/chi-tiet-tin-tuc?id=522066"/>
    <hyperlink ref="Q272" r:id="rId268" display="http://thuyloitiengiang.vn/en/web/thuyloitiengiang/chi-tiet-tin-tuc?id=522066"/>
    <hyperlink ref="Q273" r:id="rId269" display="http://thuyloitiengiang.vn/en/web/thuyloitiengiang/chi-tiet-tin-tuc?id=522066"/>
    <hyperlink ref="Q274" r:id="rId270" display="http://thuyloitiengiang.vn/en/web/thuyloitiengiang/chi-tiet-tin-tuc?id=522066"/>
    <hyperlink ref="Q275" r:id="rId271" display="http://thuyloitiengiang.vn/en/web/thuyloitiengiang/chi-tiet-tin-tuc?id=522066"/>
    <hyperlink ref="Q276" r:id="rId272" display="http://thuyloitiengiang.vn/en/web/thuyloitiengiang/chi-tiet-tin-tuc?id=522066"/>
    <hyperlink ref="Q277" r:id="rId273" display="http://thuyloitiengiang.vn/en/web/thuyloitiengiang/chi-tiet-tin-tuc?id=522066"/>
    <hyperlink ref="Q278" r:id="rId274" display="http://thuyloitiengiang.vn/en/web/thuyloitiengiang/chi-tiet-tin-tuc?id=522066"/>
    <hyperlink ref="Q279" r:id="rId275" display="http://thuyloitiengiang.vn/en/web/thuyloitiengiang/chi-tiet-tin-tuc?id=522066"/>
    <hyperlink ref="Q280" r:id="rId276" display="http://thuyloitiengiang.vn/en/web/thuyloitiengiang/chi-tiet-tin-tuc?id=522066"/>
    <hyperlink ref="Q281" r:id="rId277" display="http://thuyloitiengiang.vn/en/web/thuyloitiengiang/chi-tiet-tin-tuc?id=522066"/>
    <hyperlink ref="Q282" r:id="rId278" display="http://thuyloitiengiang.vn/en/web/thuyloitiengiang/chi-tiet-tin-tuc?id=522066"/>
    <hyperlink ref="Q283" r:id="rId279" display="http://thuyloitiengiang.vn/en/web/thuyloitiengiang/chi-tiet-tin-tuc?id=522066"/>
    <hyperlink ref="Q284" r:id="rId280" display="http://thuyloitiengiang.vn/en/web/thuyloitiengiang/chi-tiet-tin-tuc?id=522066"/>
    <hyperlink ref="Q285" r:id="rId281" display="http://thuyloitiengiang.vn/en/web/thuyloitiengiang/chi-tiet-tin-tuc?id=522066"/>
    <hyperlink ref="Q286" r:id="rId282" display="http://thuyloitiengiang.vn/en/web/thuyloitiengiang/chi-tiet-tin-tuc?id=522066"/>
    <hyperlink ref="Q287" r:id="rId283" display="http://thuyloitiengiang.vn/en/web/thuyloitiengiang/chi-tiet-tin-tuc?id=522066"/>
    <hyperlink ref="Q288" r:id="rId284" display="http://thuyloitiengiang.vn/en/web/thuyloitiengiang/chi-tiet-tin-tuc?id=522066"/>
    <hyperlink ref="Q289" r:id="rId285" display="http://thuyloitiengiang.vn/en/web/thuyloitiengiang/chi-tiet-tin-tuc?id=522066"/>
    <hyperlink ref="Q290" r:id="rId286" display="http://thuyloitiengiang.vn/en/web/thuyloitiengiang/chi-tiet-tin-tuc?id=522066"/>
    <hyperlink ref="Q291" r:id="rId287" display="http://thuyloitiengiang.vn/en/web/thuyloitiengiang/chi-tiet-tin-tuc?id=522066"/>
    <hyperlink ref="Q292" r:id="rId288" display="http://thuyloitiengiang.vn/en/web/thuyloitiengiang/chi-tiet-tin-tuc?id=522066"/>
    <hyperlink ref="Q293" r:id="rId289" display="https://baodongthap.vn/tien-giang-man-xam-nhap-den-khu-vuc-cau-phu-phong-huyen-chau-thanh-a57394.html"/>
    <hyperlink ref="Q294" r:id="rId290" display="https://baodongthap.vn/tien-giang-man-xam-nhap-den-khu-vuc-cau-phu-phong-huyen-chau-thanh-a57394.html"/>
    <hyperlink ref="Q295" r:id="rId291" display="https://baodongthap.vn/tien-giang-man-xam-nhap-den-khu-vuc-cau-phu-phong-huyen-chau-thanh-a57394.html"/>
    <hyperlink ref="Q296" r:id="rId292" display="https://baodongthap.vn/tien-giang-chu-dong-quyet-liet-voi-xam-nhap-man-a58212.html"/>
    <hyperlink ref="Q297" r:id="rId293" display="https://dantri.com.vn/thoi-su/vi-sao-cong-ngan-man-lon-thu-2-mien-tay-mo-chua-lau-lai-dong-20240508151519524.htm"/>
    <hyperlink ref="Q298" r:id="rId294" display="https://baodongthap.vn/dong-thap-chu-dong-van-hanh-cong-trinh-thuy-loi-phong-chong-trieu-cuong-xam-nhap-man-dau-thang-2--a238315.html"/>
    <hyperlink ref="Q299" r:id="rId295" display="https://drive.google.com/file/d/1jy4qNGTUyO5zFyLGqwi0B16K1XHlZehY/view?usp=drivesdk"/>
    <hyperlink ref="Q300" r:id="rId296" display="https://baodongthap.vn/du-bao-xam-nhap-man-tren-dia-ban-tien-giang-tu-ngay-11-den-ngay-20-4-a67825.html"/>
    <hyperlink ref="Q301" r:id="rId297" display="https://baodongthap.vn/du-bao-xam-nhap-man-tren-dia-ban-tien-giang-tu-ngay-11-den-ngay-20-4-a67825.html"/>
    <hyperlink ref="Q302" r:id="rId298" display="https://baodongthap.vn/du-bao-xam-nhap-man-tren-dia-ban-tien-giang-tu-ngay-11-den-ngay-20-4-a67825.html"/>
    <hyperlink ref="Q303" r:id="rId299" display="https://nhandan.vn/xam-nhap-man-co-xu-the-tang-nhanh-tai-tien-giang-post852937.html"/>
    <hyperlink ref="Q304" r:id="rId300" display="https://baodongthap.vn/tien-giang-xam-nhap-man-tang-tro-lai-a34313.html"/>
    <hyperlink ref="Q305" r:id="rId301" display="https://nhandan.vn/man-xam-nhap-sau-vao-noi-dong-o-dong-thap-post943395.html"/>
    <hyperlink ref="Q306" r:id="rId302" display="https://baodongthap.vn/xam-nhap-man-o-dong-bang-song-cuu-long-thap-hon-trung-binh-nhieu-nam-a237975.htm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3"/>
    <col collapsed="false" customWidth="true" hidden="false" outlineLevel="0" max="3" min="3" style="0" width="33"/>
    <col collapsed="false" customWidth="true" hidden="false" outlineLevel="0" max="4" min="4" style="0" width="17"/>
    <col collapsed="false" customWidth="true" hidden="false" outlineLevel="0" max="5" min="5" style="0" width="26"/>
    <col collapsed="false" customWidth="true" hidden="false" outlineLevel="0" max="6" min="6" style="0" width="42"/>
    <col collapsed="false" customWidth="true" hidden="false" outlineLevel="0" max="7" min="7" style="0" width="31"/>
    <col collapsed="false" customWidth="true" hidden="false" outlineLevel="0" max="8" min="8" style="0" width="18"/>
    <col collapsed="false" customWidth="true" hidden="false" outlineLevel="0" max="9" min="9" style="0" width="29"/>
    <col collapsed="false" customWidth="true" hidden="false" outlineLevel="0" max="10" min="10" style="0" width="26"/>
    <col collapsed="false" customWidth="true" hidden="false" outlineLevel="0" max="11" min="11" style="0" width="23"/>
    <col collapsed="false" customWidth="true" hidden="false" outlineLevel="0" max="12" min="12" style="0" width="26"/>
    <col collapsed="false" customWidth="true" hidden="false" outlineLevel="0" max="13" min="13" style="0" width="28"/>
    <col collapsed="false" customWidth="true" hidden="false" outlineLevel="0" max="15" min="14" style="0" width="42"/>
  </cols>
  <sheetData>
    <row r="1" customFormat="false" ht="27.75" hidden="false" customHeight="true" outlineLevel="0" collapsed="false">
      <c r="A1" s="1" t="s">
        <v>3477</v>
      </c>
      <c r="B1" s="1"/>
      <c r="C1" s="1"/>
      <c r="D1" s="1"/>
      <c r="E1" s="1"/>
      <c r="F1" s="1"/>
      <c r="G1" s="1"/>
      <c r="H1" s="1"/>
      <c r="I1" s="1"/>
      <c r="J1" s="1"/>
      <c r="K1" s="1"/>
      <c r="L1" s="1"/>
      <c r="M1" s="1"/>
      <c r="N1" s="1"/>
      <c r="O1" s="1"/>
    </row>
    <row r="2" customFormat="false" ht="19.5" hidden="false" customHeight="true" outlineLevel="0" collapsed="false">
      <c r="A2" s="2" t="s">
        <v>3478</v>
      </c>
      <c r="B2" s="2"/>
      <c r="C2" s="2"/>
      <c r="D2" s="2"/>
      <c r="E2" s="2"/>
      <c r="F2" s="2"/>
      <c r="G2" s="2"/>
      <c r="H2" s="2"/>
      <c r="I2" s="2"/>
      <c r="J2" s="2"/>
      <c r="K2" s="2"/>
      <c r="L2" s="2"/>
      <c r="M2" s="2"/>
      <c r="N2" s="2"/>
      <c r="O2" s="2"/>
    </row>
    <row r="4" customFormat="false" ht="24" hidden="false" customHeight="true" outlineLevel="0" collapsed="false">
      <c r="A4" s="24" t="s">
        <v>613</v>
      </c>
      <c r="B4" s="24" t="s">
        <v>3076</v>
      </c>
      <c r="C4" s="24" t="s">
        <v>3077</v>
      </c>
      <c r="D4" s="24" t="s">
        <v>1574</v>
      </c>
      <c r="E4" s="24" t="s">
        <v>201</v>
      </c>
      <c r="F4" s="7" t="s">
        <v>3078</v>
      </c>
      <c r="G4" s="7" t="s">
        <v>1569</v>
      </c>
      <c r="H4" s="24" t="s">
        <v>616</v>
      </c>
      <c r="I4" s="24" t="s">
        <v>3479</v>
      </c>
      <c r="J4" s="8" t="s">
        <v>3480</v>
      </c>
      <c r="K4" s="24" t="s">
        <v>3481</v>
      </c>
      <c r="L4" s="24" t="s">
        <v>77</v>
      </c>
      <c r="M4" s="24" t="s">
        <v>3085</v>
      </c>
      <c r="N4" s="7" t="s">
        <v>3086</v>
      </c>
      <c r="O4" s="7" t="s">
        <v>214</v>
      </c>
    </row>
    <row r="5" customFormat="false" ht="19.5" hidden="false" customHeight="true" outlineLevel="0" collapsed="false">
      <c r="A5" s="25" t="s">
        <v>3482</v>
      </c>
      <c r="B5" s="25" t="s">
        <v>3483</v>
      </c>
      <c r="C5" s="25" t="s">
        <v>3484</v>
      </c>
      <c r="D5" s="25" t="s">
        <v>3485</v>
      </c>
      <c r="E5" s="25" t="s">
        <v>334</v>
      </c>
      <c r="F5" s="12" t="s">
        <v>3186</v>
      </c>
      <c r="G5" s="12" t="s">
        <v>3486</v>
      </c>
      <c r="H5" s="25" t="s">
        <v>1374</v>
      </c>
      <c r="I5" s="25" t="s">
        <v>3487</v>
      </c>
      <c r="J5" s="13" t="n">
        <v>0</v>
      </c>
      <c r="K5" s="25" t="s">
        <v>3488</v>
      </c>
      <c r="L5" s="25" t="s">
        <v>86</v>
      </c>
      <c r="M5" s="25" t="s">
        <v>1580</v>
      </c>
      <c r="N5" s="22" t="s">
        <v>1326</v>
      </c>
      <c r="O5" s="12" t="s">
        <v>3489</v>
      </c>
    </row>
    <row r="6" customFormat="false" ht="19.5" hidden="false" customHeight="true" outlineLevel="0" collapsed="false">
      <c r="A6" s="27" t="s">
        <v>3490</v>
      </c>
      <c r="B6" s="27" t="s">
        <v>3483</v>
      </c>
      <c r="C6" s="27" t="s">
        <v>3484</v>
      </c>
      <c r="D6" s="27" t="s">
        <v>3485</v>
      </c>
      <c r="E6" s="27" t="s">
        <v>328</v>
      </c>
      <c r="F6" s="9" t="s">
        <v>3189</v>
      </c>
      <c r="G6" s="9" t="s">
        <v>3491</v>
      </c>
      <c r="H6" s="27" t="s">
        <v>1374</v>
      </c>
      <c r="I6" s="27" t="s">
        <v>3487</v>
      </c>
      <c r="J6" s="10" t="n">
        <v>1</v>
      </c>
      <c r="K6" s="27" t="s">
        <v>3488</v>
      </c>
      <c r="L6" s="27" t="s">
        <v>86</v>
      </c>
      <c r="M6" s="27" t="s">
        <v>1580</v>
      </c>
      <c r="N6" s="23" t="s">
        <v>1326</v>
      </c>
      <c r="O6" s="9" t="s">
        <v>3489</v>
      </c>
    </row>
    <row r="7" customFormat="false" ht="19.5" hidden="false" customHeight="true" outlineLevel="0" collapsed="false">
      <c r="A7" s="25" t="s">
        <v>3492</v>
      </c>
      <c r="B7" s="25" t="s">
        <v>3483</v>
      </c>
      <c r="C7" s="25" t="s">
        <v>3484</v>
      </c>
      <c r="D7" s="25" t="s">
        <v>3485</v>
      </c>
      <c r="E7" s="25" t="s">
        <v>466</v>
      </c>
      <c r="F7" s="12" t="s">
        <v>1578</v>
      </c>
      <c r="G7" s="12" t="s">
        <v>462</v>
      </c>
      <c r="H7" s="25" t="s">
        <v>1374</v>
      </c>
      <c r="I7" s="25" t="s">
        <v>3487</v>
      </c>
      <c r="J7" s="13" t="n">
        <v>35.2</v>
      </c>
      <c r="K7" s="25" t="s">
        <v>3488</v>
      </c>
      <c r="L7" s="25" t="s">
        <v>86</v>
      </c>
      <c r="M7" s="25" t="s">
        <v>1580</v>
      </c>
      <c r="N7" s="22" t="s">
        <v>1326</v>
      </c>
      <c r="O7" s="12" t="s">
        <v>3489</v>
      </c>
    </row>
    <row r="8" customFormat="false" ht="19.5" hidden="false" customHeight="true" outlineLevel="0" collapsed="false">
      <c r="A8" s="27" t="s">
        <v>3493</v>
      </c>
      <c r="B8" s="27" t="s">
        <v>3483</v>
      </c>
      <c r="C8" s="27" t="s">
        <v>3484</v>
      </c>
      <c r="D8" s="27" t="s">
        <v>3485</v>
      </c>
      <c r="E8" s="27" t="s">
        <v>492</v>
      </c>
      <c r="F8" s="9" t="s">
        <v>1583</v>
      </c>
      <c r="G8" s="9" t="s">
        <v>462</v>
      </c>
      <c r="H8" s="27" t="s">
        <v>1374</v>
      </c>
      <c r="I8" s="27" t="s">
        <v>3487</v>
      </c>
      <c r="J8" s="10" t="n">
        <v>10</v>
      </c>
      <c r="K8" s="27" t="s">
        <v>3488</v>
      </c>
      <c r="L8" s="27" t="s">
        <v>86</v>
      </c>
      <c r="M8" s="27" t="s">
        <v>1580</v>
      </c>
      <c r="N8" s="23" t="s">
        <v>1326</v>
      </c>
      <c r="O8" s="9" t="s">
        <v>3489</v>
      </c>
    </row>
    <row r="9" customFormat="false" ht="19.5" hidden="false" customHeight="true" outlineLevel="0" collapsed="false">
      <c r="A9" s="25" t="s">
        <v>3494</v>
      </c>
      <c r="B9" s="25" t="s">
        <v>3483</v>
      </c>
      <c r="C9" s="25" t="s">
        <v>3484</v>
      </c>
      <c r="D9" s="25" t="s">
        <v>3485</v>
      </c>
      <c r="E9" s="25" t="s">
        <v>473</v>
      </c>
      <c r="F9" s="12" t="s">
        <v>1585</v>
      </c>
      <c r="G9" s="12" t="s">
        <v>462</v>
      </c>
      <c r="H9" s="25" t="s">
        <v>1374</v>
      </c>
      <c r="I9" s="25" t="s">
        <v>3487</v>
      </c>
      <c r="J9" s="13" t="n">
        <v>0</v>
      </c>
      <c r="K9" s="25" t="s">
        <v>3488</v>
      </c>
      <c r="L9" s="25" t="s">
        <v>86</v>
      </c>
      <c r="M9" s="25" t="s">
        <v>1580</v>
      </c>
      <c r="N9" s="22" t="s">
        <v>1326</v>
      </c>
      <c r="O9" s="12" t="s">
        <v>3489</v>
      </c>
    </row>
    <row r="10" customFormat="false" ht="19.5" hidden="false" customHeight="true" outlineLevel="0" collapsed="false">
      <c r="A10" s="27" t="s">
        <v>3495</v>
      </c>
      <c r="B10" s="27" t="s">
        <v>3483</v>
      </c>
      <c r="C10" s="27" t="s">
        <v>3484</v>
      </c>
      <c r="D10" s="27" t="s">
        <v>3485</v>
      </c>
      <c r="E10" s="27" t="s">
        <v>459</v>
      </c>
      <c r="F10" s="9" t="s">
        <v>1587</v>
      </c>
      <c r="G10" s="9" t="s">
        <v>462</v>
      </c>
      <c r="H10" s="27" t="s">
        <v>1374</v>
      </c>
      <c r="I10" s="27" t="s">
        <v>3487</v>
      </c>
      <c r="J10" s="10" t="n">
        <v>48</v>
      </c>
      <c r="K10" s="27" t="s">
        <v>3488</v>
      </c>
      <c r="L10" s="27" t="s">
        <v>86</v>
      </c>
      <c r="M10" s="27" t="s">
        <v>1580</v>
      </c>
      <c r="N10" s="23" t="s">
        <v>1326</v>
      </c>
      <c r="O10" s="9" t="s">
        <v>3489</v>
      </c>
    </row>
    <row r="11" customFormat="false" ht="19.5" hidden="false" customHeight="true" outlineLevel="0" collapsed="false">
      <c r="A11" s="25" t="s">
        <v>3496</v>
      </c>
      <c r="B11" s="25" t="s">
        <v>3483</v>
      </c>
      <c r="C11" s="25" t="s">
        <v>3484</v>
      </c>
      <c r="D11" s="25" t="s">
        <v>3485</v>
      </c>
      <c r="E11" s="25" t="s">
        <v>486</v>
      </c>
      <c r="F11" s="12" t="s">
        <v>1589</v>
      </c>
      <c r="G11" s="12" t="s">
        <v>462</v>
      </c>
      <c r="H11" s="25" t="s">
        <v>1374</v>
      </c>
      <c r="I11" s="25" t="s">
        <v>3487</v>
      </c>
      <c r="J11" s="13" t="n">
        <v>10</v>
      </c>
      <c r="K11" s="25" t="s">
        <v>3488</v>
      </c>
      <c r="L11" s="25" t="s">
        <v>86</v>
      </c>
      <c r="M11" s="25" t="s">
        <v>1580</v>
      </c>
      <c r="N11" s="22" t="s">
        <v>1326</v>
      </c>
      <c r="O11" s="12" t="s">
        <v>3489</v>
      </c>
    </row>
    <row r="12" customFormat="false" ht="19.5" hidden="false" customHeight="true" outlineLevel="0" collapsed="false">
      <c r="A12" s="27" t="s">
        <v>3497</v>
      </c>
      <c r="B12" s="27" t="s">
        <v>3483</v>
      </c>
      <c r="C12" s="27" t="s">
        <v>3484</v>
      </c>
      <c r="D12" s="27" t="s">
        <v>3485</v>
      </c>
      <c r="E12" s="27" t="s">
        <v>479</v>
      </c>
      <c r="F12" s="9" t="s">
        <v>1591</v>
      </c>
      <c r="G12" s="9" t="s">
        <v>462</v>
      </c>
      <c r="H12" s="27" t="s">
        <v>1374</v>
      </c>
      <c r="I12" s="27" t="s">
        <v>3487</v>
      </c>
      <c r="J12" s="10" t="n">
        <v>5.6</v>
      </c>
      <c r="K12" s="27" t="s">
        <v>3488</v>
      </c>
      <c r="L12" s="27" t="s">
        <v>86</v>
      </c>
      <c r="M12" s="27" t="s">
        <v>1580</v>
      </c>
      <c r="N12" s="23" t="s">
        <v>1326</v>
      </c>
      <c r="O12" s="9" t="s">
        <v>3489</v>
      </c>
    </row>
    <row r="13" customFormat="false" ht="19.5" hidden="false" customHeight="true" outlineLevel="0" collapsed="false">
      <c r="A13" s="25" t="s">
        <v>3498</v>
      </c>
      <c r="B13" s="25" t="s">
        <v>3483</v>
      </c>
      <c r="C13" s="25" t="s">
        <v>3484</v>
      </c>
      <c r="D13" s="25" t="s">
        <v>3485</v>
      </c>
      <c r="E13" s="25" t="s">
        <v>233</v>
      </c>
      <c r="F13" s="12" t="s">
        <v>1593</v>
      </c>
      <c r="G13" s="12" t="s">
        <v>236</v>
      </c>
      <c r="H13" s="25" t="s">
        <v>1374</v>
      </c>
      <c r="I13" s="25" t="s">
        <v>3487</v>
      </c>
      <c r="J13" s="13" t="n">
        <v>1.4</v>
      </c>
      <c r="K13" s="25" t="s">
        <v>3488</v>
      </c>
      <c r="L13" s="25" t="s">
        <v>86</v>
      </c>
      <c r="M13" s="25" t="s">
        <v>1580</v>
      </c>
      <c r="N13" s="22" t="s">
        <v>1326</v>
      </c>
      <c r="O13" s="12" t="s">
        <v>3489</v>
      </c>
    </row>
    <row r="14" customFormat="false" ht="19.5" hidden="false" customHeight="true" outlineLevel="0" collapsed="false">
      <c r="A14" s="27" t="s">
        <v>3499</v>
      </c>
      <c r="B14" s="27" t="s">
        <v>3483</v>
      </c>
      <c r="C14" s="27" t="s">
        <v>3484</v>
      </c>
      <c r="D14" s="27" t="s">
        <v>3485</v>
      </c>
      <c r="E14" s="27" t="s">
        <v>448</v>
      </c>
      <c r="F14" s="9" t="s">
        <v>1595</v>
      </c>
      <c r="G14" s="9" t="s">
        <v>219</v>
      </c>
      <c r="H14" s="27" t="s">
        <v>1374</v>
      </c>
      <c r="I14" s="27" t="s">
        <v>3487</v>
      </c>
      <c r="J14" s="10" t="n">
        <v>0</v>
      </c>
      <c r="K14" s="27" t="s">
        <v>3488</v>
      </c>
      <c r="L14" s="27" t="s">
        <v>86</v>
      </c>
      <c r="M14" s="27" t="s">
        <v>1580</v>
      </c>
      <c r="N14" s="23" t="s">
        <v>1326</v>
      </c>
      <c r="O14" s="9" t="s">
        <v>3489</v>
      </c>
    </row>
    <row r="15" customFormat="false" ht="19.5" hidden="false" customHeight="true" outlineLevel="0" collapsed="false">
      <c r="A15" s="25" t="s">
        <v>3500</v>
      </c>
      <c r="B15" s="25" t="s">
        <v>3483</v>
      </c>
      <c r="C15" s="25" t="s">
        <v>3484</v>
      </c>
      <c r="D15" s="25" t="s">
        <v>3485</v>
      </c>
      <c r="E15" s="25" t="s">
        <v>455</v>
      </c>
      <c r="F15" s="12" t="s">
        <v>1597</v>
      </c>
      <c r="G15" s="12" t="s">
        <v>219</v>
      </c>
      <c r="H15" s="25" t="s">
        <v>1374</v>
      </c>
      <c r="I15" s="25" t="s">
        <v>3487</v>
      </c>
      <c r="J15" s="13" t="n">
        <v>0</v>
      </c>
      <c r="K15" s="25" t="s">
        <v>3488</v>
      </c>
      <c r="L15" s="25" t="s">
        <v>86</v>
      </c>
      <c r="M15" s="25" t="s">
        <v>1580</v>
      </c>
      <c r="N15" s="22" t="s">
        <v>1326</v>
      </c>
      <c r="O15" s="12" t="s">
        <v>3489</v>
      </c>
    </row>
    <row r="16" customFormat="false" ht="19.5" hidden="false" customHeight="true" outlineLevel="0" collapsed="false">
      <c r="A16" s="27" t="s">
        <v>3501</v>
      </c>
      <c r="B16" s="27" t="s">
        <v>3483</v>
      </c>
      <c r="C16" s="27" t="s">
        <v>3484</v>
      </c>
      <c r="D16" s="27" t="s">
        <v>3485</v>
      </c>
      <c r="E16" s="27" t="s">
        <v>439</v>
      </c>
      <c r="F16" s="9" t="s">
        <v>1599</v>
      </c>
      <c r="G16" s="9" t="s">
        <v>219</v>
      </c>
      <c r="H16" s="27" t="s">
        <v>1374</v>
      </c>
      <c r="I16" s="27" t="s">
        <v>3487</v>
      </c>
      <c r="J16" s="10" t="n">
        <v>26</v>
      </c>
      <c r="K16" s="27" t="s">
        <v>3488</v>
      </c>
      <c r="L16" s="27" t="s">
        <v>86</v>
      </c>
      <c r="M16" s="27" t="s">
        <v>1580</v>
      </c>
      <c r="N16" s="23" t="s">
        <v>1326</v>
      </c>
      <c r="O16" s="9" t="s">
        <v>3489</v>
      </c>
    </row>
    <row r="17" customFormat="false" ht="19.5" hidden="false" customHeight="true" outlineLevel="0" collapsed="false">
      <c r="A17" s="25" t="s">
        <v>3502</v>
      </c>
      <c r="B17" s="25" t="s">
        <v>3483</v>
      </c>
      <c r="C17" s="25" t="s">
        <v>3484</v>
      </c>
      <c r="D17" s="25" t="s">
        <v>3485</v>
      </c>
      <c r="E17" s="25" t="s">
        <v>426</v>
      </c>
      <c r="F17" s="12" t="s">
        <v>1601</v>
      </c>
      <c r="G17" s="12" t="s">
        <v>219</v>
      </c>
      <c r="H17" s="25" t="s">
        <v>1374</v>
      </c>
      <c r="I17" s="25" t="s">
        <v>3487</v>
      </c>
      <c r="J17" s="13" t="n">
        <v>0</v>
      </c>
      <c r="K17" s="25" t="s">
        <v>3488</v>
      </c>
      <c r="L17" s="25" t="s">
        <v>86</v>
      </c>
      <c r="M17" s="25" t="s">
        <v>1580</v>
      </c>
      <c r="N17" s="22" t="s">
        <v>1326</v>
      </c>
      <c r="O17" s="12" t="s">
        <v>3489</v>
      </c>
    </row>
    <row r="18" customFormat="false" ht="19.5" hidden="false" customHeight="true" outlineLevel="0" collapsed="false">
      <c r="A18" s="27" t="s">
        <v>3503</v>
      </c>
      <c r="B18" s="27" t="s">
        <v>3483</v>
      </c>
      <c r="C18" s="27" t="s">
        <v>3484</v>
      </c>
      <c r="D18" s="27" t="s">
        <v>3485</v>
      </c>
      <c r="E18" s="27" t="s">
        <v>385</v>
      </c>
      <c r="F18" s="9" t="s">
        <v>1603</v>
      </c>
      <c r="G18" s="9" t="s">
        <v>219</v>
      </c>
      <c r="H18" s="27" t="s">
        <v>1374</v>
      </c>
      <c r="I18" s="27" t="s">
        <v>3487</v>
      </c>
      <c r="J18" s="10" t="n">
        <v>5.4</v>
      </c>
      <c r="K18" s="27" t="s">
        <v>3488</v>
      </c>
      <c r="L18" s="27" t="s">
        <v>86</v>
      </c>
      <c r="M18" s="27" t="s">
        <v>1580</v>
      </c>
      <c r="N18" s="23" t="s">
        <v>1326</v>
      </c>
      <c r="O18" s="9" t="s">
        <v>3489</v>
      </c>
    </row>
    <row r="19" customFormat="false" ht="19.5" hidden="false" customHeight="true" outlineLevel="0" collapsed="false">
      <c r="A19" s="25" t="s">
        <v>3504</v>
      </c>
      <c r="B19" s="25" t="s">
        <v>3483</v>
      </c>
      <c r="C19" s="25" t="s">
        <v>3484</v>
      </c>
      <c r="D19" s="25" t="s">
        <v>3485</v>
      </c>
      <c r="E19" s="25" t="s">
        <v>392</v>
      </c>
      <c r="F19" s="12" t="s">
        <v>1605</v>
      </c>
      <c r="G19" s="12" t="s">
        <v>219</v>
      </c>
      <c r="H19" s="25" t="s">
        <v>1374</v>
      </c>
      <c r="I19" s="25" t="s">
        <v>3487</v>
      </c>
      <c r="J19" s="13" t="n">
        <v>25.6</v>
      </c>
      <c r="K19" s="25" t="s">
        <v>3488</v>
      </c>
      <c r="L19" s="25" t="s">
        <v>86</v>
      </c>
      <c r="M19" s="25" t="s">
        <v>1580</v>
      </c>
      <c r="N19" s="22" t="s">
        <v>1326</v>
      </c>
      <c r="O19" s="12" t="s">
        <v>3489</v>
      </c>
    </row>
    <row r="20" customFormat="false" ht="19.5" hidden="false" customHeight="true" outlineLevel="0" collapsed="false">
      <c r="A20" s="27" t="s">
        <v>3505</v>
      </c>
      <c r="B20" s="27" t="s">
        <v>3483</v>
      </c>
      <c r="C20" s="27" t="s">
        <v>3484</v>
      </c>
      <c r="D20" s="27" t="s">
        <v>3485</v>
      </c>
      <c r="E20" s="27" t="s">
        <v>399</v>
      </c>
      <c r="F20" s="9" t="s">
        <v>1607</v>
      </c>
      <c r="G20" s="9" t="s">
        <v>219</v>
      </c>
      <c r="H20" s="27" t="s">
        <v>1374</v>
      </c>
      <c r="I20" s="27" t="s">
        <v>3487</v>
      </c>
      <c r="J20" s="10" t="n">
        <v>6.2</v>
      </c>
      <c r="K20" s="27" t="s">
        <v>3488</v>
      </c>
      <c r="L20" s="27" t="s">
        <v>86</v>
      </c>
      <c r="M20" s="27" t="s">
        <v>1580</v>
      </c>
      <c r="N20" s="23" t="s">
        <v>1326</v>
      </c>
      <c r="O20" s="9" t="s">
        <v>3489</v>
      </c>
    </row>
    <row r="21" customFormat="false" ht="19.5" hidden="false" customHeight="true" outlineLevel="0" collapsed="false">
      <c r="A21" s="25" t="s">
        <v>3506</v>
      </c>
      <c r="B21" s="25" t="s">
        <v>3483</v>
      </c>
      <c r="C21" s="25" t="s">
        <v>3484</v>
      </c>
      <c r="D21" s="25" t="s">
        <v>3485</v>
      </c>
      <c r="E21" s="25" t="s">
        <v>433</v>
      </c>
      <c r="F21" s="12" t="s">
        <v>1609</v>
      </c>
      <c r="G21" s="12" t="s">
        <v>219</v>
      </c>
      <c r="H21" s="25" t="s">
        <v>1374</v>
      </c>
      <c r="I21" s="25" t="s">
        <v>3487</v>
      </c>
      <c r="J21" s="13" t="n">
        <v>4</v>
      </c>
      <c r="K21" s="25" t="s">
        <v>3488</v>
      </c>
      <c r="L21" s="25" t="s">
        <v>86</v>
      </c>
      <c r="M21" s="25" t="s">
        <v>1580</v>
      </c>
      <c r="N21" s="22" t="s">
        <v>1326</v>
      </c>
      <c r="O21" s="12" t="s">
        <v>3489</v>
      </c>
    </row>
    <row r="22" customFormat="false" ht="19.5" hidden="false" customHeight="true" outlineLevel="0" collapsed="false">
      <c r="A22" s="27" t="s">
        <v>3507</v>
      </c>
      <c r="B22" s="27" t="s">
        <v>3483</v>
      </c>
      <c r="C22" s="27" t="s">
        <v>3484</v>
      </c>
      <c r="D22" s="27" t="s">
        <v>3485</v>
      </c>
      <c r="E22" s="27" t="s">
        <v>405</v>
      </c>
      <c r="F22" s="9" t="s">
        <v>1611</v>
      </c>
      <c r="G22" s="9" t="s">
        <v>219</v>
      </c>
      <c r="H22" s="27" t="s">
        <v>1374</v>
      </c>
      <c r="I22" s="27" t="s">
        <v>3487</v>
      </c>
      <c r="J22" s="10" t="n">
        <v>3</v>
      </c>
      <c r="K22" s="27" t="s">
        <v>3488</v>
      </c>
      <c r="L22" s="27" t="s">
        <v>86</v>
      </c>
      <c r="M22" s="27" t="s">
        <v>1580</v>
      </c>
      <c r="N22" s="23" t="s">
        <v>1326</v>
      </c>
      <c r="O22" s="9" t="s">
        <v>3489</v>
      </c>
    </row>
    <row r="23" customFormat="false" ht="19.5" hidden="false" customHeight="true" outlineLevel="0" collapsed="false">
      <c r="A23" s="25" t="s">
        <v>3508</v>
      </c>
      <c r="B23" s="25" t="s">
        <v>3483</v>
      </c>
      <c r="C23" s="25" t="s">
        <v>3484</v>
      </c>
      <c r="D23" s="25" t="s">
        <v>3485</v>
      </c>
      <c r="E23" s="25" t="s">
        <v>411</v>
      </c>
      <c r="F23" s="12" t="s">
        <v>1613</v>
      </c>
      <c r="G23" s="12" t="s">
        <v>219</v>
      </c>
      <c r="H23" s="25" t="s">
        <v>1374</v>
      </c>
      <c r="I23" s="25" t="s">
        <v>3487</v>
      </c>
      <c r="J23" s="13" t="n">
        <v>9.4</v>
      </c>
      <c r="K23" s="25" t="s">
        <v>3488</v>
      </c>
      <c r="L23" s="25" t="s">
        <v>86</v>
      </c>
      <c r="M23" s="25" t="s">
        <v>1580</v>
      </c>
      <c r="N23" s="22" t="s">
        <v>1326</v>
      </c>
      <c r="O23" s="12" t="s">
        <v>3489</v>
      </c>
    </row>
    <row r="24" customFormat="false" ht="19.5" hidden="false" customHeight="true" outlineLevel="0" collapsed="false">
      <c r="A24" s="27" t="s">
        <v>3509</v>
      </c>
      <c r="B24" s="27" t="s">
        <v>3483</v>
      </c>
      <c r="C24" s="27" t="s">
        <v>3484</v>
      </c>
      <c r="D24" s="27" t="s">
        <v>3485</v>
      </c>
      <c r="E24" s="27" t="s">
        <v>416</v>
      </c>
      <c r="F24" s="9" t="s">
        <v>1615</v>
      </c>
      <c r="G24" s="9" t="s">
        <v>219</v>
      </c>
      <c r="H24" s="27" t="s">
        <v>1374</v>
      </c>
      <c r="I24" s="27" t="s">
        <v>3487</v>
      </c>
      <c r="J24" s="10" t="n">
        <v>0</v>
      </c>
      <c r="K24" s="27" t="s">
        <v>3488</v>
      </c>
      <c r="L24" s="27" t="s">
        <v>86</v>
      </c>
      <c r="M24" s="27" t="s">
        <v>1580</v>
      </c>
      <c r="N24" s="23" t="s">
        <v>1326</v>
      </c>
      <c r="O24" s="9" t="s">
        <v>3489</v>
      </c>
    </row>
    <row r="25" customFormat="false" ht="19.5" hidden="false" customHeight="true" outlineLevel="0" collapsed="false">
      <c r="A25" s="25" t="s">
        <v>3510</v>
      </c>
      <c r="B25" s="25" t="s">
        <v>3483</v>
      </c>
      <c r="C25" s="25" t="s">
        <v>3484</v>
      </c>
      <c r="D25" s="25" t="s">
        <v>3485</v>
      </c>
      <c r="E25" s="25" t="s">
        <v>377</v>
      </c>
      <c r="F25" s="12" t="s">
        <v>1617</v>
      </c>
      <c r="G25" s="12" t="s">
        <v>219</v>
      </c>
      <c r="H25" s="25" t="s">
        <v>1374</v>
      </c>
      <c r="I25" s="25" t="s">
        <v>3487</v>
      </c>
      <c r="J25" s="13" t="n">
        <v>8.5</v>
      </c>
      <c r="K25" s="25" t="s">
        <v>3488</v>
      </c>
      <c r="L25" s="25" t="s">
        <v>86</v>
      </c>
      <c r="M25" s="25" t="s">
        <v>1580</v>
      </c>
      <c r="N25" s="22" t="s">
        <v>1326</v>
      </c>
      <c r="O25" s="12" t="s">
        <v>3489</v>
      </c>
    </row>
    <row r="26" customFormat="false" ht="19.5" hidden="false" customHeight="true" outlineLevel="0" collapsed="false">
      <c r="A26" s="27" t="s">
        <v>3511</v>
      </c>
      <c r="B26" s="27" t="s">
        <v>3483</v>
      </c>
      <c r="C26" s="27" t="s">
        <v>3484</v>
      </c>
      <c r="D26" s="27" t="s">
        <v>3485</v>
      </c>
      <c r="E26" s="27" t="s">
        <v>420</v>
      </c>
      <c r="F26" s="9" t="s">
        <v>1619</v>
      </c>
      <c r="G26" s="9" t="s">
        <v>219</v>
      </c>
      <c r="H26" s="27" t="s">
        <v>1374</v>
      </c>
      <c r="I26" s="27" t="s">
        <v>3487</v>
      </c>
      <c r="J26" s="10" t="n">
        <v>3</v>
      </c>
      <c r="K26" s="27" t="s">
        <v>3488</v>
      </c>
      <c r="L26" s="27" t="s">
        <v>86</v>
      </c>
      <c r="M26" s="27" t="s">
        <v>1580</v>
      </c>
      <c r="N26" s="23" t="s">
        <v>1326</v>
      </c>
      <c r="O26" s="9" t="s">
        <v>3489</v>
      </c>
    </row>
    <row r="27" customFormat="false" ht="19.5" hidden="false" customHeight="true" outlineLevel="0" collapsed="false">
      <c r="A27" s="25" t="s">
        <v>3512</v>
      </c>
      <c r="B27" s="25" t="s">
        <v>3483</v>
      </c>
      <c r="C27" s="25" t="s">
        <v>3484</v>
      </c>
      <c r="D27" s="25" t="s">
        <v>3485</v>
      </c>
      <c r="E27" s="25" t="s">
        <v>250</v>
      </c>
      <c r="F27" s="12" t="s">
        <v>1621</v>
      </c>
      <c r="G27" s="12" t="s">
        <v>219</v>
      </c>
      <c r="H27" s="25" t="s">
        <v>1374</v>
      </c>
      <c r="I27" s="25" t="s">
        <v>3487</v>
      </c>
      <c r="J27" s="13" t="n">
        <v>12</v>
      </c>
      <c r="K27" s="25" t="s">
        <v>3488</v>
      </c>
      <c r="L27" s="25" t="s">
        <v>86</v>
      </c>
      <c r="M27" s="25" t="s">
        <v>1580</v>
      </c>
      <c r="N27" s="22" t="s">
        <v>1326</v>
      </c>
      <c r="O27" s="12" t="s">
        <v>3489</v>
      </c>
    </row>
    <row r="28" customFormat="false" ht="19.5" hidden="false" customHeight="true" outlineLevel="0" collapsed="false">
      <c r="A28" s="27" t="s">
        <v>3513</v>
      </c>
      <c r="B28" s="27" t="s">
        <v>3483</v>
      </c>
      <c r="C28" s="27" t="s">
        <v>3484</v>
      </c>
      <c r="D28" s="27" t="s">
        <v>3485</v>
      </c>
      <c r="E28" s="27" t="s">
        <v>312</v>
      </c>
      <c r="F28" s="9" t="s">
        <v>3213</v>
      </c>
      <c r="G28" s="9" t="s">
        <v>295</v>
      </c>
      <c r="H28" s="27" t="s">
        <v>1374</v>
      </c>
      <c r="I28" s="27" t="s">
        <v>3487</v>
      </c>
      <c r="J28" s="10" t="n">
        <v>2.8</v>
      </c>
      <c r="K28" s="27" t="s">
        <v>3488</v>
      </c>
      <c r="L28" s="27" t="s">
        <v>86</v>
      </c>
      <c r="M28" s="27" t="s">
        <v>1580</v>
      </c>
      <c r="N28" s="23" t="s">
        <v>1326</v>
      </c>
      <c r="O28" s="9" t="s">
        <v>3489</v>
      </c>
    </row>
    <row r="29" customFormat="false" ht="19.5" hidden="false" customHeight="true" outlineLevel="0" collapsed="false">
      <c r="A29" s="25" t="s">
        <v>3514</v>
      </c>
      <c r="B29" s="25" t="s">
        <v>3483</v>
      </c>
      <c r="C29" s="25" t="s">
        <v>3484</v>
      </c>
      <c r="D29" s="25" t="s">
        <v>3485</v>
      </c>
      <c r="E29" s="25" t="s">
        <v>226</v>
      </c>
      <c r="F29" s="12" t="s">
        <v>1623</v>
      </c>
      <c r="G29" s="12" t="s">
        <v>219</v>
      </c>
      <c r="H29" s="25" t="s">
        <v>1374</v>
      </c>
      <c r="I29" s="25" t="s">
        <v>3487</v>
      </c>
      <c r="J29" s="13" t="n">
        <v>3</v>
      </c>
      <c r="K29" s="25" t="s">
        <v>3488</v>
      </c>
      <c r="L29" s="25" t="s">
        <v>86</v>
      </c>
      <c r="M29" s="25" t="s">
        <v>1580</v>
      </c>
      <c r="N29" s="22" t="s">
        <v>1326</v>
      </c>
      <c r="O29" s="12" t="s">
        <v>3489</v>
      </c>
    </row>
    <row r="30" customFormat="false" ht="19.5" hidden="false" customHeight="true" outlineLevel="0" collapsed="false">
      <c r="A30" s="27" t="s">
        <v>3515</v>
      </c>
      <c r="B30" s="27" t="s">
        <v>3483</v>
      </c>
      <c r="C30" s="27" t="s">
        <v>3484</v>
      </c>
      <c r="D30" s="27" t="s">
        <v>3485</v>
      </c>
      <c r="E30" s="27" t="s">
        <v>319</v>
      </c>
      <c r="F30" s="9" t="s">
        <v>3217</v>
      </c>
      <c r="G30" s="9" t="s">
        <v>295</v>
      </c>
      <c r="H30" s="27" t="s">
        <v>1374</v>
      </c>
      <c r="I30" s="27" t="s">
        <v>3487</v>
      </c>
      <c r="J30" s="10" t="n">
        <v>0</v>
      </c>
      <c r="K30" s="27" t="s">
        <v>3488</v>
      </c>
      <c r="L30" s="27" t="s">
        <v>86</v>
      </c>
      <c r="M30" s="27" t="s">
        <v>1580</v>
      </c>
      <c r="N30" s="23" t="s">
        <v>1326</v>
      </c>
      <c r="O30" s="9" t="s">
        <v>3489</v>
      </c>
    </row>
    <row r="31" customFormat="false" ht="19.5" hidden="false" customHeight="true" outlineLevel="0" collapsed="false">
      <c r="A31" s="25" t="s">
        <v>3516</v>
      </c>
      <c r="B31" s="25" t="s">
        <v>3483</v>
      </c>
      <c r="C31" s="25" t="s">
        <v>3484</v>
      </c>
      <c r="D31" s="25" t="s">
        <v>3485</v>
      </c>
      <c r="E31" s="25" t="s">
        <v>292</v>
      </c>
      <c r="F31" s="12" t="s">
        <v>3219</v>
      </c>
      <c r="G31" s="12" t="s">
        <v>295</v>
      </c>
      <c r="H31" s="25" t="s">
        <v>1374</v>
      </c>
      <c r="I31" s="25" t="s">
        <v>3487</v>
      </c>
      <c r="J31" s="13" t="n">
        <v>4.6</v>
      </c>
      <c r="K31" s="25" t="s">
        <v>3488</v>
      </c>
      <c r="L31" s="25" t="s">
        <v>86</v>
      </c>
      <c r="M31" s="25" t="s">
        <v>1580</v>
      </c>
      <c r="N31" s="22" t="s">
        <v>1326</v>
      </c>
      <c r="O31" s="12" t="s">
        <v>3489</v>
      </c>
    </row>
    <row r="32" customFormat="false" ht="19.5" hidden="false" customHeight="true" outlineLevel="0" collapsed="false">
      <c r="A32" s="27" t="s">
        <v>3517</v>
      </c>
      <c r="B32" s="27" t="s">
        <v>3483</v>
      </c>
      <c r="C32" s="27" t="s">
        <v>3484</v>
      </c>
      <c r="D32" s="27" t="s">
        <v>3485</v>
      </c>
      <c r="E32" s="27" t="s">
        <v>215</v>
      </c>
      <c r="F32" s="9" t="s">
        <v>1625</v>
      </c>
      <c r="G32" s="9" t="s">
        <v>219</v>
      </c>
      <c r="H32" s="27" t="s">
        <v>1374</v>
      </c>
      <c r="I32" s="27" t="s">
        <v>3487</v>
      </c>
      <c r="J32" s="10" t="n">
        <v>21.2</v>
      </c>
      <c r="K32" s="27" t="s">
        <v>3488</v>
      </c>
      <c r="L32" s="27" t="s">
        <v>86</v>
      </c>
      <c r="M32" s="27" t="s">
        <v>1580</v>
      </c>
      <c r="N32" s="23" t="s">
        <v>1326</v>
      </c>
      <c r="O32" s="9" t="s">
        <v>3489</v>
      </c>
    </row>
    <row r="33" customFormat="false" ht="19.5" hidden="false" customHeight="true" outlineLevel="0" collapsed="false">
      <c r="A33" s="25" t="s">
        <v>3518</v>
      </c>
      <c r="B33" s="25" t="s">
        <v>3483</v>
      </c>
      <c r="C33" s="25" t="s">
        <v>3484</v>
      </c>
      <c r="D33" s="25" t="s">
        <v>3485</v>
      </c>
      <c r="E33" s="25" t="s">
        <v>257</v>
      </c>
      <c r="F33" s="12" t="s">
        <v>1627</v>
      </c>
      <c r="G33" s="12" t="s">
        <v>219</v>
      </c>
      <c r="H33" s="25" t="s">
        <v>1374</v>
      </c>
      <c r="I33" s="25" t="s">
        <v>3487</v>
      </c>
      <c r="J33" s="13" t="n">
        <v>15.2</v>
      </c>
      <c r="K33" s="25" t="s">
        <v>3488</v>
      </c>
      <c r="L33" s="25" t="s">
        <v>86</v>
      </c>
      <c r="M33" s="25" t="s">
        <v>1580</v>
      </c>
      <c r="N33" s="22" t="s">
        <v>1326</v>
      </c>
      <c r="O33" s="12" t="s">
        <v>3489</v>
      </c>
    </row>
    <row r="34" customFormat="false" ht="19.5" hidden="false" customHeight="true" outlineLevel="0" collapsed="false">
      <c r="A34" s="27" t="s">
        <v>3519</v>
      </c>
      <c r="B34" s="27" t="s">
        <v>3483</v>
      </c>
      <c r="C34" s="27" t="s">
        <v>3484</v>
      </c>
      <c r="D34" s="27" t="s">
        <v>3485</v>
      </c>
      <c r="E34" s="27" t="s">
        <v>334</v>
      </c>
      <c r="F34" s="9" t="s">
        <v>3186</v>
      </c>
      <c r="G34" s="9" t="s">
        <v>3486</v>
      </c>
      <c r="H34" s="27" t="s">
        <v>1400</v>
      </c>
      <c r="I34" s="27" t="s">
        <v>3487</v>
      </c>
      <c r="J34" s="10" t="n">
        <v>26.5</v>
      </c>
      <c r="K34" s="27" t="s">
        <v>3488</v>
      </c>
      <c r="L34" s="27" t="s">
        <v>86</v>
      </c>
      <c r="M34" s="27" t="s">
        <v>1580</v>
      </c>
      <c r="N34" s="23" t="s">
        <v>1383</v>
      </c>
      <c r="O34" s="9" t="s">
        <v>3489</v>
      </c>
    </row>
    <row r="35" customFormat="false" ht="19.5" hidden="false" customHeight="true" outlineLevel="0" collapsed="false">
      <c r="A35" s="25" t="s">
        <v>3520</v>
      </c>
      <c r="B35" s="25" t="s">
        <v>3483</v>
      </c>
      <c r="C35" s="25" t="s">
        <v>3484</v>
      </c>
      <c r="D35" s="25" t="s">
        <v>3485</v>
      </c>
      <c r="E35" s="25" t="s">
        <v>328</v>
      </c>
      <c r="F35" s="12" t="s">
        <v>3189</v>
      </c>
      <c r="G35" s="12" t="s">
        <v>3491</v>
      </c>
      <c r="H35" s="25" t="s">
        <v>1400</v>
      </c>
      <c r="I35" s="25" t="s">
        <v>3487</v>
      </c>
      <c r="J35" s="13" t="n">
        <v>0</v>
      </c>
      <c r="K35" s="25" t="s">
        <v>3488</v>
      </c>
      <c r="L35" s="25" t="s">
        <v>86</v>
      </c>
      <c r="M35" s="25" t="s">
        <v>1580</v>
      </c>
      <c r="N35" s="22" t="s">
        <v>1383</v>
      </c>
      <c r="O35" s="12" t="s">
        <v>3489</v>
      </c>
    </row>
    <row r="36" customFormat="false" ht="19.5" hidden="false" customHeight="true" outlineLevel="0" collapsed="false">
      <c r="A36" s="27" t="s">
        <v>3521</v>
      </c>
      <c r="B36" s="27" t="s">
        <v>3483</v>
      </c>
      <c r="C36" s="27" t="s">
        <v>3484</v>
      </c>
      <c r="D36" s="27" t="s">
        <v>3485</v>
      </c>
      <c r="E36" s="27" t="s">
        <v>466</v>
      </c>
      <c r="F36" s="9" t="s">
        <v>1578</v>
      </c>
      <c r="G36" s="9" t="s">
        <v>462</v>
      </c>
      <c r="H36" s="27" t="s">
        <v>1400</v>
      </c>
      <c r="I36" s="27" t="s">
        <v>3487</v>
      </c>
      <c r="J36" s="10" t="n">
        <v>5.2</v>
      </c>
      <c r="K36" s="27" t="s">
        <v>3488</v>
      </c>
      <c r="L36" s="27" t="s">
        <v>86</v>
      </c>
      <c r="M36" s="27" t="s">
        <v>1580</v>
      </c>
      <c r="N36" s="23" t="s">
        <v>1383</v>
      </c>
      <c r="O36" s="9" t="s">
        <v>3489</v>
      </c>
    </row>
    <row r="37" customFormat="false" ht="19.5" hidden="false" customHeight="true" outlineLevel="0" collapsed="false">
      <c r="A37" s="25" t="s">
        <v>3522</v>
      </c>
      <c r="B37" s="25" t="s">
        <v>3483</v>
      </c>
      <c r="C37" s="25" t="s">
        <v>3484</v>
      </c>
      <c r="D37" s="25" t="s">
        <v>3485</v>
      </c>
      <c r="E37" s="25" t="s">
        <v>492</v>
      </c>
      <c r="F37" s="12" t="s">
        <v>1583</v>
      </c>
      <c r="G37" s="12" t="s">
        <v>462</v>
      </c>
      <c r="H37" s="25" t="s">
        <v>1400</v>
      </c>
      <c r="I37" s="25" t="s">
        <v>3487</v>
      </c>
      <c r="J37" s="13" t="n">
        <v>8</v>
      </c>
      <c r="K37" s="25" t="s">
        <v>3488</v>
      </c>
      <c r="L37" s="25" t="s">
        <v>86</v>
      </c>
      <c r="M37" s="25" t="s">
        <v>1580</v>
      </c>
      <c r="N37" s="22" t="s">
        <v>1383</v>
      </c>
      <c r="O37" s="12" t="s">
        <v>3489</v>
      </c>
    </row>
    <row r="38" customFormat="false" ht="19.5" hidden="false" customHeight="true" outlineLevel="0" collapsed="false">
      <c r="A38" s="27" t="s">
        <v>3523</v>
      </c>
      <c r="B38" s="27" t="s">
        <v>3483</v>
      </c>
      <c r="C38" s="27" t="s">
        <v>3484</v>
      </c>
      <c r="D38" s="27" t="s">
        <v>3485</v>
      </c>
      <c r="E38" s="27" t="s">
        <v>473</v>
      </c>
      <c r="F38" s="9" t="s">
        <v>1585</v>
      </c>
      <c r="G38" s="9" t="s">
        <v>462</v>
      </c>
      <c r="H38" s="27" t="s">
        <v>1400</v>
      </c>
      <c r="I38" s="27" t="s">
        <v>3487</v>
      </c>
      <c r="J38" s="10" t="n">
        <v>12</v>
      </c>
      <c r="K38" s="27" t="s">
        <v>3488</v>
      </c>
      <c r="L38" s="27" t="s">
        <v>86</v>
      </c>
      <c r="M38" s="27" t="s">
        <v>1580</v>
      </c>
      <c r="N38" s="23" t="s">
        <v>1383</v>
      </c>
      <c r="O38" s="9" t="s">
        <v>3489</v>
      </c>
    </row>
    <row r="39" customFormat="false" ht="19.5" hidden="false" customHeight="true" outlineLevel="0" collapsed="false">
      <c r="A39" s="25" t="s">
        <v>3524</v>
      </c>
      <c r="B39" s="25" t="s">
        <v>3483</v>
      </c>
      <c r="C39" s="25" t="s">
        <v>3484</v>
      </c>
      <c r="D39" s="25" t="s">
        <v>3485</v>
      </c>
      <c r="E39" s="25" t="s">
        <v>459</v>
      </c>
      <c r="F39" s="12" t="s">
        <v>1587</v>
      </c>
      <c r="G39" s="12" t="s">
        <v>462</v>
      </c>
      <c r="H39" s="25" t="s">
        <v>1400</v>
      </c>
      <c r="I39" s="25" t="s">
        <v>3487</v>
      </c>
      <c r="J39" s="13" t="n">
        <v>7.5</v>
      </c>
      <c r="K39" s="25" t="s">
        <v>3488</v>
      </c>
      <c r="L39" s="25" t="s">
        <v>86</v>
      </c>
      <c r="M39" s="25" t="s">
        <v>1580</v>
      </c>
      <c r="N39" s="22" t="s">
        <v>1383</v>
      </c>
      <c r="O39" s="12" t="s">
        <v>3489</v>
      </c>
    </row>
    <row r="40" customFormat="false" ht="19.5" hidden="false" customHeight="true" outlineLevel="0" collapsed="false">
      <c r="A40" s="27" t="s">
        <v>3525</v>
      </c>
      <c r="B40" s="27" t="s">
        <v>3483</v>
      </c>
      <c r="C40" s="27" t="s">
        <v>3484</v>
      </c>
      <c r="D40" s="27" t="s">
        <v>3485</v>
      </c>
      <c r="E40" s="27" t="s">
        <v>486</v>
      </c>
      <c r="F40" s="9" t="s">
        <v>1589</v>
      </c>
      <c r="G40" s="9" t="s">
        <v>462</v>
      </c>
      <c r="H40" s="27" t="s">
        <v>1400</v>
      </c>
      <c r="I40" s="27" t="s">
        <v>3487</v>
      </c>
      <c r="J40" s="10" t="n">
        <v>5</v>
      </c>
      <c r="K40" s="27" t="s">
        <v>3488</v>
      </c>
      <c r="L40" s="27" t="s">
        <v>86</v>
      </c>
      <c r="M40" s="27" t="s">
        <v>1580</v>
      </c>
      <c r="N40" s="23" t="s">
        <v>1383</v>
      </c>
      <c r="O40" s="9" t="s">
        <v>3489</v>
      </c>
    </row>
    <row r="41" customFormat="false" ht="19.5" hidden="false" customHeight="true" outlineLevel="0" collapsed="false">
      <c r="A41" s="25" t="s">
        <v>3526</v>
      </c>
      <c r="B41" s="25" t="s">
        <v>3483</v>
      </c>
      <c r="C41" s="25" t="s">
        <v>3484</v>
      </c>
      <c r="D41" s="25" t="s">
        <v>3485</v>
      </c>
      <c r="E41" s="25" t="s">
        <v>479</v>
      </c>
      <c r="F41" s="12" t="s">
        <v>1591</v>
      </c>
      <c r="G41" s="12" t="s">
        <v>462</v>
      </c>
      <c r="H41" s="25" t="s">
        <v>1400</v>
      </c>
      <c r="I41" s="25" t="s">
        <v>3487</v>
      </c>
      <c r="J41" s="13" t="n">
        <v>15.2</v>
      </c>
      <c r="K41" s="25" t="s">
        <v>3488</v>
      </c>
      <c r="L41" s="25" t="s">
        <v>86</v>
      </c>
      <c r="M41" s="25" t="s">
        <v>1580</v>
      </c>
      <c r="N41" s="22" t="s">
        <v>1383</v>
      </c>
      <c r="O41" s="12" t="s">
        <v>3489</v>
      </c>
    </row>
    <row r="42" customFormat="false" ht="19.5" hidden="false" customHeight="true" outlineLevel="0" collapsed="false">
      <c r="A42" s="27" t="s">
        <v>3527</v>
      </c>
      <c r="B42" s="27" t="s">
        <v>3483</v>
      </c>
      <c r="C42" s="27" t="s">
        <v>3484</v>
      </c>
      <c r="D42" s="27" t="s">
        <v>3485</v>
      </c>
      <c r="E42" s="27" t="s">
        <v>233</v>
      </c>
      <c r="F42" s="9" t="s">
        <v>1593</v>
      </c>
      <c r="G42" s="9" t="s">
        <v>236</v>
      </c>
      <c r="H42" s="27" t="s">
        <v>1400</v>
      </c>
      <c r="I42" s="27" t="s">
        <v>3487</v>
      </c>
      <c r="J42" s="10" t="n">
        <v>0.6</v>
      </c>
      <c r="K42" s="27" t="s">
        <v>3488</v>
      </c>
      <c r="L42" s="27" t="s">
        <v>86</v>
      </c>
      <c r="M42" s="27" t="s">
        <v>1580</v>
      </c>
      <c r="N42" s="23" t="s">
        <v>1383</v>
      </c>
      <c r="O42" s="9" t="s">
        <v>3489</v>
      </c>
    </row>
    <row r="43" customFormat="false" ht="19.5" hidden="false" customHeight="true" outlineLevel="0" collapsed="false">
      <c r="A43" s="25" t="s">
        <v>3528</v>
      </c>
      <c r="B43" s="25" t="s">
        <v>3483</v>
      </c>
      <c r="C43" s="25" t="s">
        <v>3484</v>
      </c>
      <c r="D43" s="25" t="s">
        <v>3485</v>
      </c>
      <c r="E43" s="25" t="s">
        <v>448</v>
      </c>
      <c r="F43" s="12" t="s">
        <v>1595</v>
      </c>
      <c r="G43" s="12" t="s">
        <v>219</v>
      </c>
      <c r="H43" s="25" t="s">
        <v>1400</v>
      </c>
      <c r="I43" s="25" t="s">
        <v>3487</v>
      </c>
      <c r="J43" s="13" t="n">
        <v>0</v>
      </c>
      <c r="K43" s="25" t="s">
        <v>3488</v>
      </c>
      <c r="L43" s="25" t="s">
        <v>86</v>
      </c>
      <c r="M43" s="25" t="s">
        <v>1580</v>
      </c>
      <c r="N43" s="22" t="s">
        <v>1383</v>
      </c>
      <c r="O43" s="12" t="s">
        <v>3489</v>
      </c>
    </row>
    <row r="44" customFormat="false" ht="19.5" hidden="false" customHeight="true" outlineLevel="0" collapsed="false">
      <c r="A44" s="27" t="s">
        <v>3529</v>
      </c>
      <c r="B44" s="27" t="s">
        <v>3483</v>
      </c>
      <c r="C44" s="27" t="s">
        <v>3484</v>
      </c>
      <c r="D44" s="27" t="s">
        <v>3485</v>
      </c>
      <c r="E44" s="27" t="s">
        <v>455</v>
      </c>
      <c r="F44" s="9" t="s">
        <v>1597</v>
      </c>
      <c r="G44" s="9" t="s">
        <v>219</v>
      </c>
      <c r="H44" s="27" t="s">
        <v>1400</v>
      </c>
      <c r="I44" s="27" t="s">
        <v>3487</v>
      </c>
      <c r="J44" s="10" t="n">
        <v>0</v>
      </c>
      <c r="K44" s="27" t="s">
        <v>3488</v>
      </c>
      <c r="L44" s="27" t="s">
        <v>86</v>
      </c>
      <c r="M44" s="27" t="s">
        <v>1580</v>
      </c>
      <c r="N44" s="23" t="s">
        <v>1383</v>
      </c>
      <c r="O44" s="9" t="s">
        <v>3489</v>
      </c>
    </row>
    <row r="45" customFormat="false" ht="19.5" hidden="false" customHeight="true" outlineLevel="0" collapsed="false">
      <c r="A45" s="25" t="s">
        <v>3530</v>
      </c>
      <c r="B45" s="25" t="s">
        <v>3483</v>
      </c>
      <c r="C45" s="25" t="s">
        <v>3484</v>
      </c>
      <c r="D45" s="25" t="s">
        <v>3485</v>
      </c>
      <c r="E45" s="25" t="s">
        <v>439</v>
      </c>
      <c r="F45" s="12" t="s">
        <v>1599</v>
      </c>
      <c r="G45" s="12" t="s">
        <v>219</v>
      </c>
      <c r="H45" s="25" t="s">
        <v>1400</v>
      </c>
      <c r="I45" s="25" t="s">
        <v>3487</v>
      </c>
      <c r="J45" s="13" t="n">
        <v>3.2</v>
      </c>
      <c r="K45" s="25" t="s">
        <v>3488</v>
      </c>
      <c r="L45" s="25" t="s">
        <v>86</v>
      </c>
      <c r="M45" s="25" t="s">
        <v>1580</v>
      </c>
      <c r="N45" s="22" t="s">
        <v>1383</v>
      </c>
      <c r="O45" s="12" t="s">
        <v>3489</v>
      </c>
    </row>
    <row r="46" customFormat="false" ht="19.5" hidden="false" customHeight="true" outlineLevel="0" collapsed="false">
      <c r="A46" s="27" t="s">
        <v>3531</v>
      </c>
      <c r="B46" s="27" t="s">
        <v>3483</v>
      </c>
      <c r="C46" s="27" t="s">
        <v>3484</v>
      </c>
      <c r="D46" s="27" t="s">
        <v>3485</v>
      </c>
      <c r="E46" s="27" t="s">
        <v>426</v>
      </c>
      <c r="F46" s="9" t="s">
        <v>1601</v>
      </c>
      <c r="G46" s="9" t="s">
        <v>219</v>
      </c>
      <c r="H46" s="27" t="s">
        <v>1400</v>
      </c>
      <c r="I46" s="27" t="s">
        <v>3487</v>
      </c>
      <c r="J46" s="10" t="n">
        <v>0</v>
      </c>
      <c r="K46" s="27" t="s">
        <v>3488</v>
      </c>
      <c r="L46" s="27" t="s">
        <v>86</v>
      </c>
      <c r="M46" s="27" t="s">
        <v>1580</v>
      </c>
      <c r="N46" s="23" t="s">
        <v>1383</v>
      </c>
      <c r="O46" s="9" t="s">
        <v>3489</v>
      </c>
    </row>
    <row r="47" customFormat="false" ht="19.5" hidden="false" customHeight="true" outlineLevel="0" collapsed="false">
      <c r="A47" s="25" t="s">
        <v>3532</v>
      </c>
      <c r="B47" s="25" t="s">
        <v>3483</v>
      </c>
      <c r="C47" s="25" t="s">
        <v>3484</v>
      </c>
      <c r="D47" s="25" t="s">
        <v>3485</v>
      </c>
      <c r="E47" s="25" t="s">
        <v>385</v>
      </c>
      <c r="F47" s="12" t="s">
        <v>1603</v>
      </c>
      <c r="G47" s="12" t="s">
        <v>219</v>
      </c>
      <c r="H47" s="25" t="s">
        <v>1400</v>
      </c>
      <c r="I47" s="25" t="s">
        <v>3487</v>
      </c>
      <c r="J47" s="13" t="n">
        <v>0</v>
      </c>
      <c r="K47" s="25" t="s">
        <v>3488</v>
      </c>
      <c r="L47" s="25" t="s">
        <v>86</v>
      </c>
      <c r="M47" s="25" t="s">
        <v>1580</v>
      </c>
      <c r="N47" s="22" t="s">
        <v>1383</v>
      </c>
      <c r="O47" s="12" t="s">
        <v>3489</v>
      </c>
    </row>
    <row r="48" customFormat="false" ht="19.5" hidden="false" customHeight="true" outlineLevel="0" collapsed="false">
      <c r="A48" s="27" t="s">
        <v>3533</v>
      </c>
      <c r="B48" s="27" t="s">
        <v>3483</v>
      </c>
      <c r="C48" s="27" t="s">
        <v>3484</v>
      </c>
      <c r="D48" s="27" t="s">
        <v>3485</v>
      </c>
      <c r="E48" s="27" t="s">
        <v>392</v>
      </c>
      <c r="F48" s="9" t="s">
        <v>1605</v>
      </c>
      <c r="G48" s="9" t="s">
        <v>219</v>
      </c>
      <c r="H48" s="27" t="s">
        <v>1400</v>
      </c>
      <c r="I48" s="27" t="s">
        <v>3487</v>
      </c>
      <c r="J48" s="10" t="n">
        <v>2.2</v>
      </c>
      <c r="K48" s="27" t="s">
        <v>3488</v>
      </c>
      <c r="L48" s="27" t="s">
        <v>86</v>
      </c>
      <c r="M48" s="27" t="s">
        <v>1580</v>
      </c>
      <c r="N48" s="23" t="s">
        <v>1383</v>
      </c>
      <c r="O48" s="9" t="s">
        <v>3489</v>
      </c>
    </row>
    <row r="49" customFormat="false" ht="19.5" hidden="false" customHeight="true" outlineLevel="0" collapsed="false">
      <c r="A49" s="25" t="s">
        <v>3534</v>
      </c>
      <c r="B49" s="25" t="s">
        <v>3483</v>
      </c>
      <c r="C49" s="25" t="s">
        <v>3484</v>
      </c>
      <c r="D49" s="25" t="s">
        <v>3485</v>
      </c>
      <c r="E49" s="25" t="s">
        <v>399</v>
      </c>
      <c r="F49" s="12" t="s">
        <v>1607</v>
      </c>
      <c r="G49" s="12" t="s">
        <v>219</v>
      </c>
      <c r="H49" s="25" t="s">
        <v>1400</v>
      </c>
      <c r="I49" s="25" t="s">
        <v>3487</v>
      </c>
      <c r="J49" s="13" t="n">
        <v>0.4</v>
      </c>
      <c r="K49" s="25" t="s">
        <v>3488</v>
      </c>
      <c r="L49" s="25" t="s">
        <v>86</v>
      </c>
      <c r="M49" s="25" t="s">
        <v>1580</v>
      </c>
      <c r="N49" s="22" t="s">
        <v>1383</v>
      </c>
      <c r="O49" s="12" t="s">
        <v>3489</v>
      </c>
    </row>
    <row r="50" customFormat="false" ht="19.5" hidden="false" customHeight="true" outlineLevel="0" collapsed="false">
      <c r="A50" s="27" t="s">
        <v>3535</v>
      </c>
      <c r="B50" s="27" t="s">
        <v>3483</v>
      </c>
      <c r="C50" s="27" t="s">
        <v>3484</v>
      </c>
      <c r="D50" s="27" t="s">
        <v>3485</v>
      </c>
      <c r="E50" s="27" t="s">
        <v>433</v>
      </c>
      <c r="F50" s="9" t="s">
        <v>1609</v>
      </c>
      <c r="G50" s="9" t="s">
        <v>219</v>
      </c>
      <c r="H50" s="27" t="s">
        <v>1400</v>
      </c>
      <c r="I50" s="27" t="s">
        <v>3487</v>
      </c>
      <c r="J50" s="10" t="n">
        <v>0</v>
      </c>
      <c r="K50" s="27" t="s">
        <v>3488</v>
      </c>
      <c r="L50" s="27" t="s">
        <v>86</v>
      </c>
      <c r="M50" s="27" t="s">
        <v>1580</v>
      </c>
      <c r="N50" s="23" t="s">
        <v>1383</v>
      </c>
      <c r="O50" s="9" t="s">
        <v>3489</v>
      </c>
    </row>
    <row r="51" customFormat="false" ht="19.5" hidden="false" customHeight="true" outlineLevel="0" collapsed="false">
      <c r="A51" s="25" t="s">
        <v>3536</v>
      </c>
      <c r="B51" s="25" t="s">
        <v>3483</v>
      </c>
      <c r="C51" s="25" t="s">
        <v>3484</v>
      </c>
      <c r="D51" s="25" t="s">
        <v>3485</v>
      </c>
      <c r="E51" s="25" t="s">
        <v>405</v>
      </c>
      <c r="F51" s="12" t="s">
        <v>1611</v>
      </c>
      <c r="G51" s="12" t="s">
        <v>219</v>
      </c>
      <c r="H51" s="25" t="s">
        <v>1400</v>
      </c>
      <c r="I51" s="25" t="s">
        <v>3487</v>
      </c>
      <c r="J51" s="13" t="n">
        <v>3</v>
      </c>
      <c r="K51" s="25" t="s">
        <v>3488</v>
      </c>
      <c r="L51" s="25" t="s">
        <v>86</v>
      </c>
      <c r="M51" s="25" t="s">
        <v>1580</v>
      </c>
      <c r="N51" s="22" t="s">
        <v>1383</v>
      </c>
      <c r="O51" s="12" t="s">
        <v>3489</v>
      </c>
    </row>
    <row r="52" customFormat="false" ht="19.5" hidden="false" customHeight="true" outlineLevel="0" collapsed="false">
      <c r="A52" s="27" t="s">
        <v>3537</v>
      </c>
      <c r="B52" s="27" t="s">
        <v>3483</v>
      </c>
      <c r="C52" s="27" t="s">
        <v>3484</v>
      </c>
      <c r="D52" s="27" t="s">
        <v>3485</v>
      </c>
      <c r="E52" s="27" t="s">
        <v>411</v>
      </c>
      <c r="F52" s="9" t="s">
        <v>1613</v>
      </c>
      <c r="G52" s="9" t="s">
        <v>219</v>
      </c>
      <c r="H52" s="27" t="s">
        <v>1400</v>
      </c>
      <c r="I52" s="27" t="s">
        <v>3487</v>
      </c>
      <c r="J52" s="10" t="n">
        <v>2.5</v>
      </c>
      <c r="K52" s="27" t="s">
        <v>3488</v>
      </c>
      <c r="L52" s="27" t="s">
        <v>86</v>
      </c>
      <c r="M52" s="27" t="s">
        <v>1580</v>
      </c>
      <c r="N52" s="23" t="s">
        <v>1383</v>
      </c>
      <c r="O52" s="9" t="s">
        <v>3489</v>
      </c>
    </row>
    <row r="53" customFormat="false" ht="19.5" hidden="false" customHeight="true" outlineLevel="0" collapsed="false">
      <c r="A53" s="25" t="s">
        <v>3538</v>
      </c>
      <c r="B53" s="25" t="s">
        <v>3483</v>
      </c>
      <c r="C53" s="25" t="s">
        <v>3484</v>
      </c>
      <c r="D53" s="25" t="s">
        <v>3485</v>
      </c>
      <c r="E53" s="25" t="s">
        <v>416</v>
      </c>
      <c r="F53" s="12" t="s">
        <v>1615</v>
      </c>
      <c r="G53" s="12" t="s">
        <v>219</v>
      </c>
      <c r="H53" s="25" t="s">
        <v>1400</v>
      </c>
      <c r="I53" s="25" t="s">
        <v>3487</v>
      </c>
      <c r="J53" s="13" t="n">
        <v>0</v>
      </c>
      <c r="K53" s="25" t="s">
        <v>3488</v>
      </c>
      <c r="L53" s="25" t="s">
        <v>86</v>
      </c>
      <c r="M53" s="25" t="s">
        <v>1580</v>
      </c>
      <c r="N53" s="22" t="s">
        <v>1383</v>
      </c>
      <c r="O53" s="12" t="s">
        <v>3489</v>
      </c>
    </row>
    <row r="54" customFormat="false" ht="19.5" hidden="false" customHeight="true" outlineLevel="0" collapsed="false">
      <c r="A54" s="27" t="s">
        <v>3539</v>
      </c>
      <c r="B54" s="27" t="s">
        <v>3483</v>
      </c>
      <c r="C54" s="27" t="s">
        <v>3484</v>
      </c>
      <c r="D54" s="27" t="s">
        <v>3485</v>
      </c>
      <c r="E54" s="27" t="s">
        <v>377</v>
      </c>
      <c r="F54" s="9" t="s">
        <v>1617</v>
      </c>
      <c r="G54" s="9" t="s">
        <v>219</v>
      </c>
      <c r="H54" s="27" t="s">
        <v>1400</v>
      </c>
      <c r="I54" s="27" t="s">
        <v>3487</v>
      </c>
      <c r="J54" s="10" t="n">
        <v>2.2</v>
      </c>
      <c r="K54" s="27" t="s">
        <v>3488</v>
      </c>
      <c r="L54" s="27" t="s">
        <v>86</v>
      </c>
      <c r="M54" s="27" t="s">
        <v>1580</v>
      </c>
      <c r="N54" s="23" t="s">
        <v>1383</v>
      </c>
      <c r="O54" s="9" t="s">
        <v>3489</v>
      </c>
    </row>
    <row r="55" customFormat="false" ht="19.5" hidden="false" customHeight="true" outlineLevel="0" collapsed="false">
      <c r="A55" s="25" t="s">
        <v>3540</v>
      </c>
      <c r="B55" s="25" t="s">
        <v>3483</v>
      </c>
      <c r="C55" s="25" t="s">
        <v>3484</v>
      </c>
      <c r="D55" s="25" t="s">
        <v>3485</v>
      </c>
      <c r="E55" s="25" t="s">
        <v>420</v>
      </c>
      <c r="F55" s="12" t="s">
        <v>1619</v>
      </c>
      <c r="G55" s="12" t="s">
        <v>219</v>
      </c>
      <c r="H55" s="25" t="s">
        <v>1400</v>
      </c>
      <c r="I55" s="25" t="s">
        <v>3487</v>
      </c>
      <c r="J55" s="13" t="n">
        <v>0</v>
      </c>
      <c r="K55" s="25" t="s">
        <v>3488</v>
      </c>
      <c r="L55" s="25" t="s">
        <v>86</v>
      </c>
      <c r="M55" s="25" t="s">
        <v>1580</v>
      </c>
      <c r="N55" s="22" t="s">
        <v>1383</v>
      </c>
      <c r="O55" s="12" t="s">
        <v>3489</v>
      </c>
    </row>
    <row r="56" customFormat="false" ht="19.5" hidden="false" customHeight="true" outlineLevel="0" collapsed="false">
      <c r="A56" s="27" t="s">
        <v>3541</v>
      </c>
      <c r="B56" s="27" t="s">
        <v>3483</v>
      </c>
      <c r="C56" s="27" t="s">
        <v>3484</v>
      </c>
      <c r="D56" s="27" t="s">
        <v>3485</v>
      </c>
      <c r="E56" s="27" t="s">
        <v>250</v>
      </c>
      <c r="F56" s="9" t="s">
        <v>1621</v>
      </c>
      <c r="G56" s="9" t="s">
        <v>219</v>
      </c>
      <c r="H56" s="27" t="s">
        <v>1400</v>
      </c>
      <c r="I56" s="27" t="s">
        <v>3487</v>
      </c>
      <c r="J56" s="10" t="n">
        <v>0</v>
      </c>
      <c r="K56" s="27" t="s">
        <v>3488</v>
      </c>
      <c r="L56" s="27" t="s">
        <v>86</v>
      </c>
      <c r="M56" s="27" t="s">
        <v>1580</v>
      </c>
      <c r="N56" s="23" t="s">
        <v>1383</v>
      </c>
      <c r="O56" s="9" t="s">
        <v>3489</v>
      </c>
    </row>
    <row r="57" customFormat="false" ht="19.5" hidden="false" customHeight="true" outlineLevel="0" collapsed="false">
      <c r="A57" s="25" t="s">
        <v>3542</v>
      </c>
      <c r="B57" s="25" t="s">
        <v>3483</v>
      </c>
      <c r="C57" s="25" t="s">
        <v>3484</v>
      </c>
      <c r="D57" s="25" t="s">
        <v>3485</v>
      </c>
      <c r="E57" s="25" t="s">
        <v>312</v>
      </c>
      <c r="F57" s="12" t="s">
        <v>3213</v>
      </c>
      <c r="G57" s="12" t="s">
        <v>295</v>
      </c>
      <c r="H57" s="25" t="s">
        <v>1400</v>
      </c>
      <c r="I57" s="25" t="s">
        <v>3487</v>
      </c>
      <c r="J57" s="13" t="n">
        <v>13.4</v>
      </c>
      <c r="K57" s="25" t="s">
        <v>3488</v>
      </c>
      <c r="L57" s="25" t="s">
        <v>86</v>
      </c>
      <c r="M57" s="25" t="s">
        <v>1580</v>
      </c>
      <c r="N57" s="22" t="s">
        <v>1383</v>
      </c>
      <c r="O57" s="12" t="s">
        <v>3489</v>
      </c>
    </row>
    <row r="58" customFormat="false" ht="19.5" hidden="false" customHeight="true" outlineLevel="0" collapsed="false">
      <c r="A58" s="27" t="s">
        <v>3543</v>
      </c>
      <c r="B58" s="27" t="s">
        <v>3483</v>
      </c>
      <c r="C58" s="27" t="s">
        <v>3484</v>
      </c>
      <c r="D58" s="27" t="s">
        <v>3485</v>
      </c>
      <c r="E58" s="27" t="s">
        <v>226</v>
      </c>
      <c r="F58" s="9" t="s">
        <v>1623</v>
      </c>
      <c r="G58" s="9" t="s">
        <v>219</v>
      </c>
      <c r="H58" s="27" t="s">
        <v>1400</v>
      </c>
      <c r="I58" s="27" t="s">
        <v>3487</v>
      </c>
      <c r="J58" s="10" t="n">
        <v>0</v>
      </c>
      <c r="K58" s="27" t="s">
        <v>3488</v>
      </c>
      <c r="L58" s="27" t="s">
        <v>86</v>
      </c>
      <c r="M58" s="27" t="s">
        <v>1580</v>
      </c>
      <c r="N58" s="23" t="s">
        <v>1383</v>
      </c>
      <c r="O58" s="9" t="s">
        <v>3489</v>
      </c>
    </row>
    <row r="59" customFormat="false" ht="19.5" hidden="false" customHeight="true" outlineLevel="0" collapsed="false">
      <c r="A59" s="25" t="s">
        <v>3544</v>
      </c>
      <c r="B59" s="25" t="s">
        <v>3483</v>
      </c>
      <c r="C59" s="25" t="s">
        <v>3484</v>
      </c>
      <c r="D59" s="25" t="s">
        <v>3485</v>
      </c>
      <c r="E59" s="25" t="s">
        <v>319</v>
      </c>
      <c r="F59" s="12" t="s">
        <v>3217</v>
      </c>
      <c r="G59" s="12" t="s">
        <v>295</v>
      </c>
      <c r="H59" s="25" t="s">
        <v>1400</v>
      </c>
      <c r="I59" s="25" t="s">
        <v>3487</v>
      </c>
      <c r="J59" s="13" t="n">
        <v>9.5</v>
      </c>
      <c r="K59" s="25" t="s">
        <v>3488</v>
      </c>
      <c r="L59" s="25" t="s">
        <v>86</v>
      </c>
      <c r="M59" s="25" t="s">
        <v>1580</v>
      </c>
      <c r="N59" s="22" t="s">
        <v>1383</v>
      </c>
      <c r="O59" s="12" t="s">
        <v>3489</v>
      </c>
    </row>
    <row r="60" customFormat="false" ht="19.5" hidden="false" customHeight="true" outlineLevel="0" collapsed="false">
      <c r="A60" s="27" t="s">
        <v>3545</v>
      </c>
      <c r="B60" s="27" t="s">
        <v>3483</v>
      </c>
      <c r="C60" s="27" t="s">
        <v>3484</v>
      </c>
      <c r="D60" s="27" t="s">
        <v>3485</v>
      </c>
      <c r="E60" s="27" t="s">
        <v>292</v>
      </c>
      <c r="F60" s="9" t="s">
        <v>3219</v>
      </c>
      <c r="G60" s="9" t="s">
        <v>295</v>
      </c>
      <c r="H60" s="27" t="s">
        <v>1400</v>
      </c>
      <c r="I60" s="27" t="s">
        <v>3487</v>
      </c>
      <c r="J60" s="10" t="n">
        <v>0</v>
      </c>
      <c r="K60" s="27" t="s">
        <v>3488</v>
      </c>
      <c r="L60" s="27" t="s">
        <v>86</v>
      </c>
      <c r="M60" s="27" t="s">
        <v>1580</v>
      </c>
      <c r="N60" s="23" t="s">
        <v>1383</v>
      </c>
      <c r="O60" s="9" t="s">
        <v>3489</v>
      </c>
    </row>
    <row r="61" customFormat="false" ht="19.5" hidden="false" customHeight="true" outlineLevel="0" collapsed="false">
      <c r="A61" s="25" t="s">
        <v>3546</v>
      </c>
      <c r="B61" s="25" t="s">
        <v>3483</v>
      </c>
      <c r="C61" s="25" t="s">
        <v>3484</v>
      </c>
      <c r="D61" s="25" t="s">
        <v>3485</v>
      </c>
      <c r="E61" s="25" t="s">
        <v>215</v>
      </c>
      <c r="F61" s="12" t="s">
        <v>1625</v>
      </c>
      <c r="G61" s="12" t="s">
        <v>219</v>
      </c>
      <c r="H61" s="25" t="s">
        <v>1400</v>
      </c>
      <c r="I61" s="25" t="s">
        <v>3487</v>
      </c>
      <c r="J61" s="13" t="n">
        <v>2.1</v>
      </c>
      <c r="K61" s="25" t="s">
        <v>3488</v>
      </c>
      <c r="L61" s="25" t="s">
        <v>86</v>
      </c>
      <c r="M61" s="25" t="s">
        <v>1580</v>
      </c>
      <c r="N61" s="22" t="s">
        <v>1383</v>
      </c>
      <c r="O61" s="12" t="s">
        <v>3489</v>
      </c>
    </row>
    <row r="62" customFormat="false" ht="19.5" hidden="false" customHeight="true" outlineLevel="0" collapsed="false">
      <c r="A62" s="27" t="s">
        <v>3547</v>
      </c>
      <c r="B62" s="27" t="s">
        <v>3483</v>
      </c>
      <c r="C62" s="27" t="s">
        <v>3484</v>
      </c>
      <c r="D62" s="27" t="s">
        <v>3485</v>
      </c>
      <c r="E62" s="27" t="s">
        <v>257</v>
      </c>
      <c r="F62" s="9" t="s">
        <v>1627</v>
      </c>
      <c r="G62" s="9" t="s">
        <v>219</v>
      </c>
      <c r="H62" s="27" t="s">
        <v>1400</v>
      </c>
      <c r="I62" s="27" t="s">
        <v>3487</v>
      </c>
      <c r="J62" s="10" t="n">
        <v>0</v>
      </c>
      <c r="K62" s="27" t="s">
        <v>3488</v>
      </c>
      <c r="L62" s="27" t="s">
        <v>86</v>
      </c>
      <c r="M62" s="27" t="s">
        <v>1580</v>
      </c>
      <c r="N62" s="23" t="s">
        <v>1383</v>
      </c>
      <c r="O62" s="9" t="s">
        <v>3489</v>
      </c>
    </row>
    <row r="63" customFormat="false" ht="19.5" hidden="false" customHeight="true" outlineLevel="0" collapsed="false">
      <c r="A63" s="25" t="s">
        <v>3548</v>
      </c>
      <c r="B63" s="25" t="s">
        <v>3483</v>
      </c>
      <c r="C63" s="25" t="s">
        <v>3484</v>
      </c>
      <c r="D63" s="25" t="s">
        <v>3485</v>
      </c>
      <c r="E63" s="25" t="s">
        <v>334</v>
      </c>
      <c r="F63" s="12" t="s">
        <v>3186</v>
      </c>
      <c r="G63" s="12" t="s">
        <v>3486</v>
      </c>
      <c r="H63" s="25" t="s">
        <v>1419</v>
      </c>
      <c r="I63" s="25" t="s">
        <v>3487</v>
      </c>
      <c r="J63" s="13" t="n">
        <v>30</v>
      </c>
      <c r="K63" s="25" t="s">
        <v>3488</v>
      </c>
      <c r="L63" s="25" t="s">
        <v>86</v>
      </c>
      <c r="M63" s="25" t="s">
        <v>1580</v>
      </c>
      <c r="N63" s="22" t="s">
        <v>1376</v>
      </c>
      <c r="O63" s="12" t="s">
        <v>3489</v>
      </c>
    </row>
    <row r="64" customFormat="false" ht="19.5" hidden="false" customHeight="true" outlineLevel="0" collapsed="false">
      <c r="A64" s="27" t="s">
        <v>3549</v>
      </c>
      <c r="B64" s="27" t="s">
        <v>3483</v>
      </c>
      <c r="C64" s="27" t="s">
        <v>3484</v>
      </c>
      <c r="D64" s="27" t="s">
        <v>3485</v>
      </c>
      <c r="E64" s="27" t="s">
        <v>328</v>
      </c>
      <c r="F64" s="9" t="s">
        <v>3189</v>
      </c>
      <c r="G64" s="9" t="s">
        <v>3491</v>
      </c>
      <c r="H64" s="27" t="s">
        <v>1419</v>
      </c>
      <c r="I64" s="27" t="s">
        <v>3487</v>
      </c>
      <c r="J64" s="10" t="n">
        <v>11</v>
      </c>
      <c r="K64" s="27" t="s">
        <v>3488</v>
      </c>
      <c r="L64" s="27" t="s">
        <v>86</v>
      </c>
      <c r="M64" s="27" t="s">
        <v>1580</v>
      </c>
      <c r="N64" s="23" t="s">
        <v>1376</v>
      </c>
      <c r="O64" s="9" t="s">
        <v>3489</v>
      </c>
    </row>
    <row r="65" customFormat="false" ht="19.5" hidden="false" customHeight="true" outlineLevel="0" collapsed="false">
      <c r="A65" s="25" t="s">
        <v>3550</v>
      </c>
      <c r="B65" s="25" t="s">
        <v>3483</v>
      </c>
      <c r="C65" s="25" t="s">
        <v>3484</v>
      </c>
      <c r="D65" s="25" t="s">
        <v>3485</v>
      </c>
      <c r="E65" s="25" t="s">
        <v>466</v>
      </c>
      <c r="F65" s="12" t="s">
        <v>1578</v>
      </c>
      <c r="G65" s="12" t="s">
        <v>462</v>
      </c>
      <c r="H65" s="25" t="s">
        <v>1419</v>
      </c>
      <c r="I65" s="25" t="s">
        <v>3487</v>
      </c>
      <c r="J65" s="13" t="n">
        <v>23.8</v>
      </c>
      <c r="K65" s="25" t="s">
        <v>3488</v>
      </c>
      <c r="L65" s="25" t="s">
        <v>86</v>
      </c>
      <c r="M65" s="25" t="s">
        <v>1580</v>
      </c>
      <c r="N65" s="22" t="s">
        <v>1376</v>
      </c>
      <c r="O65" s="12" t="s">
        <v>3489</v>
      </c>
    </row>
    <row r="66" customFormat="false" ht="19.5" hidden="false" customHeight="true" outlineLevel="0" collapsed="false">
      <c r="A66" s="27" t="s">
        <v>3551</v>
      </c>
      <c r="B66" s="27" t="s">
        <v>3483</v>
      </c>
      <c r="C66" s="27" t="s">
        <v>3484</v>
      </c>
      <c r="D66" s="27" t="s">
        <v>3485</v>
      </c>
      <c r="E66" s="27" t="s">
        <v>492</v>
      </c>
      <c r="F66" s="9" t="s">
        <v>1583</v>
      </c>
      <c r="G66" s="9" t="s">
        <v>462</v>
      </c>
      <c r="H66" s="27" t="s">
        <v>1419</v>
      </c>
      <c r="I66" s="27" t="s">
        <v>3487</v>
      </c>
      <c r="J66" s="10" t="n">
        <v>8</v>
      </c>
      <c r="K66" s="27" t="s">
        <v>3488</v>
      </c>
      <c r="L66" s="27" t="s">
        <v>86</v>
      </c>
      <c r="M66" s="27" t="s">
        <v>1580</v>
      </c>
      <c r="N66" s="23" t="s">
        <v>1376</v>
      </c>
      <c r="O66" s="9" t="s">
        <v>3489</v>
      </c>
    </row>
    <row r="67" customFormat="false" ht="19.5" hidden="false" customHeight="true" outlineLevel="0" collapsed="false">
      <c r="A67" s="25" t="s">
        <v>3552</v>
      </c>
      <c r="B67" s="25" t="s">
        <v>3483</v>
      </c>
      <c r="C67" s="25" t="s">
        <v>3484</v>
      </c>
      <c r="D67" s="25" t="s">
        <v>3485</v>
      </c>
      <c r="E67" s="25" t="s">
        <v>473</v>
      </c>
      <c r="F67" s="12" t="s">
        <v>1585</v>
      </c>
      <c r="G67" s="12" t="s">
        <v>462</v>
      </c>
      <c r="H67" s="25" t="s">
        <v>1419</v>
      </c>
      <c r="I67" s="25" t="s">
        <v>3487</v>
      </c>
      <c r="J67" s="13" t="n">
        <v>34</v>
      </c>
      <c r="K67" s="25" t="s">
        <v>3488</v>
      </c>
      <c r="L67" s="25" t="s">
        <v>86</v>
      </c>
      <c r="M67" s="25" t="s">
        <v>1580</v>
      </c>
      <c r="N67" s="22" t="s">
        <v>1376</v>
      </c>
      <c r="O67" s="12" t="s">
        <v>3489</v>
      </c>
    </row>
    <row r="68" customFormat="false" ht="19.5" hidden="false" customHeight="true" outlineLevel="0" collapsed="false">
      <c r="A68" s="27" t="s">
        <v>3553</v>
      </c>
      <c r="B68" s="27" t="s">
        <v>3483</v>
      </c>
      <c r="C68" s="27" t="s">
        <v>3484</v>
      </c>
      <c r="D68" s="27" t="s">
        <v>3485</v>
      </c>
      <c r="E68" s="27" t="s">
        <v>459</v>
      </c>
      <c r="F68" s="9" t="s">
        <v>1587</v>
      </c>
      <c r="G68" s="9" t="s">
        <v>462</v>
      </c>
      <c r="H68" s="27" t="s">
        <v>1419</v>
      </c>
      <c r="I68" s="27" t="s">
        <v>3487</v>
      </c>
      <c r="J68" s="10" t="n">
        <v>7.5</v>
      </c>
      <c r="K68" s="27" t="s">
        <v>3488</v>
      </c>
      <c r="L68" s="27" t="s">
        <v>86</v>
      </c>
      <c r="M68" s="27" t="s">
        <v>1580</v>
      </c>
      <c r="N68" s="23" t="s">
        <v>1376</v>
      </c>
      <c r="O68" s="9" t="s">
        <v>3489</v>
      </c>
    </row>
    <row r="69" customFormat="false" ht="19.5" hidden="false" customHeight="true" outlineLevel="0" collapsed="false">
      <c r="A69" s="25" t="s">
        <v>3554</v>
      </c>
      <c r="B69" s="25" t="s">
        <v>3483</v>
      </c>
      <c r="C69" s="25" t="s">
        <v>3484</v>
      </c>
      <c r="D69" s="25" t="s">
        <v>3485</v>
      </c>
      <c r="E69" s="25" t="s">
        <v>486</v>
      </c>
      <c r="F69" s="12" t="s">
        <v>1589</v>
      </c>
      <c r="G69" s="12" t="s">
        <v>462</v>
      </c>
      <c r="H69" s="25" t="s">
        <v>1419</v>
      </c>
      <c r="I69" s="25" t="s">
        <v>3487</v>
      </c>
      <c r="J69" s="13" t="n">
        <v>5</v>
      </c>
      <c r="K69" s="25" t="s">
        <v>3488</v>
      </c>
      <c r="L69" s="25" t="s">
        <v>86</v>
      </c>
      <c r="M69" s="25" t="s">
        <v>1580</v>
      </c>
      <c r="N69" s="22" t="s">
        <v>1376</v>
      </c>
      <c r="O69" s="12" t="s">
        <v>3489</v>
      </c>
    </row>
    <row r="70" customFormat="false" ht="19.5" hidden="false" customHeight="true" outlineLevel="0" collapsed="false">
      <c r="A70" s="27" t="s">
        <v>3555</v>
      </c>
      <c r="B70" s="27" t="s">
        <v>3483</v>
      </c>
      <c r="C70" s="27" t="s">
        <v>3484</v>
      </c>
      <c r="D70" s="27" t="s">
        <v>3485</v>
      </c>
      <c r="E70" s="27" t="s">
        <v>479</v>
      </c>
      <c r="F70" s="9" t="s">
        <v>1591</v>
      </c>
      <c r="G70" s="9" t="s">
        <v>462</v>
      </c>
      <c r="H70" s="27" t="s">
        <v>1419</v>
      </c>
      <c r="I70" s="27" t="s">
        <v>3487</v>
      </c>
      <c r="J70" s="10" t="n">
        <v>56.2</v>
      </c>
      <c r="K70" s="27" t="s">
        <v>3488</v>
      </c>
      <c r="L70" s="27" t="s">
        <v>86</v>
      </c>
      <c r="M70" s="27" t="s">
        <v>1580</v>
      </c>
      <c r="N70" s="23" t="s">
        <v>1376</v>
      </c>
      <c r="O70" s="9" t="s">
        <v>3489</v>
      </c>
    </row>
    <row r="71" customFormat="false" ht="19.5" hidden="false" customHeight="true" outlineLevel="0" collapsed="false">
      <c r="A71" s="25" t="s">
        <v>3556</v>
      </c>
      <c r="B71" s="25" t="s">
        <v>3483</v>
      </c>
      <c r="C71" s="25" t="s">
        <v>3484</v>
      </c>
      <c r="D71" s="25" t="s">
        <v>3485</v>
      </c>
      <c r="E71" s="25" t="s">
        <v>233</v>
      </c>
      <c r="F71" s="12" t="s">
        <v>1593</v>
      </c>
      <c r="G71" s="12" t="s">
        <v>236</v>
      </c>
      <c r="H71" s="25" t="s">
        <v>1419</v>
      </c>
      <c r="I71" s="25" t="s">
        <v>3487</v>
      </c>
      <c r="J71" s="13" t="n">
        <v>0.6</v>
      </c>
      <c r="K71" s="25" t="s">
        <v>3488</v>
      </c>
      <c r="L71" s="25" t="s">
        <v>86</v>
      </c>
      <c r="M71" s="25" t="s">
        <v>1580</v>
      </c>
      <c r="N71" s="22" t="s">
        <v>1376</v>
      </c>
      <c r="O71" s="12" t="s">
        <v>3489</v>
      </c>
    </row>
    <row r="72" customFormat="false" ht="19.5" hidden="false" customHeight="true" outlineLevel="0" collapsed="false">
      <c r="A72" s="27" t="s">
        <v>3557</v>
      </c>
      <c r="B72" s="27" t="s">
        <v>3483</v>
      </c>
      <c r="C72" s="27" t="s">
        <v>3484</v>
      </c>
      <c r="D72" s="27" t="s">
        <v>3485</v>
      </c>
      <c r="E72" s="27" t="s">
        <v>448</v>
      </c>
      <c r="F72" s="9" t="s">
        <v>1595</v>
      </c>
      <c r="G72" s="9" t="s">
        <v>219</v>
      </c>
      <c r="H72" s="27" t="s">
        <v>1419</v>
      </c>
      <c r="I72" s="27" t="s">
        <v>3487</v>
      </c>
      <c r="J72" s="10" t="n">
        <v>0</v>
      </c>
      <c r="K72" s="27" t="s">
        <v>3488</v>
      </c>
      <c r="L72" s="27" t="s">
        <v>86</v>
      </c>
      <c r="M72" s="27" t="s">
        <v>1580</v>
      </c>
      <c r="N72" s="23" t="s">
        <v>1376</v>
      </c>
      <c r="O72" s="9" t="s">
        <v>3489</v>
      </c>
    </row>
    <row r="73" customFormat="false" ht="19.5" hidden="false" customHeight="true" outlineLevel="0" collapsed="false">
      <c r="A73" s="25" t="s">
        <v>3558</v>
      </c>
      <c r="B73" s="25" t="s">
        <v>3483</v>
      </c>
      <c r="C73" s="25" t="s">
        <v>3484</v>
      </c>
      <c r="D73" s="25" t="s">
        <v>3485</v>
      </c>
      <c r="E73" s="25" t="s">
        <v>455</v>
      </c>
      <c r="F73" s="12" t="s">
        <v>1597</v>
      </c>
      <c r="G73" s="12" t="s">
        <v>219</v>
      </c>
      <c r="H73" s="25" t="s">
        <v>1419</v>
      </c>
      <c r="I73" s="25" t="s">
        <v>3487</v>
      </c>
      <c r="J73" s="13" t="n">
        <v>0</v>
      </c>
      <c r="K73" s="25" t="s">
        <v>3488</v>
      </c>
      <c r="L73" s="25" t="s">
        <v>86</v>
      </c>
      <c r="M73" s="25" t="s">
        <v>1580</v>
      </c>
      <c r="N73" s="22" t="s">
        <v>1376</v>
      </c>
      <c r="O73" s="12" t="s">
        <v>3489</v>
      </c>
    </row>
    <row r="74" customFormat="false" ht="19.5" hidden="false" customHeight="true" outlineLevel="0" collapsed="false">
      <c r="A74" s="27" t="s">
        <v>3559</v>
      </c>
      <c r="B74" s="27" t="s">
        <v>3483</v>
      </c>
      <c r="C74" s="27" t="s">
        <v>3484</v>
      </c>
      <c r="D74" s="27" t="s">
        <v>3485</v>
      </c>
      <c r="E74" s="27" t="s">
        <v>439</v>
      </c>
      <c r="F74" s="9" t="s">
        <v>1599</v>
      </c>
      <c r="G74" s="9" t="s">
        <v>219</v>
      </c>
      <c r="H74" s="27" t="s">
        <v>1419</v>
      </c>
      <c r="I74" s="27" t="s">
        <v>3487</v>
      </c>
      <c r="J74" s="10" t="n">
        <v>3.2</v>
      </c>
      <c r="K74" s="27" t="s">
        <v>3488</v>
      </c>
      <c r="L74" s="27" t="s">
        <v>86</v>
      </c>
      <c r="M74" s="27" t="s">
        <v>1580</v>
      </c>
      <c r="N74" s="23" t="s">
        <v>1376</v>
      </c>
      <c r="O74" s="9" t="s">
        <v>3489</v>
      </c>
    </row>
    <row r="75" customFormat="false" ht="19.5" hidden="false" customHeight="true" outlineLevel="0" collapsed="false">
      <c r="A75" s="25" t="s">
        <v>3560</v>
      </c>
      <c r="B75" s="25" t="s">
        <v>3483</v>
      </c>
      <c r="C75" s="25" t="s">
        <v>3484</v>
      </c>
      <c r="D75" s="25" t="s">
        <v>3485</v>
      </c>
      <c r="E75" s="25" t="s">
        <v>426</v>
      </c>
      <c r="F75" s="12" t="s">
        <v>1601</v>
      </c>
      <c r="G75" s="12" t="s">
        <v>219</v>
      </c>
      <c r="H75" s="25" t="s">
        <v>1419</v>
      </c>
      <c r="I75" s="25" t="s">
        <v>3487</v>
      </c>
      <c r="J75" s="13" t="n">
        <v>12</v>
      </c>
      <c r="K75" s="25" t="s">
        <v>3488</v>
      </c>
      <c r="L75" s="25" t="s">
        <v>86</v>
      </c>
      <c r="M75" s="25" t="s">
        <v>1580</v>
      </c>
      <c r="N75" s="22" t="s">
        <v>1376</v>
      </c>
      <c r="O75" s="12" t="s">
        <v>3489</v>
      </c>
    </row>
    <row r="76" customFormat="false" ht="19.5" hidden="false" customHeight="true" outlineLevel="0" collapsed="false">
      <c r="A76" s="27" t="s">
        <v>3561</v>
      </c>
      <c r="B76" s="27" t="s">
        <v>3483</v>
      </c>
      <c r="C76" s="27" t="s">
        <v>3484</v>
      </c>
      <c r="D76" s="27" t="s">
        <v>3485</v>
      </c>
      <c r="E76" s="27" t="s">
        <v>385</v>
      </c>
      <c r="F76" s="9" t="s">
        <v>1603</v>
      </c>
      <c r="G76" s="9" t="s">
        <v>219</v>
      </c>
      <c r="H76" s="27" t="s">
        <v>1419</v>
      </c>
      <c r="I76" s="27" t="s">
        <v>3487</v>
      </c>
      <c r="J76" s="10" t="n">
        <v>25</v>
      </c>
      <c r="K76" s="27" t="s">
        <v>3488</v>
      </c>
      <c r="L76" s="27" t="s">
        <v>86</v>
      </c>
      <c r="M76" s="27" t="s">
        <v>1580</v>
      </c>
      <c r="N76" s="23" t="s">
        <v>1376</v>
      </c>
      <c r="O76" s="9" t="s">
        <v>3489</v>
      </c>
    </row>
    <row r="77" customFormat="false" ht="19.5" hidden="false" customHeight="true" outlineLevel="0" collapsed="false">
      <c r="A77" s="25" t="s">
        <v>3562</v>
      </c>
      <c r="B77" s="25" t="s">
        <v>3483</v>
      </c>
      <c r="C77" s="25" t="s">
        <v>3484</v>
      </c>
      <c r="D77" s="25" t="s">
        <v>3485</v>
      </c>
      <c r="E77" s="25" t="s">
        <v>392</v>
      </c>
      <c r="F77" s="12" t="s">
        <v>1605</v>
      </c>
      <c r="G77" s="12" t="s">
        <v>219</v>
      </c>
      <c r="H77" s="25" t="s">
        <v>1419</v>
      </c>
      <c r="I77" s="25" t="s">
        <v>3487</v>
      </c>
      <c r="J77" s="13" t="n">
        <v>2.2</v>
      </c>
      <c r="K77" s="25" t="s">
        <v>3488</v>
      </c>
      <c r="L77" s="25" t="s">
        <v>86</v>
      </c>
      <c r="M77" s="25" t="s">
        <v>1580</v>
      </c>
      <c r="N77" s="22" t="s">
        <v>1376</v>
      </c>
      <c r="O77" s="12" t="s">
        <v>3489</v>
      </c>
    </row>
    <row r="78" customFormat="false" ht="19.5" hidden="false" customHeight="true" outlineLevel="0" collapsed="false">
      <c r="A78" s="27" t="s">
        <v>3563</v>
      </c>
      <c r="B78" s="27" t="s">
        <v>3483</v>
      </c>
      <c r="C78" s="27" t="s">
        <v>3484</v>
      </c>
      <c r="D78" s="27" t="s">
        <v>3485</v>
      </c>
      <c r="E78" s="27" t="s">
        <v>399</v>
      </c>
      <c r="F78" s="9" t="s">
        <v>1607</v>
      </c>
      <c r="G78" s="9" t="s">
        <v>219</v>
      </c>
      <c r="H78" s="27" t="s">
        <v>1419</v>
      </c>
      <c r="I78" s="27" t="s">
        <v>3487</v>
      </c>
      <c r="J78" s="10" t="n">
        <v>0.4</v>
      </c>
      <c r="K78" s="27" t="s">
        <v>3488</v>
      </c>
      <c r="L78" s="27" t="s">
        <v>86</v>
      </c>
      <c r="M78" s="27" t="s">
        <v>1580</v>
      </c>
      <c r="N78" s="23" t="s">
        <v>1376</v>
      </c>
      <c r="O78" s="9" t="s">
        <v>3489</v>
      </c>
    </row>
    <row r="79" customFormat="false" ht="19.5" hidden="false" customHeight="true" outlineLevel="0" collapsed="false">
      <c r="A79" s="25" t="s">
        <v>3564</v>
      </c>
      <c r="B79" s="25" t="s">
        <v>3483</v>
      </c>
      <c r="C79" s="25" t="s">
        <v>3484</v>
      </c>
      <c r="D79" s="25" t="s">
        <v>3485</v>
      </c>
      <c r="E79" s="25" t="s">
        <v>433</v>
      </c>
      <c r="F79" s="12" t="s">
        <v>1609</v>
      </c>
      <c r="G79" s="12" t="s">
        <v>219</v>
      </c>
      <c r="H79" s="25" t="s">
        <v>1419</v>
      </c>
      <c r="I79" s="25" t="s">
        <v>3487</v>
      </c>
      <c r="J79" s="13" t="n">
        <v>73</v>
      </c>
      <c r="K79" s="25" t="s">
        <v>3488</v>
      </c>
      <c r="L79" s="25" t="s">
        <v>86</v>
      </c>
      <c r="M79" s="25" t="s">
        <v>1580</v>
      </c>
      <c r="N79" s="22" t="s">
        <v>1376</v>
      </c>
      <c r="O79" s="12" t="s">
        <v>3489</v>
      </c>
    </row>
    <row r="80" customFormat="false" ht="19.5" hidden="false" customHeight="true" outlineLevel="0" collapsed="false">
      <c r="A80" s="27" t="s">
        <v>3565</v>
      </c>
      <c r="B80" s="27" t="s">
        <v>3483</v>
      </c>
      <c r="C80" s="27" t="s">
        <v>3484</v>
      </c>
      <c r="D80" s="27" t="s">
        <v>3485</v>
      </c>
      <c r="E80" s="27" t="s">
        <v>405</v>
      </c>
      <c r="F80" s="9" t="s">
        <v>1611</v>
      </c>
      <c r="G80" s="9" t="s">
        <v>219</v>
      </c>
      <c r="H80" s="27" t="s">
        <v>1419</v>
      </c>
      <c r="I80" s="27" t="s">
        <v>3487</v>
      </c>
      <c r="J80" s="10" t="n">
        <v>52</v>
      </c>
      <c r="K80" s="27" t="s">
        <v>3488</v>
      </c>
      <c r="L80" s="27" t="s">
        <v>86</v>
      </c>
      <c r="M80" s="27" t="s">
        <v>1580</v>
      </c>
      <c r="N80" s="23" t="s">
        <v>1376</v>
      </c>
      <c r="O80" s="9" t="s">
        <v>3489</v>
      </c>
    </row>
    <row r="81" customFormat="false" ht="19.5" hidden="false" customHeight="true" outlineLevel="0" collapsed="false">
      <c r="A81" s="25" t="s">
        <v>3566</v>
      </c>
      <c r="B81" s="25" t="s">
        <v>3483</v>
      </c>
      <c r="C81" s="25" t="s">
        <v>3484</v>
      </c>
      <c r="D81" s="25" t="s">
        <v>3485</v>
      </c>
      <c r="E81" s="25" t="s">
        <v>411</v>
      </c>
      <c r="F81" s="12" t="s">
        <v>1613</v>
      </c>
      <c r="G81" s="12" t="s">
        <v>219</v>
      </c>
      <c r="H81" s="25" t="s">
        <v>1419</v>
      </c>
      <c r="I81" s="25" t="s">
        <v>3487</v>
      </c>
      <c r="J81" s="13" t="n">
        <v>84.5</v>
      </c>
      <c r="K81" s="25" t="s">
        <v>3488</v>
      </c>
      <c r="L81" s="25" t="s">
        <v>86</v>
      </c>
      <c r="M81" s="25" t="s">
        <v>1580</v>
      </c>
      <c r="N81" s="22" t="s">
        <v>1376</v>
      </c>
      <c r="O81" s="12" t="s">
        <v>3489</v>
      </c>
    </row>
    <row r="82" customFormat="false" ht="19.5" hidden="false" customHeight="true" outlineLevel="0" collapsed="false">
      <c r="A82" s="27" t="s">
        <v>3567</v>
      </c>
      <c r="B82" s="27" t="s">
        <v>3483</v>
      </c>
      <c r="C82" s="27" t="s">
        <v>3484</v>
      </c>
      <c r="D82" s="27" t="s">
        <v>3485</v>
      </c>
      <c r="E82" s="27" t="s">
        <v>416</v>
      </c>
      <c r="F82" s="9" t="s">
        <v>1615</v>
      </c>
      <c r="G82" s="9" t="s">
        <v>219</v>
      </c>
      <c r="H82" s="27" t="s">
        <v>1419</v>
      </c>
      <c r="I82" s="27" t="s">
        <v>3487</v>
      </c>
      <c r="J82" s="10" t="n">
        <v>0</v>
      </c>
      <c r="K82" s="27" t="s">
        <v>3488</v>
      </c>
      <c r="L82" s="27" t="s">
        <v>86</v>
      </c>
      <c r="M82" s="27" t="s">
        <v>1580</v>
      </c>
      <c r="N82" s="23" t="s">
        <v>1376</v>
      </c>
      <c r="O82" s="9" t="s">
        <v>3489</v>
      </c>
    </row>
    <row r="83" customFormat="false" ht="19.5" hidden="false" customHeight="true" outlineLevel="0" collapsed="false">
      <c r="A83" s="25" t="s">
        <v>3568</v>
      </c>
      <c r="B83" s="25" t="s">
        <v>3483</v>
      </c>
      <c r="C83" s="25" t="s">
        <v>3484</v>
      </c>
      <c r="D83" s="25" t="s">
        <v>3485</v>
      </c>
      <c r="E83" s="25" t="s">
        <v>377</v>
      </c>
      <c r="F83" s="12" t="s">
        <v>1617</v>
      </c>
      <c r="G83" s="12" t="s">
        <v>219</v>
      </c>
      <c r="H83" s="25" t="s">
        <v>1419</v>
      </c>
      <c r="I83" s="25" t="s">
        <v>3487</v>
      </c>
      <c r="J83" s="13" t="n">
        <v>3.3</v>
      </c>
      <c r="K83" s="25" t="s">
        <v>3488</v>
      </c>
      <c r="L83" s="25" t="s">
        <v>86</v>
      </c>
      <c r="M83" s="25" t="s">
        <v>1580</v>
      </c>
      <c r="N83" s="22" t="s">
        <v>1376</v>
      </c>
      <c r="O83" s="12" t="s">
        <v>3489</v>
      </c>
    </row>
    <row r="84" customFormat="false" ht="19.5" hidden="false" customHeight="true" outlineLevel="0" collapsed="false">
      <c r="A84" s="27" t="s">
        <v>3569</v>
      </c>
      <c r="B84" s="27" t="s">
        <v>3483</v>
      </c>
      <c r="C84" s="27" t="s">
        <v>3484</v>
      </c>
      <c r="D84" s="27" t="s">
        <v>3485</v>
      </c>
      <c r="E84" s="27" t="s">
        <v>420</v>
      </c>
      <c r="F84" s="9" t="s">
        <v>1619</v>
      </c>
      <c r="G84" s="9" t="s">
        <v>219</v>
      </c>
      <c r="H84" s="27" t="s">
        <v>1419</v>
      </c>
      <c r="I84" s="27" t="s">
        <v>3487</v>
      </c>
      <c r="J84" s="10" t="n">
        <v>31</v>
      </c>
      <c r="K84" s="27" t="s">
        <v>3488</v>
      </c>
      <c r="L84" s="27" t="s">
        <v>86</v>
      </c>
      <c r="M84" s="27" t="s">
        <v>1580</v>
      </c>
      <c r="N84" s="23" t="s">
        <v>1376</v>
      </c>
      <c r="O84" s="9" t="s">
        <v>3489</v>
      </c>
    </row>
    <row r="85" customFormat="false" ht="19.5" hidden="false" customHeight="true" outlineLevel="0" collapsed="false">
      <c r="A85" s="25" t="s">
        <v>3570</v>
      </c>
      <c r="B85" s="25" t="s">
        <v>3483</v>
      </c>
      <c r="C85" s="25" t="s">
        <v>3484</v>
      </c>
      <c r="D85" s="25" t="s">
        <v>3485</v>
      </c>
      <c r="E85" s="25" t="s">
        <v>250</v>
      </c>
      <c r="F85" s="12" t="s">
        <v>1621</v>
      </c>
      <c r="G85" s="12" t="s">
        <v>219</v>
      </c>
      <c r="H85" s="25" t="s">
        <v>1419</v>
      </c>
      <c r="I85" s="25" t="s">
        <v>3487</v>
      </c>
      <c r="J85" s="13" t="n">
        <v>17</v>
      </c>
      <c r="K85" s="25" t="s">
        <v>3488</v>
      </c>
      <c r="L85" s="25" t="s">
        <v>86</v>
      </c>
      <c r="M85" s="25" t="s">
        <v>1580</v>
      </c>
      <c r="N85" s="22" t="s">
        <v>1376</v>
      </c>
      <c r="O85" s="12" t="s">
        <v>3489</v>
      </c>
    </row>
    <row r="86" customFormat="false" ht="19.5" hidden="false" customHeight="true" outlineLevel="0" collapsed="false">
      <c r="A86" s="27" t="s">
        <v>3571</v>
      </c>
      <c r="B86" s="27" t="s">
        <v>3483</v>
      </c>
      <c r="C86" s="27" t="s">
        <v>3484</v>
      </c>
      <c r="D86" s="27" t="s">
        <v>3485</v>
      </c>
      <c r="E86" s="27" t="s">
        <v>312</v>
      </c>
      <c r="F86" s="9" t="s">
        <v>3213</v>
      </c>
      <c r="G86" s="9" t="s">
        <v>295</v>
      </c>
      <c r="H86" s="27" t="s">
        <v>1419</v>
      </c>
      <c r="I86" s="27" t="s">
        <v>3487</v>
      </c>
      <c r="J86" s="10" t="n">
        <v>8.4</v>
      </c>
      <c r="K86" s="27" t="s">
        <v>3488</v>
      </c>
      <c r="L86" s="27" t="s">
        <v>86</v>
      </c>
      <c r="M86" s="27" t="s">
        <v>1580</v>
      </c>
      <c r="N86" s="23" t="s">
        <v>1376</v>
      </c>
      <c r="O86" s="9" t="s">
        <v>3489</v>
      </c>
    </row>
    <row r="87" customFormat="false" ht="19.5" hidden="false" customHeight="true" outlineLevel="0" collapsed="false">
      <c r="A87" s="25" t="s">
        <v>3572</v>
      </c>
      <c r="B87" s="25" t="s">
        <v>3483</v>
      </c>
      <c r="C87" s="25" t="s">
        <v>3484</v>
      </c>
      <c r="D87" s="25" t="s">
        <v>3485</v>
      </c>
      <c r="E87" s="25" t="s">
        <v>226</v>
      </c>
      <c r="F87" s="12" t="s">
        <v>1623</v>
      </c>
      <c r="G87" s="12" t="s">
        <v>219</v>
      </c>
      <c r="H87" s="25" t="s">
        <v>1419</v>
      </c>
      <c r="I87" s="25" t="s">
        <v>3487</v>
      </c>
      <c r="J87" s="13" t="n">
        <v>0</v>
      </c>
      <c r="K87" s="25" t="s">
        <v>3488</v>
      </c>
      <c r="L87" s="25" t="s">
        <v>86</v>
      </c>
      <c r="M87" s="25" t="s">
        <v>1580</v>
      </c>
      <c r="N87" s="22" t="s">
        <v>1376</v>
      </c>
      <c r="O87" s="12" t="s">
        <v>3489</v>
      </c>
    </row>
    <row r="88" customFormat="false" ht="19.5" hidden="false" customHeight="true" outlineLevel="0" collapsed="false">
      <c r="A88" s="27" t="s">
        <v>3573</v>
      </c>
      <c r="B88" s="27" t="s">
        <v>3483</v>
      </c>
      <c r="C88" s="27" t="s">
        <v>3484</v>
      </c>
      <c r="D88" s="27" t="s">
        <v>3485</v>
      </c>
      <c r="E88" s="27" t="s">
        <v>319</v>
      </c>
      <c r="F88" s="9" t="s">
        <v>3217</v>
      </c>
      <c r="G88" s="9" t="s">
        <v>295</v>
      </c>
      <c r="H88" s="27" t="s">
        <v>1419</v>
      </c>
      <c r="I88" s="27" t="s">
        <v>3487</v>
      </c>
      <c r="J88" s="10" t="n">
        <v>16.5</v>
      </c>
      <c r="K88" s="27" t="s">
        <v>3488</v>
      </c>
      <c r="L88" s="27" t="s">
        <v>86</v>
      </c>
      <c r="M88" s="27" t="s">
        <v>1580</v>
      </c>
      <c r="N88" s="23" t="s">
        <v>1376</v>
      </c>
      <c r="O88" s="9" t="s">
        <v>3489</v>
      </c>
    </row>
    <row r="89" customFormat="false" ht="19.5" hidden="false" customHeight="true" outlineLevel="0" collapsed="false">
      <c r="A89" s="25" t="s">
        <v>3574</v>
      </c>
      <c r="B89" s="25" t="s">
        <v>3483</v>
      </c>
      <c r="C89" s="25" t="s">
        <v>3484</v>
      </c>
      <c r="D89" s="25" t="s">
        <v>3485</v>
      </c>
      <c r="E89" s="25" t="s">
        <v>292</v>
      </c>
      <c r="F89" s="12" t="s">
        <v>3219</v>
      </c>
      <c r="G89" s="12" t="s">
        <v>295</v>
      </c>
      <c r="H89" s="25" t="s">
        <v>1419</v>
      </c>
      <c r="I89" s="25" t="s">
        <v>3487</v>
      </c>
      <c r="J89" s="13" t="n">
        <v>3</v>
      </c>
      <c r="K89" s="25" t="s">
        <v>3488</v>
      </c>
      <c r="L89" s="25" t="s">
        <v>86</v>
      </c>
      <c r="M89" s="25" t="s">
        <v>1580</v>
      </c>
      <c r="N89" s="22" t="s">
        <v>1376</v>
      </c>
      <c r="O89" s="12" t="s">
        <v>3489</v>
      </c>
    </row>
    <row r="90" customFormat="false" ht="19.5" hidden="false" customHeight="true" outlineLevel="0" collapsed="false">
      <c r="A90" s="27" t="s">
        <v>3575</v>
      </c>
      <c r="B90" s="27" t="s">
        <v>3483</v>
      </c>
      <c r="C90" s="27" t="s">
        <v>3484</v>
      </c>
      <c r="D90" s="27" t="s">
        <v>3485</v>
      </c>
      <c r="E90" s="27" t="s">
        <v>215</v>
      </c>
      <c r="F90" s="9" t="s">
        <v>1625</v>
      </c>
      <c r="G90" s="9" t="s">
        <v>219</v>
      </c>
      <c r="H90" s="27" t="s">
        <v>1419</v>
      </c>
      <c r="I90" s="27" t="s">
        <v>3487</v>
      </c>
      <c r="J90" s="10" t="n">
        <v>2.1</v>
      </c>
      <c r="K90" s="27" t="s">
        <v>3488</v>
      </c>
      <c r="L90" s="27" t="s">
        <v>86</v>
      </c>
      <c r="M90" s="27" t="s">
        <v>1580</v>
      </c>
      <c r="N90" s="23" t="s">
        <v>1376</v>
      </c>
      <c r="O90" s="9" t="s">
        <v>3489</v>
      </c>
    </row>
    <row r="91" customFormat="false" ht="19.5" hidden="false" customHeight="true" outlineLevel="0" collapsed="false">
      <c r="A91" s="25" t="s">
        <v>3576</v>
      </c>
      <c r="B91" s="25" t="s">
        <v>3483</v>
      </c>
      <c r="C91" s="25" t="s">
        <v>3484</v>
      </c>
      <c r="D91" s="25" t="s">
        <v>3485</v>
      </c>
      <c r="E91" s="25" t="s">
        <v>257</v>
      </c>
      <c r="F91" s="12" t="s">
        <v>1627</v>
      </c>
      <c r="G91" s="12" t="s">
        <v>219</v>
      </c>
      <c r="H91" s="25" t="s">
        <v>1419</v>
      </c>
      <c r="I91" s="25" t="s">
        <v>3487</v>
      </c>
      <c r="J91" s="13" t="n">
        <v>50.2</v>
      </c>
      <c r="K91" s="25" t="s">
        <v>3488</v>
      </c>
      <c r="L91" s="25" t="s">
        <v>86</v>
      </c>
      <c r="M91" s="25" t="s">
        <v>1580</v>
      </c>
      <c r="N91" s="22" t="s">
        <v>1376</v>
      </c>
      <c r="O91" s="12" t="s">
        <v>3489</v>
      </c>
    </row>
    <row r="92" customFormat="false" ht="19.5" hidden="false" customHeight="true" outlineLevel="0" collapsed="false">
      <c r="A92" s="27" t="s">
        <v>3577</v>
      </c>
      <c r="B92" s="27" t="s">
        <v>3483</v>
      </c>
      <c r="C92" s="27" t="s">
        <v>3484</v>
      </c>
      <c r="D92" s="27" t="s">
        <v>3485</v>
      </c>
      <c r="E92" s="27" t="s">
        <v>334</v>
      </c>
      <c r="F92" s="9" t="s">
        <v>3186</v>
      </c>
      <c r="G92" s="9" t="s">
        <v>3486</v>
      </c>
      <c r="H92" s="27" t="s">
        <v>1469</v>
      </c>
      <c r="I92" s="27" t="s">
        <v>3487</v>
      </c>
      <c r="J92" s="10" t="n">
        <v>3</v>
      </c>
      <c r="K92" s="27" t="s">
        <v>3488</v>
      </c>
      <c r="L92" s="27" t="s">
        <v>86</v>
      </c>
      <c r="M92" s="27" t="s">
        <v>1580</v>
      </c>
      <c r="N92" s="23" t="s">
        <v>1437</v>
      </c>
      <c r="O92" s="9" t="s">
        <v>3489</v>
      </c>
    </row>
    <row r="93" customFormat="false" ht="19.5" hidden="false" customHeight="true" outlineLevel="0" collapsed="false">
      <c r="A93" s="25" t="s">
        <v>3578</v>
      </c>
      <c r="B93" s="25" t="s">
        <v>3483</v>
      </c>
      <c r="C93" s="25" t="s">
        <v>3484</v>
      </c>
      <c r="D93" s="25" t="s">
        <v>3485</v>
      </c>
      <c r="E93" s="25" t="s">
        <v>328</v>
      </c>
      <c r="F93" s="12" t="s">
        <v>3189</v>
      </c>
      <c r="G93" s="12" t="s">
        <v>3491</v>
      </c>
      <c r="H93" s="25" t="s">
        <v>1469</v>
      </c>
      <c r="I93" s="25" t="s">
        <v>3487</v>
      </c>
      <c r="J93" s="13" t="n">
        <v>29</v>
      </c>
      <c r="K93" s="25" t="s">
        <v>3488</v>
      </c>
      <c r="L93" s="25" t="s">
        <v>86</v>
      </c>
      <c r="M93" s="25" t="s">
        <v>1580</v>
      </c>
      <c r="N93" s="22" t="s">
        <v>1437</v>
      </c>
      <c r="O93" s="12" t="s">
        <v>3489</v>
      </c>
    </row>
    <row r="94" customFormat="false" ht="19.5" hidden="false" customHeight="true" outlineLevel="0" collapsed="false">
      <c r="A94" s="27" t="s">
        <v>3579</v>
      </c>
      <c r="B94" s="27" t="s">
        <v>3483</v>
      </c>
      <c r="C94" s="27" t="s">
        <v>3484</v>
      </c>
      <c r="D94" s="27" t="s">
        <v>3485</v>
      </c>
      <c r="E94" s="27" t="s">
        <v>466</v>
      </c>
      <c r="F94" s="9" t="s">
        <v>1578</v>
      </c>
      <c r="G94" s="9" t="s">
        <v>462</v>
      </c>
      <c r="H94" s="27" t="s">
        <v>1469</v>
      </c>
      <c r="I94" s="27" t="s">
        <v>3487</v>
      </c>
      <c r="J94" s="10" t="n">
        <v>44.4</v>
      </c>
      <c r="K94" s="27" t="s">
        <v>3488</v>
      </c>
      <c r="L94" s="27" t="s">
        <v>86</v>
      </c>
      <c r="M94" s="27" t="s">
        <v>1580</v>
      </c>
      <c r="N94" s="23" t="s">
        <v>1437</v>
      </c>
      <c r="O94" s="9" t="s">
        <v>3489</v>
      </c>
    </row>
    <row r="95" customFormat="false" ht="19.5" hidden="false" customHeight="true" outlineLevel="0" collapsed="false">
      <c r="A95" s="25" t="s">
        <v>3580</v>
      </c>
      <c r="B95" s="25" t="s">
        <v>3483</v>
      </c>
      <c r="C95" s="25" t="s">
        <v>3484</v>
      </c>
      <c r="D95" s="25" t="s">
        <v>3485</v>
      </c>
      <c r="E95" s="25" t="s">
        <v>492</v>
      </c>
      <c r="F95" s="12" t="s">
        <v>1583</v>
      </c>
      <c r="G95" s="12" t="s">
        <v>462</v>
      </c>
      <c r="H95" s="25" t="s">
        <v>1469</v>
      </c>
      <c r="I95" s="25" t="s">
        <v>3487</v>
      </c>
      <c r="J95" s="13" t="n">
        <v>15</v>
      </c>
      <c r="K95" s="25" t="s">
        <v>3488</v>
      </c>
      <c r="L95" s="25" t="s">
        <v>86</v>
      </c>
      <c r="M95" s="25" t="s">
        <v>1580</v>
      </c>
      <c r="N95" s="22" t="s">
        <v>1437</v>
      </c>
      <c r="O95" s="12" t="s">
        <v>3489</v>
      </c>
    </row>
    <row r="96" customFormat="false" ht="19.5" hidden="false" customHeight="true" outlineLevel="0" collapsed="false">
      <c r="A96" s="27" t="s">
        <v>3581</v>
      </c>
      <c r="B96" s="27" t="s">
        <v>3483</v>
      </c>
      <c r="C96" s="27" t="s">
        <v>3484</v>
      </c>
      <c r="D96" s="27" t="s">
        <v>3485</v>
      </c>
      <c r="E96" s="27" t="s">
        <v>473</v>
      </c>
      <c r="F96" s="9" t="s">
        <v>1585</v>
      </c>
      <c r="G96" s="9" t="s">
        <v>462</v>
      </c>
      <c r="H96" s="27" t="s">
        <v>1469</v>
      </c>
      <c r="I96" s="27" t="s">
        <v>3487</v>
      </c>
      <c r="J96" s="10" t="n">
        <v>27</v>
      </c>
      <c r="K96" s="27" t="s">
        <v>3488</v>
      </c>
      <c r="L96" s="27" t="s">
        <v>86</v>
      </c>
      <c r="M96" s="27" t="s">
        <v>1580</v>
      </c>
      <c r="N96" s="23" t="s">
        <v>1437</v>
      </c>
      <c r="O96" s="9" t="s">
        <v>3489</v>
      </c>
    </row>
    <row r="97" customFormat="false" ht="19.5" hidden="false" customHeight="true" outlineLevel="0" collapsed="false">
      <c r="A97" s="25" t="s">
        <v>3582</v>
      </c>
      <c r="B97" s="25" t="s">
        <v>3483</v>
      </c>
      <c r="C97" s="25" t="s">
        <v>3484</v>
      </c>
      <c r="D97" s="25" t="s">
        <v>3485</v>
      </c>
      <c r="E97" s="25" t="s">
        <v>459</v>
      </c>
      <c r="F97" s="12" t="s">
        <v>1587</v>
      </c>
      <c r="G97" s="12" t="s">
        <v>462</v>
      </c>
      <c r="H97" s="25" t="s">
        <v>1469</v>
      </c>
      <c r="I97" s="25" t="s">
        <v>3487</v>
      </c>
      <c r="J97" s="13" t="n">
        <v>40</v>
      </c>
      <c r="K97" s="25" t="s">
        <v>3488</v>
      </c>
      <c r="L97" s="25" t="s">
        <v>86</v>
      </c>
      <c r="M97" s="25" t="s">
        <v>1580</v>
      </c>
      <c r="N97" s="22" t="s">
        <v>1437</v>
      </c>
      <c r="O97" s="12" t="s">
        <v>3489</v>
      </c>
    </row>
    <row r="98" customFormat="false" ht="19.5" hidden="false" customHeight="true" outlineLevel="0" collapsed="false">
      <c r="A98" s="27" t="s">
        <v>3583</v>
      </c>
      <c r="B98" s="27" t="s">
        <v>3483</v>
      </c>
      <c r="C98" s="27" t="s">
        <v>3484</v>
      </c>
      <c r="D98" s="27" t="s">
        <v>3485</v>
      </c>
      <c r="E98" s="27" t="s">
        <v>486</v>
      </c>
      <c r="F98" s="9" t="s">
        <v>1589</v>
      </c>
      <c r="G98" s="9" t="s">
        <v>462</v>
      </c>
      <c r="H98" s="27" t="s">
        <v>1469</v>
      </c>
      <c r="I98" s="27" t="s">
        <v>3487</v>
      </c>
      <c r="J98" s="10" t="n">
        <v>5</v>
      </c>
      <c r="K98" s="27" t="s">
        <v>3488</v>
      </c>
      <c r="L98" s="27" t="s">
        <v>86</v>
      </c>
      <c r="M98" s="27" t="s">
        <v>1580</v>
      </c>
      <c r="N98" s="23" t="s">
        <v>1437</v>
      </c>
      <c r="O98" s="9" t="s">
        <v>3489</v>
      </c>
    </row>
    <row r="99" customFormat="false" ht="19.5" hidden="false" customHeight="true" outlineLevel="0" collapsed="false">
      <c r="A99" s="25" t="s">
        <v>3584</v>
      </c>
      <c r="B99" s="25" t="s">
        <v>3483</v>
      </c>
      <c r="C99" s="25" t="s">
        <v>3484</v>
      </c>
      <c r="D99" s="25" t="s">
        <v>3485</v>
      </c>
      <c r="E99" s="25" t="s">
        <v>479</v>
      </c>
      <c r="F99" s="12" t="s">
        <v>1591</v>
      </c>
      <c r="G99" s="12" t="s">
        <v>462</v>
      </c>
      <c r="H99" s="25" t="s">
        <v>1469</v>
      </c>
      <c r="I99" s="25" t="s">
        <v>3487</v>
      </c>
      <c r="J99" s="13" t="n">
        <v>12.6</v>
      </c>
      <c r="K99" s="25" t="s">
        <v>3488</v>
      </c>
      <c r="L99" s="25" t="s">
        <v>86</v>
      </c>
      <c r="M99" s="25" t="s">
        <v>1580</v>
      </c>
      <c r="N99" s="22" t="s">
        <v>1437</v>
      </c>
      <c r="O99" s="12" t="s">
        <v>3489</v>
      </c>
    </row>
    <row r="100" customFormat="false" ht="19.5" hidden="false" customHeight="true" outlineLevel="0" collapsed="false">
      <c r="A100" s="27" t="s">
        <v>3585</v>
      </c>
      <c r="B100" s="27" t="s">
        <v>3483</v>
      </c>
      <c r="C100" s="27" t="s">
        <v>3484</v>
      </c>
      <c r="D100" s="27" t="s">
        <v>3485</v>
      </c>
      <c r="E100" s="27" t="s">
        <v>233</v>
      </c>
      <c r="F100" s="9" t="s">
        <v>1593</v>
      </c>
      <c r="G100" s="9" t="s">
        <v>236</v>
      </c>
      <c r="H100" s="27" t="s">
        <v>1469</v>
      </c>
      <c r="I100" s="27" t="s">
        <v>3487</v>
      </c>
      <c r="J100" s="10" t="n">
        <v>16.2</v>
      </c>
      <c r="K100" s="27" t="s">
        <v>3488</v>
      </c>
      <c r="L100" s="27" t="s">
        <v>86</v>
      </c>
      <c r="M100" s="27" t="s">
        <v>1580</v>
      </c>
      <c r="N100" s="23" t="s">
        <v>1437</v>
      </c>
      <c r="O100" s="9" t="s">
        <v>3489</v>
      </c>
    </row>
    <row r="101" customFormat="false" ht="19.5" hidden="false" customHeight="true" outlineLevel="0" collapsed="false">
      <c r="A101" s="25" t="s">
        <v>3586</v>
      </c>
      <c r="B101" s="25" t="s">
        <v>3483</v>
      </c>
      <c r="C101" s="25" t="s">
        <v>3484</v>
      </c>
      <c r="D101" s="25" t="s">
        <v>3485</v>
      </c>
      <c r="E101" s="25" t="s">
        <v>448</v>
      </c>
      <c r="F101" s="12" t="s">
        <v>1595</v>
      </c>
      <c r="G101" s="12" t="s">
        <v>219</v>
      </c>
      <c r="H101" s="25" t="s">
        <v>1469</v>
      </c>
      <c r="I101" s="25" t="s">
        <v>3487</v>
      </c>
      <c r="J101" s="13" t="n">
        <v>0</v>
      </c>
      <c r="K101" s="25" t="s">
        <v>3488</v>
      </c>
      <c r="L101" s="25" t="s">
        <v>86</v>
      </c>
      <c r="M101" s="25" t="s">
        <v>1580</v>
      </c>
      <c r="N101" s="22" t="s">
        <v>1437</v>
      </c>
      <c r="O101" s="12" t="s">
        <v>3489</v>
      </c>
    </row>
    <row r="102" customFormat="false" ht="19.5" hidden="false" customHeight="true" outlineLevel="0" collapsed="false">
      <c r="A102" s="27" t="s">
        <v>3587</v>
      </c>
      <c r="B102" s="27" t="s">
        <v>3483</v>
      </c>
      <c r="C102" s="27" t="s">
        <v>3484</v>
      </c>
      <c r="D102" s="27" t="s">
        <v>3485</v>
      </c>
      <c r="E102" s="27" t="s">
        <v>455</v>
      </c>
      <c r="F102" s="9" t="s">
        <v>1597</v>
      </c>
      <c r="G102" s="9" t="s">
        <v>219</v>
      </c>
      <c r="H102" s="27" t="s">
        <v>1469</v>
      </c>
      <c r="I102" s="27" t="s">
        <v>3487</v>
      </c>
      <c r="J102" s="10" t="n">
        <v>0</v>
      </c>
      <c r="K102" s="27" t="s">
        <v>3488</v>
      </c>
      <c r="L102" s="27" t="s">
        <v>86</v>
      </c>
      <c r="M102" s="27" t="s">
        <v>1580</v>
      </c>
      <c r="N102" s="23" t="s">
        <v>1437</v>
      </c>
      <c r="O102" s="9" t="s">
        <v>3489</v>
      </c>
    </row>
    <row r="103" customFormat="false" ht="19.5" hidden="false" customHeight="true" outlineLevel="0" collapsed="false">
      <c r="A103" s="25" t="s">
        <v>3588</v>
      </c>
      <c r="B103" s="25" t="s">
        <v>3483</v>
      </c>
      <c r="C103" s="25" t="s">
        <v>3484</v>
      </c>
      <c r="D103" s="25" t="s">
        <v>3485</v>
      </c>
      <c r="E103" s="25" t="s">
        <v>439</v>
      </c>
      <c r="F103" s="12" t="s">
        <v>1599</v>
      </c>
      <c r="G103" s="12" t="s">
        <v>219</v>
      </c>
      <c r="H103" s="25" t="s">
        <v>1469</v>
      </c>
      <c r="I103" s="25" t="s">
        <v>3487</v>
      </c>
      <c r="J103" s="13" t="n">
        <v>0</v>
      </c>
      <c r="K103" s="25" t="s">
        <v>3488</v>
      </c>
      <c r="L103" s="25" t="s">
        <v>86</v>
      </c>
      <c r="M103" s="25" t="s">
        <v>1580</v>
      </c>
      <c r="N103" s="22" t="s">
        <v>1437</v>
      </c>
      <c r="O103" s="12" t="s">
        <v>3489</v>
      </c>
    </row>
    <row r="104" customFormat="false" ht="19.5" hidden="false" customHeight="true" outlineLevel="0" collapsed="false">
      <c r="A104" s="27" t="s">
        <v>3589</v>
      </c>
      <c r="B104" s="27" t="s">
        <v>3483</v>
      </c>
      <c r="C104" s="27" t="s">
        <v>3484</v>
      </c>
      <c r="D104" s="27" t="s">
        <v>3485</v>
      </c>
      <c r="E104" s="27" t="s">
        <v>426</v>
      </c>
      <c r="F104" s="9" t="s">
        <v>1601</v>
      </c>
      <c r="G104" s="9" t="s">
        <v>219</v>
      </c>
      <c r="H104" s="27" t="s">
        <v>1469</v>
      </c>
      <c r="I104" s="27" t="s">
        <v>3487</v>
      </c>
      <c r="J104" s="10" t="n">
        <v>41</v>
      </c>
      <c r="K104" s="27" t="s">
        <v>3488</v>
      </c>
      <c r="L104" s="27" t="s">
        <v>86</v>
      </c>
      <c r="M104" s="27" t="s">
        <v>1580</v>
      </c>
      <c r="N104" s="23" t="s">
        <v>1437</v>
      </c>
      <c r="O104" s="9" t="s">
        <v>3489</v>
      </c>
    </row>
    <row r="105" customFormat="false" ht="19.5" hidden="false" customHeight="true" outlineLevel="0" collapsed="false">
      <c r="A105" s="25" t="s">
        <v>3590</v>
      </c>
      <c r="B105" s="25" t="s">
        <v>3483</v>
      </c>
      <c r="C105" s="25" t="s">
        <v>3484</v>
      </c>
      <c r="D105" s="25" t="s">
        <v>3485</v>
      </c>
      <c r="E105" s="25" t="s">
        <v>385</v>
      </c>
      <c r="F105" s="12" t="s">
        <v>1603</v>
      </c>
      <c r="G105" s="12" t="s">
        <v>219</v>
      </c>
      <c r="H105" s="25" t="s">
        <v>1469</v>
      </c>
      <c r="I105" s="25" t="s">
        <v>3487</v>
      </c>
      <c r="J105" s="13" t="n">
        <v>3.7</v>
      </c>
      <c r="K105" s="25" t="s">
        <v>3488</v>
      </c>
      <c r="L105" s="25" t="s">
        <v>86</v>
      </c>
      <c r="M105" s="25" t="s">
        <v>1580</v>
      </c>
      <c r="N105" s="22" t="s">
        <v>1437</v>
      </c>
      <c r="O105" s="12" t="s">
        <v>3489</v>
      </c>
    </row>
    <row r="106" customFormat="false" ht="19.5" hidden="false" customHeight="true" outlineLevel="0" collapsed="false">
      <c r="A106" s="27" t="s">
        <v>3591</v>
      </c>
      <c r="B106" s="27" t="s">
        <v>3483</v>
      </c>
      <c r="C106" s="27" t="s">
        <v>3484</v>
      </c>
      <c r="D106" s="27" t="s">
        <v>3485</v>
      </c>
      <c r="E106" s="27" t="s">
        <v>392</v>
      </c>
      <c r="F106" s="9" t="s">
        <v>1605</v>
      </c>
      <c r="G106" s="9" t="s">
        <v>219</v>
      </c>
      <c r="H106" s="27" t="s">
        <v>1469</v>
      </c>
      <c r="I106" s="27" t="s">
        <v>3487</v>
      </c>
      <c r="J106" s="10" t="n">
        <v>26.6</v>
      </c>
      <c r="K106" s="27" t="s">
        <v>3488</v>
      </c>
      <c r="L106" s="27" t="s">
        <v>86</v>
      </c>
      <c r="M106" s="27" t="s">
        <v>1580</v>
      </c>
      <c r="N106" s="23" t="s">
        <v>1437</v>
      </c>
      <c r="O106" s="9" t="s">
        <v>3489</v>
      </c>
    </row>
    <row r="107" customFormat="false" ht="19.5" hidden="false" customHeight="true" outlineLevel="0" collapsed="false">
      <c r="A107" s="25" t="s">
        <v>3592</v>
      </c>
      <c r="B107" s="25" t="s">
        <v>3483</v>
      </c>
      <c r="C107" s="25" t="s">
        <v>3484</v>
      </c>
      <c r="D107" s="25" t="s">
        <v>3485</v>
      </c>
      <c r="E107" s="25" t="s">
        <v>399</v>
      </c>
      <c r="F107" s="12" t="s">
        <v>1607</v>
      </c>
      <c r="G107" s="12" t="s">
        <v>219</v>
      </c>
      <c r="H107" s="25" t="s">
        <v>1469</v>
      </c>
      <c r="I107" s="25" t="s">
        <v>3487</v>
      </c>
      <c r="J107" s="13" t="n">
        <v>68.6</v>
      </c>
      <c r="K107" s="25" t="s">
        <v>3488</v>
      </c>
      <c r="L107" s="25" t="s">
        <v>86</v>
      </c>
      <c r="M107" s="25" t="s">
        <v>1580</v>
      </c>
      <c r="N107" s="22" t="s">
        <v>1437</v>
      </c>
      <c r="O107" s="12" t="s">
        <v>3489</v>
      </c>
    </row>
    <row r="108" customFormat="false" ht="19.5" hidden="false" customHeight="true" outlineLevel="0" collapsed="false">
      <c r="A108" s="27" t="s">
        <v>3593</v>
      </c>
      <c r="B108" s="27" t="s">
        <v>3483</v>
      </c>
      <c r="C108" s="27" t="s">
        <v>3484</v>
      </c>
      <c r="D108" s="27" t="s">
        <v>3485</v>
      </c>
      <c r="E108" s="27" t="s">
        <v>433</v>
      </c>
      <c r="F108" s="9" t="s">
        <v>1609</v>
      </c>
      <c r="G108" s="9" t="s">
        <v>219</v>
      </c>
      <c r="H108" s="27" t="s">
        <v>1469</v>
      </c>
      <c r="I108" s="27" t="s">
        <v>3487</v>
      </c>
      <c r="J108" s="10" t="n">
        <v>3</v>
      </c>
      <c r="K108" s="27" t="s">
        <v>3488</v>
      </c>
      <c r="L108" s="27" t="s">
        <v>86</v>
      </c>
      <c r="M108" s="27" t="s">
        <v>1580</v>
      </c>
      <c r="N108" s="23" t="s">
        <v>1437</v>
      </c>
      <c r="O108" s="9" t="s">
        <v>3489</v>
      </c>
    </row>
    <row r="109" customFormat="false" ht="19.5" hidden="false" customHeight="true" outlineLevel="0" collapsed="false">
      <c r="A109" s="25" t="s">
        <v>3594</v>
      </c>
      <c r="B109" s="25" t="s">
        <v>3483</v>
      </c>
      <c r="C109" s="25" t="s">
        <v>3484</v>
      </c>
      <c r="D109" s="25" t="s">
        <v>3485</v>
      </c>
      <c r="E109" s="25" t="s">
        <v>405</v>
      </c>
      <c r="F109" s="12" t="s">
        <v>1611</v>
      </c>
      <c r="G109" s="12" t="s">
        <v>219</v>
      </c>
      <c r="H109" s="25" t="s">
        <v>1469</v>
      </c>
      <c r="I109" s="25" t="s">
        <v>3487</v>
      </c>
      <c r="J109" s="13" t="n">
        <v>1</v>
      </c>
      <c r="K109" s="25" t="s">
        <v>3488</v>
      </c>
      <c r="L109" s="25" t="s">
        <v>86</v>
      </c>
      <c r="M109" s="25" t="s">
        <v>1580</v>
      </c>
      <c r="N109" s="22" t="s">
        <v>1437</v>
      </c>
      <c r="O109" s="12" t="s">
        <v>3489</v>
      </c>
    </row>
    <row r="110" customFormat="false" ht="19.5" hidden="false" customHeight="true" outlineLevel="0" collapsed="false">
      <c r="A110" s="27" t="s">
        <v>3595</v>
      </c>
      <c r="B110" s="27" t="s">
        <v>3483</v>
      </c>
      <c r="C110" s="27" t="s">
        <v>3484</v>
      </c>
      <c r="D110" s="27" t="s">
        <v>3485</v>
      </c>
      <c r="E110" s="27" t="s">
        <v>411</v>
      </c>
      <c r="F110" s="9" t="s">
        <v>1613</v>
      </c>
      <c r="G110" s="9" t="s">
        <v>219</v>
      </c>
      <c r="H110" s="27" t="s">
        <v>1469</v>
      </c>
      <c r="I110" s="27" t="s">
        <v>3487</v>
      </c>
      <c r="J110" s="10" t="n">
        <v>0.5</v>
      </c>
      <c r="K110" s="27" t="s">
        <v>3488</v>
      </c>
      <c r="L110" s="27" t="s">
        <v>86</v>
      </c>
      <c r="M110" s="27" t="s">
        <v>1580</v>
      </c>
      <c r="N110" s="23" t="s">
        <v>1437</v>
      </c>
      <c r="O110" s="9" t="s">
        <v>3489</v>
      </c>
    </row>
    <row r="111" customFormat="false" ht="19.5" hidden="false" customHeight="true" outlineLevel="0" collapsed="false">
      <c r="A111" s="25" t="s">
        <v>3596</v>
      </c>
      <c r="B111" s="25" t="s">
        <v>3483</v>
      </c>
      <c r="C111" s="25" t="s">
        <v>3484</v>
      </c>
      <c r="D111" s="25" t="s">
        <v>3485</v>
      </c>
      <c r="E111" s="25" t="s">
        <v>416</v>
      </c>
      <c r="F111" s="12" t="s">
        <v>1615</v>
      </c>
      <c r="G111" s="12" t="s">
        <v>219</v>
      </c>
      <c r="H111" s="25" t="s">
        <v>1469</v>
      </c>
      <c r="I111" s="25" t="s">
        <v>3487</v>
      </c>
      <c r="J111" s="13" t="n">
        <v>0</v>
      </c>
      <c r="K111" s="25" t="s">
        <v>3488</v>
      </c>
      <c r="L111" s="25" t="s">
        <v>86</v>
      </c>
      <c r="M111" s="25" t="s">
        <v>1580</v>
      </c>
      <c r="N111" s="22" t="s">
        <v>1437</v>
      </c>
      <c r="O111" s="12" t="s">
        <v>3489</v>
      </c>
    </row>
    <row r="112" customFormat="false" ht="19.5" hidden="false" customHeight="true" outlineLevel="0" collapsed="false">
      <c r="A112" s="27" t="s">
        <v>3597</v>
      </c>
      <c r="B112" s="27" t="s">
        <v>3483</v>
      </c>
      <c r="C112" s="27" t="s">
        <v>3484</v>
      </c>
      <c r="D112" s="27" t="s">
        <v>3485</v>
      </c>
      <c r="E112" s="27" t="s">
        <v>377</v>
      </c>
      <c r="F112" s="9" t="s">
        <v>1617</v>
      </c>
      <c r="G112" s="9" t="s">
        <v>219</v>
      </c>
      <c r="H112" s="27" t="s">
        <v>1469</v>
      </c>
      <c r="I112" s="27" t="s">
        <v>3487</v>
      </c>
      <c r="J112" s="10" t="n">
        <v>2</v>
      </c>
      <c r="K112" s="27" t="s">
        <v>3488</v>
      </c>
      <c r="L112" s="27" t="s">
        <v>86</v>
      </c>
      <c r="M112" s="27" t="s">
        <v>1580</v>
      </c>
      <c r="N112" s="23" t="s">
        <v>1437</v>
      </c>
      <c r="O112" s="9" t="s">
        <v>3489</v>
      </c>
    </row>
    <row r="113" customFormat="false" ht="19.5" hidden="false" customHeight="true" outlineLevel="0" collapsed="false">
      <c r="A113" s="25" t="s">
        <v>3598</v>
      </c>
      <c r="B113" s="25" t="s">
        <v>3483</v>
      </c>
      <c r="C113" s="25" t="s">
        <v>3484</v>
      </c>
      <c r="D113" s="25" t="s">
        <v>3485</v>
      </c>
      <c r="E113" s="25" t="s">
        <v>420</v>
      </c>
      <c r="F113" s="12" t="s">
        <v>1619</v>
      </c>
      <c r="G113" s="12" t="s">
        <v>219</v>
      </c>
      <c r="H113" s="25" t="s">
        <v>1469</v>
      </c>
      <c r="I113" s="25" t="s">
        <v>3487</v>
      </c>
      <c r="J113" s="13" t="n">
        <v>18</v>
      </c>
      <c r="K113" s="25" t="s">
        <v>3488</v>
      </c>
      <c r="L113" s="25" t="s">
        <v>86</v>
      </c>
      <c r="M113" s="25" t="s">
        <v>1580</v>
      </c>
      <c r="N113" s="22" t="s">
        <v>1437</v>
      </c>
      <c r="O113" s="12" t="s">
        <v>3489</v>
      </c>
    </row>
    <row r="114" customFormat="false" ht="19.5" hidden="false" customHeight="true" outlineLevel="0" collapsed="false">
      <c r="A114" s="27" t="s">
        <v>3599</v>
      </c>
      <c r="B114" s="27" t="s">
        <v>3483</v>
      </c>
      <c r="C114" s="27" t="s">
        <v>3484</v>
      </c>
      <c r="D114" s="27" t="s">
        <v>3485</v>
      </c>
      <c r="E114" s="27" t="s">
        <v>250</v>
      </c>
      <c r="F114" s="9" t="s">
        <v>1621</v>
      </c>
      <c r="G114" s="9" t="s">
        <v>219</v>
      </c>
      <c r="H114" s="27" t="s">
        <v>1469</v>
      </c>
      <c r="I114" s="27" t="s">
        <v>3487</v>
      </c>
      <c r="J114" s="10" t="n">
        <v>15</v>
      </c>
      <c r="K114" s="27" t="s">
        <v>3488</v>
      </c>
      <c r="L114" s="27" t="s">
        <v>86</v>
      </c>
      <c r="M114" s="27" t="s">
        <v>1580</v>
      </c>
      <c r="N114" s="23" t="s">
        <v>1437</v>
      </c>
      <c r="O114" s="9" t="s">
        <v>3489</v>
      </c>
    </row>
    <row r="115" customFormat="false" ht="19.5" hidden="false" customHeight="true" outlineLevel="0" collapsed="false">
      <c r="A115" s="25" t="s">
        <v>3600</v>
      </c>
      <c r="B115" s="25" t="s">
        <v>3483</v>
      </c>
      <c r="C115" s="25" t="s">
        <v>3484</v>
      </c>
      <c r="D115" s="25" t="s">
        <v>3485</v>
      </c>
      <c r="E115" s="25" t="s">
        <v>312</v>
      </c>
      <c r="F115" s="12" t="s">
        <v>3213</v>
      </c>
      <c r="G115" s="12" t="s">
        <v>295</v>
      </c>
      <c r="H115" s="25" t="s">
        <v>1469</v>
      </c>
      <c r="I115" s="25" t="s">
        <v>3487</v>
      </c>
      <c r="J115" s="13" t="n">
        <v>6</v>
      </c>
      <c r="K115" s="25" t="s">
        <v>3488</v>
      </c>
      <c r="L115" s="25" t="s">
        <v>86</v>
      </c>
      <c r="M115" s="25" t="s">
        <v>1580</v>
      </c>
      <c r="N115" s="22" t="s">
        <v>1437</v>
      </c>
      <c r="O115" s="12" t="s">
        <v>3489</v>
      </c>
    </row>
    <row r="116" customFormat="false" ht="19.5" hidden="false" customHeight="true" outlineLevel="0" collapsed="false">
      <c r="A116" s="27" t="s">
        <v>3601</v>
      </c>
      <c r="B116" s="27" t="s">
        <v>3483</v>
      </c>
      <c r="C116" s="27" t="s">
        <v>3484</v>
      </c>
      <c r="D116" s="27" t="s">
        <v>3485</v>
      </c>
      <c r="E116" s="27" t="s">
        <v>226</v>
      </c>
      <c r="F116" s="9" t="s">
        <v>1623</v>
      </c>
      <c r="G116" s="9" t="s">
        <v>219</v>
      </c>
      <c r="H116" s="27" t="s">
        <v>1469</v>
      </c>
      <c r="I116" s="27" t="s">
        <v>3487</v>
      </c>
      <c r="J116" s="10" t="n">
        <v>7</v>
      </c>
      <c r="K116" s="27" t="s">
        <v>3488</v>
      </c>
      <c r="L116" s="27" t="s">
        <v>86</v>
      </c>
      <c r="M116" s="27" t="s">
        <v>1580</v>
      </c>
      <c r="N116" s="23" t="s">
        <v>1437</v>
      </c>
      <c r="O116" s="9" t="s">
        <v>3489</v>
      </c>
    </row>
    <row r="117" customFormat="false" ht="19.5" hidden="false" customHeight="true" outlineLevel="0" collapsed="false">
      <c r="A117" s="25" t="s">
        <v>3602</v>
      </c>
      <c r="B117" s="25" t="s">
        <v>3483</v>
      </c>
      <c r="C117" s="25" t="s">
        <v>3484</v>
      </c>
      <c r="D117" s="25" t="s">
        <v>3485</v>
      </c>
      <c r="E117" s="25" t="s">
        <v>319</v>
      </c>
      <c r="F117" s="12" t="s">
        <v>3217</v>
      </c>
      <c r="G117" s="12" t="s">
        <v>295</v>
      </c>
      <c r="H117" s="25" t="s">
        <v>1469</v>
      </c>
      <c r="I117" s="25" t="s">
        <v>3487</v>
      </c>
      <c r="J117" s="13" t="n">
        <v>18</v>
      </c>
      <c r="K117" s="25" t="s">
        <v>3488</v>
      </c>
      <c r="L117" s="25" t="s">
        <v>86</v>
      </c>
      <c r="M117" s="25" t="s">
        <v>1580</v>
      </c>
      <c r="N117" s="22" t="s">
        <v>1437</v>
      </c>
      <c r="O117" s="12" t="s">
        <v>3489</v>
      </c>
    </row>
    <row r="118" customFormat="false" ht="19.5" hidden="false" customHeight="true" outlineLevel="0" collapsed="false">
      <c r="A118" s="27" t="s">
        <v>3603</v>
      </c>
      <c r="B118" s="27" t="s">
        <v>3483</v>
      </c>
      <c r="C118" s="27" t="s">
        <v>3484</v>
      </c>
      <c r="D118" s="27" t="s">
        <v>3485</v>
      </c>
      <c r="E118" s="27" t="s">
        <v>292</v>
      </c>
      <c r="F118" s="9" t="s">
        <v>3219</v>
      </c>
      <c r="G118" s="9" t="s">
        <v>295</v>
      </c>
      <c r="H118" s="27" t="s">
        <v>1469</v>
      </c>
      <c r="I118" s="27" t="s">
        <v>3487</v>
      </c>
      <c r="J118" s="10" t="n">
        <v>65</v>
      </c>
      <c r="K118" s="27" t="s">
        <v>3488</v>
      </c>
      <c r="L118" s="27" t="s">
        <v>86</v>
      </c>
      <c r="M118" s="27" t="s">
        <v>1580</v>
      </c>
      <c r="N118" s="23" t="s">
        <v>1437</v>
      </c>
      <c r="O118" s="9" t="s">
        <v>3489</v>
      </c>
    </row>
    <row r="119" customFormat="false" ht="19.5" hidden="false" customHeight="true" outlineLevel="0" collapsed="false">
      <c r="A119" s="25" t="s">
        <v>3604</v>
      </c>
      <c r="B119" s="25" t="s">
        <v>3483</v>
      </c>
      <c r="C119" s="25" t="s">
        <v>3484</v>
      </c>
      <c r="D119" s="25" t="s">
        <v>3485</v>
      </c>
      <c r="E119" s="25" t="s">
        <v>215</v>
      </c>
      <c r="F119" s="12" t="s">
        <v>1625</v>
      </c>
      <c r="G119" s="12" t="s">
        <v>219</v>
      </c>
      <c r="H119" s="25" t="s">
        <v>1469</v>
      </c>
      <c r="I119" s="25" t="s">
        <v>3487</v>
      </c>
      <c r="J119" s="13" t="n">
        <v>20.1</v>
      </c>
      <c r="K119" s="25" t="s">
        <v>3488</v>
      </c>
      <c r="L119" s="25" t="s">
        <v>86</v>
      </c>
      <c r="M119" s="25" t="s">
        <v>1580</v>
      </c>
      <c r="N119" s="22" t="s">
        <v>1437</v>
      </c>
      <c r="O119" s="12" t="s">
        <v>3489</v>
      </c>
    </row>
    <row r="120" customFormat="false" ht="19.5" hidden="false" customHeight="true" outlineLevel="0" collapsed="false">
      <c r="A120" s="27" t="s">
        <v>3605</v>
      </c>
      <c r="B120" s="27" t="s">
        <v>3483</v>
      </c>
      <c r="C120" s="27" t="s">
        <v>3484</v>
      </c>
      <c r="D120" s="27" t="s">
        <v>3485</v>
      </c>
      <c r="E120" s="27" t="s">
        <v>257</v>
      </c>
      <c r="F120" s="9" t="s">
        <v>1627</v>
      </c>
      <c r="G120" s="9" t="s">
        <v>219</v>
      </c>
      <c r="H120" s="27" t="s">
        <v>1469</v>
      </c>
      <c r="I120" s="27" t="s">
        <v>3487</v>
      </c>
      <c r="J120" s="10" t="n">
        <v>17</v>
      </c>
      <c r="K120" s="27" t="s">
        <v>3488</v>
      </c>
      <c r="L120" s="27" t="s">
        <v>86</v>
      </c>
      <c r="M120" s="27" t="s">
        <v>1580</v>
      </c>
      <c r="N120" s="23" t="s">
        <v>1437</v>
      </c>
      <c r="O120" s="9" t="s">
        <v>3489</v>
      </c>
    </row>
    <row r="121" customFormat="false" ht="19.5" hidden="false" customHeight="true" outlineLevel="0" collapsed="false">
      <c r="A121" s="25" t="s">
        <v>3606</v>
      </c>
      <c r="B121" s="25" t="s">
        <v>3483</v>
      </c>
      <c r="C121" s="25" t="s">
        <v>3484</v>
      </c>
      <c r="D121" s="25" t="s">
        <v>3485</v>
      </c>
      <c r="E121" s="25" t="s">
        <v>334</v>
      </c>
      <c r="F121" s="12" t="s">
        <v>3186</v>
      </c>
      <c r="G121" s="12" t="s">
        <v>3486</v>
      </c>
      <c r="H121" s="25" t="s">
        <v>1490</v>
      </c>
      <c r="I121" s="25" t="s">
        <v>3487</v>
      </c>
      <c r="J121" s="13" t="n">
        <v>0</v>
      </c>
      <c r="K121" s="25" t="s">
        <v>3488</v>
      </c>
      <c r="L121" s="25" t="s">
        <v>86</v>
      </c>
      <c r="M121" s="25" t="s">
        <v>1580</v>
      </c>
      <c r="N121" s="22" t="s">
        <v>1476</v>
      </c>
      <c r="O121" s="12" t="s">
        <v>3489</v>
      </c>
    </row>
    <row r="122" customFormat="false" ht="19.5" hidden="false" customHeight="true" outlineLevel="0" collapsed="false">
      <c r="A122" s="27" t="s">
        <v>3607</v>
      </c>
      <c r="B122" s="27" t="s">
        <v>3483</v>
      </c>
      <c r="C122" s="27" t="s">
        <v>3484</v>
      </c>
      <c r="D122" s="27" t="s">
        <v>3485</v>
      </c>
      <c r="E122" s="27" t="s">
        <v>328</v>
      </c>
      <c r="F122" s="9" t="s">
        <v>3189</v>
      </c>
      <c r="G122" s="9" t="s">
        <v>3491</v>
      </c>
      <c r="H122" s="27" t="s">
        <v>1490</v>
      </c>
      <c r="I122" s="27" t="s">
        <v>3487</v>
      </c>
      <c r="J122" s="10" t="n">
        <v>0</v>
      </c>
      <c r="K122" s="27" t="s">
        <v>3488</v>
      </c>
      <c r="L122" s="27" t="s">
        <v>86</v>
      </c>
      <c r="M122" s="27" t="s">
        <v>1580</v>
      </c>
      <c r="N122" s="23" t="s">
        <v>1476</v>
      </c>
      <c r="O122" s="9" t="s">
        <v>3489</v>
      </c>
    </row>
    <row r="123" customFormat="false" ht="19.5" hidden="false" customHeight="true" outlineLevel="0" collapsed="false">
      <c r="A123" s="25" t="s">
        <v>3608</v>
      </c>
      <c r="B123" s="25" t="s">
        <v>3483</v>
      </c>
      <c r="C123" s="25" t="s">
        <v>3484</v>
      </c>
      <c r="D123" s="25" t="s">
        <v>3485</v>
      </c>
      <c r="E123" s="25" t="s">
        <v>466</v>
      </c>
      <c r="F123" s="12" t="s">
        <v>1578</v>
      </c>
      <c r="G123" s="12" t="s">
        <v>462</v>
      </c>
      <c r="H123" s="25" t="s">
        <v>1490</v>
      </c>
      <c r="I123" s="25" t="s">
        <v>3487</v>
      </c>
      <c r="J123" s="13" t="n">
        <v>2.2</v>
      </c>
      <c r="K123" s="25" t="s">
        <v>3488</v>
      </c>
      <c r="L123" s="25" t="s">
        <v>86</v>
      </c>
      <c r="M123" s="25" t="s">
        <v>1580</v>
      </c>
      <c r="N123" s="22" t="s">
        <v>1476</v>
      </c>
      <c r="O123" s="12" t="s">
        <v>3489</v>
      </c>
    </row>
    <row r="124" customFormat="false" ht="19.5" hidden="false" customHeight="true" outlineLevel="0" collapsed="false">
      <c r="A124" s="27" t="s">
        <v>3609</v>
      </c>
      <c r="B124" s="27" t="s">
        <v>3483</v>
      </c>
      <c r="C124" s="27" t="s">
        <v>3484</v>
      </c>
      <c r="D124" s="27" t="s">
        <v>3485</v>
      </c>
      <c r="E124" s="27" t="s">
        <v>492</v>
      </c>
      <c r="F124" s="9" t="s">
        <v>1583</v>
      </c>
      <c r="G124" s="9" t="s">
        <v>462</v>
      </c>
      <c r="H124" s="27" t="s">
        <v>1490</v>
      </c>
      <c r="I124" s="27" t="s">
        <v>3487</v>
      </c>
      <c r="J124" s="10" t="n">
        <v>10</v>
      </c>
      <c r="K124" s="27" t="s">
        <v>3488</v>
      </c>
      <c r="L124" s="27" t="s">
        <v>86</v>
      </c>
      <c r="M124" s="27" t="s">
        <v>1580</v>
      </c>
      <c r="N124" s="23" t="s">
        <v>1476</v>
      </c>
      <c r="O124" s="9" t="s">
        <v>3489</v>
      </c>
    </row>
    <row r="125" customFormat="false" ht="19.5" hidden="false" customHeight="true" outlineLevel="0" collapsed="false">
      <c r="A125" s="25" t="s">
        <v>3610</v>
      </c>
      <c r="B125" s="25" t="s">
        <v>3483</v>
      </c>
      <c r="C125" s="25" t="s">
        <v>3484</v>
      </c>
      <c r="D125" s="25" t="s">
        <v>3485</v>
      </c>
      <c r="E125" s="25" t="s">
        <v>473</v>
      </c>
      <c r="F125" s="12" t="s">
        <v>1585</v>
      </c>
      <c r="G125" s="12" t="s">
        <v>462</v>
      </c>
      <c r="H125" s="25" t="s">
        <v>1490</v>
      </c>
      <c r="I125" s="25" t="s">
        <v>3487</v>
      </c>
      <c r="J125" s="13" t="n">
        <v>0</v>
      </c>
      <c r="K125" s="25" t="s">
        <v>3488</v>
      </c>
      <c r="L125" s="25" t="s">
        <v>86</v>
      </c>
      <c r="M125" s="25" t="s">
        <v>1580</v>
      </c>
      <c r="N125" s="22" t="s">
        <v>1476</v>
      </c>
      <c r="O125" s="12" t="s">
        <v>3489</v>
      </c>
    </row>
    <row r="126" customFormat="false" ht="19.5" hidden="false" customHeight="true" outlineLevel="0" collapsed="false">
      <c r="A126" s="27" t="s">
        <v>3611</v>
      </c>
      <c r="B126" s="27" t="s">
        <v>3483</v>
      </c>
      <c r="C126" s="27" t="s">
        <v>3484</v>
      </c>
      <c r="D126" s="27" t="s">
        <v>3485</v>
      </c>
      <c r="E126" s="27" t="s">
        <v>459</v>
      </c>
      <c r="F126" s="9" t="s">
        <v>1587</v>
      </c>
      <c r="G126" s="9" t="s">
        <v>462</v>
      </c>
      <c r="H126" s="27" t="s">
        <v>1490</v>
      </c>
      <c r="I126" s="27" t="s">
        <v>3487</v>
      </c>
      <c r="J126" s="10" t="n">
        <v>0</v>
      </c>
      <c r="K126" s="27" t="s">
        <v>3488</v>
      </c>
      <c r="L126" s="27" t="s">
        <v>86</v>
      </c>
      <c r="M126" s="27" t="s">
        <v>1580</v>
      </c>
      <c r="N126" s="23" t="s">
        <v>1476</v>
      </c>
      <c r="O126" s="9" t="s">
        <v>3489</v>
      </c>
    </row>
    <row r="127" customFormat="false" ht="19.5" hidden="false" customHeight="true" outlineLevel="0" collapsed="false">
      <c r="A127" s="25" t="s">
        <v>3612</v>
      </c>
      <c r="B127" s="25" t="s">
        <v>3483</v>
      </c>
      <c r="C127" s="25" t="s">
        <v>3484</v>
      </c>
      <c r="D127" s="25" t="s">
        <v>3485</v>
      </c>
      <c r="E127" s="25" t="s">
        <v>486</v>
      </c>
      <c r="F127" s="12" t="s">
        <v>1589</v>
      </c>
      <c r="G127" s="12" t="s">
        <v>462</v>
      </c>
      <c r="H127" s="25" t="s">
        <v>1490</v>
      </c>
      <c r="I127" s="25" t="s">
        <v>3487</v>
      </c>
      <c r="J127" s="13" t="n">
        <v>3</v>
      </c>
      <c r="K127" s="25" t="s">
        <v>3488</v>
      </c>
      <c r="L127" s="25" t="s">
        <v>86</v>
      </c>
      <c r="M127" s="25" t="s">
        <v>1580</v>
      </c>
      <c r="N127" s="22" t="s">
        <v>1476</v>
      </c>
      <c r="O127" s="12" t="s">
        <v>3489</v>
      </c>
    </row>
    <row r="128" customFormat="false" ht="19.5" hidden="false" customHeight="true" outlineLevel="0" collapsed="false">
      <c r="A128" s="27" t="s">
        <v>3613</v>
      </c>
      <c r="B128" s="27" t="s">
        <v>3483</v>
      </c>
      <c r="C128" s="27" t="s">
        <v>3484</v>
      </c>
      <c r="D128" s="27" t="s">
        <v>3485</v>
      </c>
      <c r="E128" s="27" t="s">
        <v>479</v>
      </c>
      <c r="F128" s="9" t="s">
        <v>1591</v>
      </c>
      <c r="G128" s="9" t="s">
        <v>462</v>
      </c>
      <c r="H128" s="27" t="s">
        <v>1490</v>
      </c>
      <c r="I128" s="27" t="s">
        <v>3487</v>
      </c>
      <c r="J128" s="10" t="n">
        <v>0</v>
      </c>
      <c r="K128" s="27" t="s">
        <v>3488</v>
      </c>
      <c r="L128" s="27" t="s">
        <v>86</v>
      </c>
      <c r="M128" s="27" t="s">
        <v>1580</v>
      </c>
      <c r="N128" s="23" t="s">
        <v>1476</v>
      </c>
      <c r="O128" s="9" t="s">
        <v>3489</v>
      </c>
    </row>
    <row r="129" customFormat="false" ht="19.5" hidden="false" customHeight="true" outlineLevel="0" collapsed="false">
      <c r="A129" s="25" t="s">
        <v>3614</v>
      </c>
      <c r="B129" s="25" t="s">
        <v>3483</v>
      </c>
      <c r="C129" s="25" t="s">
        <v>3484</v>
      </c>
      <c r="D129" s="25" t="s">
        <v>3485</v>
      </c>
      <c r="E129" s="25" t="s">
        <v>233</v>
      </c>
      <c r="F129" s="12" t="s">
        <v>1593</v>
      </c>
      <c r="G129" s="12" t="s">
        <v>236</v>
      </c>
      <c r="H129" s="25" t="s">
        <v>1490</v>
      </c>
      <c r="I129" s="25" t="s">
        <v>3487</v>
      </c>
      <c r="J129" s="13" t="n">
        <v>0</v>
      </c>
      <c r="K129" s="25" t="s">
        <v>3488</v>
      </c>
      <c r="L129" s="25" t="s">
        <v>86</v>
      </c>
      <c r="M129" s="25" t="s">
        <v>1580</v>
      </c>
      <c r="N129" s="22" t="s">
        <v>1476</v>
      </c>
      <c r="O129" s="12" t="s">
        <v>3489</v>
      </c>
    </row>
    <row r="130" customFormat="false" ht="19.5" hidden="false" customHeight="true" outlineLevel="0" collapsed="false">
      <c r="A130" s="27" t="s">
        <v>3615</v>
      </c>
      <c r="B130" s="27" t="s">
        <v>3483</v>
      </c>
      <c r="C130" s="27" t="s">
        <v>3484</v>
      </c>
      <c r="D130" s="27" t="s">
        <v>3485</v>
      </c>
      <c r="E130" s="27" t="s">
        <v>448</v>
      </c>
      <c r="F130" s="9" t="s">
        <v>1595</v>
      </c>
      <c r="G130" s="9" t="s">
        <v>219</v>
      </c>
      <c r="H130" s="27" t="s">
        <v>1490</v>
      </c>
      <c r="I130" s="27" t="s">
        <v>3487</v>
      </c>
      <c r="J130" s="10" t="n">
        <v>0</v>
      </c>
      <c r="K130" s="27" t="s">
        <v>3488</v>
      </c>
      <c r="L130" s="27" t="s">
        <v>86</v>
      </c>
      <c r="M130" s="27" t="s">
        <v>1580</v>
      </c>
      <c r="N130" s="23" t="s">
        <v>1476</v>
      </c>
      <c r="O130" s="9" t="s">
        <v>3489</v>
      </c>
    </row>
    <row r="131" customFormat="false" ht="19.5" hidden="false" customHeight="true" outlineLevel="0" collapsed="false">
      <c r="A131" s="25" t="s">
        <v>3616</v>
      </c>
      <c r="B131" s="25" t="s">
        <v>3483</v>
      </c>
      <c r="C131" s="25" t="s">
        <v>3484</v>
      </c>
      <c r="D131" s="25" t="s">
        <v>3485</v>
      </c>
      <c r="E131" s="25" t="s">
        <v>455</v>
      </c>
      <c r="F131" s="12" t="s">
        <v>1597</v>
      </c>
      <c r="G131" s="12" t="s">
        <v>219</v>
      </c>
      <c r="H131" s="25" t="s">
        <v>1490</v>
      </c>
      <c r="I131" s="25" t="s">
        <v>3487</v>
      </c>
      <c r="J131" s="13" t="n">
        <v>0</v>
      </c>
      <c r="K131" s="25" t="s">
        <v>3488</v>
      </c>
      <c r="L131" s="25" t="s">
        <v>86</v>
      </c>
      <c r="M131" s="25" t="s">
        <v>1580</v>
      </c>
      <c r="N131" s="22" t="s">
        <v>1476</v>
      </c>
      <c r="O131" s="12" t="s">
        <v>3489</v>
      </c>
    </row>
    <row r="132" customFormat="false" ht="19.5" hidden="false" customHeight="true" outlineLevel="0" collapsed="false">
      <c r="A132" s="27" t="s">
        <v>3617</v>
      </c>
      <c r="B132" s="27" t="s">
        <v>3483</v>
      </c>
      <c r="C132" s="27" t="s">
        <v>3484</v>
      </c>
      <c r="D132" s="27" t="s">
        <v>3485</v>
      </c>
      <c r="E132" s="27" t="s">
        <v>439</v>
      </c>
      <c r="F132" s="9" t="s">
        <v>1599</v>
      </c>
      <c r="G132" s="9" t="s">
        <v>219</v>
      </c>
      <c r="H132" s="27" t="s">
        <v>1490</v>
      </c>
      <c r="I132" s="27" t="s">
        <v>3487</v>
      </c>
      <c r="J132" s="10" t="n">
        <v>1.5</v>
      </c>
      <c r="K132" s="27" t="s">
        <v>3488</v>
      </c>
      <c r="L132" s="27" t="s">
        <v>86</v>
      </c>
      <c r="M132" s="27" t="s">
        <v>1580</v>
      </c>
      <c r="N132" s="23" t="s">
        <v>1476</v>
      </c>
      <c r="O132" s="9" t="s">
        <v>3489</v>
      </c>
    </row>
    <row r="133" customFormat="false" ht="19.5" hidden="false" customHeight="true" outlineLevel="0" collapsed="false">
      <c r="A133" s="25" t="s">
        <v>3618</v>
      </c>
      <c r="B133" s="25" t="s">
        <v>3483</v>
      </c>
      <c r="C133" s="25" t="s">
        <v>3484</v>
      </c>
      <c r="D133" s="25" t="s">
        <v>3485</v>
      </c>
      <c r="E133" s="25" t="s">
        <v>426</v>
      </c>
      <c r="F133" s="12" t="s">
        <v>1601</v>
      </c>
      <c r="G133" s="12" t="s">
        <v>219</v>
      </c>
      <c r="H133" s="25" t="s">
        <v>1490</v>
      </c>
      <c r="I133" s="25" t="s">
        <v>3487</v>
      </c>
      <c r="J133" s="13" t="n">
        <v>2</v>
      </c>
      <c r="K133" s="25" t="s">
        <v>3488</v>
      </c>
      <c r="L133" s="25" t="s">
        <v>86</v>
      </c>
      <c r="M133" s="25" t="s">
        <v>1580</v>
      </c>
      <c r="N133" s="22" t="s">
        <v>1476</v>
      </c>
      <c r="O133" s="12" t="s">
        <v>3489</v>
      </c>
    </row>
    <row r="134" customFormat="false" ht="19.5" hidden="false" customHeight="true" outlineLevel="0" collapsed="false">
      <c r="A134" s="27" t="s">
        <v>3619</v>
      </c>
      <c r="B134" s="27" t="s">
        <v>3483</v>
      </c>
      <c r="C134" s="27" t="s">
        <v>3484</v>
      </c>
      <c r="D134" s="27" t="s">
        <v>3485</v>
      </c>
      <c r="E134" s="27" t="s">
        <v>385</v>
      </c>
      <c r="F134" s="9" t="s">
        <v>1603</v>
      </c>
      <c r="G134" s="9" t="s">
        <v>219</v>
      </c>
      <c r="H134" s="27" t="s">
        <v>1490</v>
      </c>
      <c r="I134" s="27" t="s">
        <v>3487</v>
      </c>
      <c r="J134" s="10" t="n">
        <v>5</v>
      </c>
      <c r="K134" s="27" t="s">
        <v>3488</v>
      </c>
      <c r="L134" s="27" t="s">
        <v>86</v>
      </c>
      <c r="M134" s="27" t="s">
        <v>1580</v>
      </c>
      <c r="N134" s="23" t="s">
        <v>1476</v>
      </c>
      <c r="O134" s="9" t="s">
        <v>3489</v>
      </c>
    </row>
    <row r="135" customFormat="false" ht="19.5" hidden="false" customHeight="true" outlineLevel="0" collapsed="false">
      <c r="A135" s="25" t="s">
        <v>3620</v>
      </c>
      <c r="B135" s="25" t="s">
        <v>3483</v>
      </c>
      <c r="C135" s="25" t="s">
        <v>3484</v>
      </c>
      <c r="D135" s="25" t="s">
        <v>3485</v>
      </c>
      <c r="E135" s="25" t="s">
        <v>392</v>
      </c>
      <c r="F135" s="12" t="s">
        <v>1605</v>
      </c>
      <c r="G135" s="12" t="s">
        <v>219</v>
      </c>
      <c r="H135" s="25" t="s">
        <v>1490</v>
      </c>
      <c r="I135" s="25" t="s">
        <v>3487</v>
      </c>
      <c r="J135" s="13" t="n">
        <v>12.4</v>
      </c>
      <c r="K135" s="25" t="s">
        <v>3488</v>
      </c>
      <c r="L135" s="25" t="s">
        <v>86</v>
      </c>
      <c r="M135" s="25" t="s">
        <v>1580</v>
      </c>
      <c r="N135" s="22" t="s">
        <v>1476</v>
      </c>
      <c r="O135" s="12" t="s">
        <v>3489</v>
      </c>
    </row>
    <row r="136" customFormat="false" ht="19.5" hidden="false" customHeight="true" outlineLevel="0" collapsed="false">
      <c r="A136" s="27" t="s">
        <v>3621</v>
      </c>
      <c r="B136" s="27" t="s">
        <v>3483</v>
      </c>
      <c r="C136" s="27" t="s">
        <v>3484</v>
      </c>
      <c r="D136" s="27" t="s">
        <v>3485</v>
      </c>
      <c r="E136" s="27" t="s">
        <v>399</v>
      </c>
      <c r="F136" s="9" t="s">
        <v>1607</v>
      </c>
      <c r="G136" s="9" t="s">
        <v>219</v>
      </c>
      <c r="H136" s="27" t="s">
        <v>1490</v>
      </c>
      <c r="I136" s="27" t="s">
        <v>3487</v>
      </c>
      <c r="J136" s="10" t="n">
        <v>28.8</v>
      </c>
      <c r="K136" s="27" t="s">
        <v>3488</v>
      </c>
      <c r="L136" s="27" t="s">
        <v>86</v>
      </c>
      <c r="M136" s="27" t="s">
        <v>1580</v>
      </c>
      <c r="N136" s="23" t="s">
        <v>1476</v>
      </c>
      <c r="O136" s="9" t="s">
        <v>3489</v>
      </c>
    </row>
    <row r="137" customFormat="false" ht="19.5" hidden="false" customHeight="true" outlineLevel="0" collapsed="false">
      <c r="A137" s="25" t="s">
        <v>3622</v>
      </c>
      <c r="B137" s="25" t="s">
        <v>3483</v>
      </c>
      <c r="C137" s="25" t="s">
        <v>3484</v>
      </c>
      <c r="D137" s="25" t="s">
        <v>3485</v>
      </c>
      <c r="E137" s="25" t="s">
        <v>433</v>
      </c>
      <c r="F137" s="12" t="s">
        <v>1609</v>
      </c>
      <c r="G137" s="12" t="s">
        <v>219</v>
      </c>
      <c r="H137" s="25" t="s">
        <v>1490</v>
      </c>
      <c r="I137" s="25" t="s">
        <v>3487</v>
      </c>
      <c r="J137" s="13" t="n">
        <v>6</v>
      </c>
      <c r="K137" s="25" t="s">
        <v>3488</v>
      </c>
      <c r="L137" s="25" t="s">
        <v>86</v>
      </c>
      <c r="M137" s="25" t="s">
        <v>1580</v>
      </c>
      <c r="N137" s="22" t="s">
        <v>1476</v>
      </c>
      <c r="O137" s="12" t="s">
        <v>3489</v>
      </c>
    </row>
    <row r="138" customFormat="false" ht="19.5" hidden="false" customHeight="true" outlineLevel="0" collapsed="false">
      <c r="A138" s="27" t="s">
        <v>3623</v>
      </c>
      <c r="B138" s="27" t="s">
        <v>3483</v>
      </c>
      <c r="C138" s="27" t="s">
        <v>3484</v>
      </c>
      <c r="D138" s="27" t="s">
        <v>3485</v>
      </c>
      <c r="E138" s="27" t="s">
        <v>405</v>
      </c>
      <c r="F138" s="9" t="s">
        <v>1611</v>
      </c>
      <c r="G138" s="9" t="s">
        <v>219</v>
      </c>
      <c r="H138" s="27" t="s">
        <v>1490</v>
      </c>
      <c r="I138" s="27" t="s">
        <v>3487</v>
      </c>
      <c r="J138" s="10" t="n">
        <v>5</v>
      </c>
      <c r="K138" s="27" t="s">
        <v>3488</v>
      </c>
      <c r="L138" s="27" t="s">
        <v>86</v>
      </c>
      <c r="M138" s="27" t="s">
        <v>1580</v>
      </c>
      <c r="N138" s="23" t="s">
        <v>1476</v>
      </c>
      <c r="O138" s="9" t="s">
        <v>3489</v>
      </c>
    </row>
    <row r="139" customFormat="false" ht="19.5" hidden="false" customHeight="true" outlineLevel="0" collapsed="false">
      <c r="A139" s="25" t="s">
        <v>3624</v>
      </c>
      <c r="B139" s="25" t="s">
        <v>3483</v>
      </c>
      <c r="C139" s="25" t="s">
        <v>3484</v>
      </c>
      <c r="D139" s="25" t="s">
        <v>3485</v>
      </c>
      <c r="E139" s="25" t="s">
        <v>411</v>
      </c>
      <c r="F139" s="12" t="s">
        <v>1613</v>
      </c>
      <c r="G139" s="12" t="s">
        <v>219</v>
      </c>
      <c r="H139" s="25" t="s">
        <v>1490</v>
      </c>
      <c r="I139" s="25" t="s">
        <v>3487</v>
      </c>
      <c r="J139" s="13" t="n">
        <v>6.5</v>
      </c>
      <c r="K139" s="25" t="s">
        <v>3488</v>
      </c>
      <c r="L139" s="25" t="s">
        <v>86</v>
      </c>
      <c r="M139" s="25" t="s">
        <v>1580</v>
      </c>
      <c r="N139" s="22" t="s">
        <v>1476</v>
      </c>
      <c r="O139" s="12" t="s">
        <v>3489</v>
      </c>
    </row>
    <row r="140" customFormat="false" ht="19.5" hidden="false" customHeight="true" outlineLevel="0" collapsed="false">
      <c r="A140" s="27" t="s">
        <v>3625</v>
      </c>
      <c r="B140" s="27" t="s">
        <v>3483</v>
      </c>
      <c r="C140" s="27" t="s">
        <v>3484</v>
      </c>
      <c r="D140" s="27" t="s">
        <v>3485</v>
      </c>
      <c r="E140" s="27" t="s">
        <v>416</v>
      </c>
      <c r="F140" s="9" t="s">
        <v>1615</v>
      </c>
      <c r="G140" s="9" t="s">
        <v>219</v>
      </c>
      <c r="H140" s="27" t="s">
        <v>1490</v>
      </c>
      <c r="I140" s="27" t="s">
        <v>3487</v>
      </c>
      <c r="J140" s="10" t="n">
        <v>0</v>
      </c>
      <c r="K140" s="27" t="s">
        <v>3488</v>
      </c>
      <c r="L140" s="27" t="s">
        <v>86</v>
      </c>
      <c r="M140" s="27" t="s">
        <v>1580</v>
      </c>
      <c r="N140" s="23" t="s">
        <v>1476</v>
      </c>
      <c r="O140" s="9" t="s">
        <v>3489</v>
      </c>
    </row>
    <row r="141" customFormat="false" ht="19.5" hidden="false" customHeight="true" outlineLevel="0" collapsed="false">
      <c r="A141" s="25" t="s">
        <v>3626</v>
      </c>
      <c r="B141" s="25" t="s">
        <v>3483</v>
      </c>
      <c r="C141" s="25" t="s">
        <v>3484</v>
      </c>
      <c r="D141" s="25" t="s">
        <v>3485</v>
      </c>
      <c r="E141" s="25" t="s">
        <v>377</v>
      </c>
      <c r="F141" s="12" t="s">
        <v>1617</v>
      </c>
      <c r="G141" s="12" t="s">
        <v>219</v>
      </c>
      <c r="H141" s="25" t="s">
        <v>1490</v>
      </c>
      <c r="I141" s="25" t="s">
        <v>3487</v>
      </c>
      <c r="J141" s="13" t="n">
        <v>0</v>
      </c>
      <c r="K141" s="25" t="s">
        <v>3488</v>
      </c>
      <c r="L141" s="25" t="s">
        <v>86</v>
      </c>
      <c r="M141" s="25" t="s">
        <v>1580</v>
      </c>
      <c r="N141" s="22" t="s">
        <v>1476</v>
      </c>
      <c r="O141" s="12" t="s">
        <v>3489</v>
      </c>
    </row>
    <row r="142" customFormat="false" ht="19.5" hidden="false" customHeight="true" outlineLevel="0" collapsed="false">
      <c r="A142" s="27" t="s">
        <v>3627</v>
      </c>
      <c r="B142" s="27" t="s">
        <v>3483</v>
      </c>
      <c r="C142" s="27" t="s">
        <v>3484</v>
      </c>
      <c r="D142" s="27" t="s">
        <v>3485</v>
      </c>
      <c r="E142" s="27" t="s">
        <v>420</v>
      </c>
      <c r="F142" s="9" t="s">
        <v>1619</v>
      </c>
      <c r="G142" s="9" t="s">
        <v>219</v>
      </c>
      <c r="H142" s="27" t="s">
        <v>1490</v>
      </c>
      <c r="I142" s="27" t="s">
        <v>3487</v>
      </c>
      <c r="J142" s="10" t="n">
        <v>0</v>
      </c>
      <c r="K142" s="27" t="s">
        <v>3488</v>
      </c>
      <c r="L142" s="27" t="s">
        <v>86</v>
      </c>
      <c r="M142" s="27" t="s">
        <v>1580</v>
      </c>
      <c r="N142" s="23" t="s">
        <v>1476</v>
      </c>
      <c r="O142" s="9" t="s">
        <v>3489</v>
      </c>
    </row>
    <row r="143" customFormat="false" ht="19.5" hidden="false" customHeight="true" outlineLevel="0" collapsed="false">
      <c r="A143" s="25" t="s">
        <v>3628</v>
      </c>
      <c r="B143" s="25" t="s">
        <v>3483</v>
      </c>
      <c r="C143" s="25" t="s">
        <v>3484</v>
      </c>
      <c r="D143" s="25" t="s">
        <v>3485</v>
      </c>
      <c r="E143" s="25" t="s">
        <v>250</v>
      </c>
      <c r="F143" s="12" t="s">
        <v>1621</v>
      </c>
      <c r="G143" s="12" t="s">
        <v>219</v>
      </c>
      <c r="H143" s="25" t="s">
        <v>1490</v>
      </c>
      <c r="I143" s="25" t="s">
        <v>3487</v>
      </c>
      <c r="J143" s="13" t="n">
        <v>3</v>
      </c>
      <c r="K143" s="25" t="s">
        <v>3488</v>
      </c>
      <c r="L143" s="25" t="s">
        <v>86</v>
      </c>
      <c r="M143" s="25" t="s">
        <v>1580</v>
      </c>
      <c r="N143" s="22" t="s">
        <v>1476</v>
      </c>
      <c r="O143" s="12" t="s">
        <v>3489</v>
      </c>
    </row>
    <row r="144" customFormat="false" ht="19.5" hidden="false" customHeight="true" outlineLevel="0" collapsed="false">
      <c r="A144" s="27" t="s">
        <v>3629</v>
      </c>
      <c r="B144" s="27" t="s">
        <v>3483</v>
      </c>
      <c r="C144" s="27" t="s">
        <v>3484</v>
      </c>
      <c r="D144" s="27" t="s">
        <v>3485</v>
      </c>
      <c r="E144" s="27" t="s">
        <v>312</v>
      </c>
      <c r="F144" s="9" t="s">
        <v>3213</v>
      </c>
      <c r="G144" s="9" t="s">
        <v>295</v>
      </c>
      <c r="H144" s="27" t="s">
        <v>1490</v>
      </c>
      <c r="I144" s="27" t="s">
        <v>3487</v>
      </c>
      <c r="J144" s="10" t="n">
        <v>0</v>
      </c>
      <c r="K144" s="27" t="s">
        <v>3488</v>
      </c>
      <c r="L144" s="27" t="s">
        <v>86</v>
      </c>
      <c r="M144" s="27" t="s">
        <v>1580</v>
      </c>
      <c r="N144" s="23" t="s">
        <v>1476</v>
      </c>
      <c r="O144" s="9" t="s">
        <v>3489</v>
      </c>
    </row>
    <row r="145" customFormat="false" ht="19.5" hidden="false" customHeight="true" outlineLevel="0" collapsed="false">
      <c r="A145" s="25" t="s">
        <v>3630</v>
      </c>
      <c r="B145" s="25" t="s">
        <v>3483</v>
      </c>
      <c r="C145" s="25" t="s">
        <v>3484</v>
      </c>
      <c r="D145" s="25" t="s">
        <v>3485</v>
      </c>
      <c r="E145" s="25" t="s">
        <v>226</v>
      </c>
      <c r="F145" s="12" t="s">
        <v>1623</v>
      </c>
      <c r="G145" s="12" t="s">
        <v>219</v>
      </c>
      <c r="H145" s="25" t="s">
        <v>1490</v>
      </c>
      <c r="I145" s="25" t="s">
        <v>3487</v>
      </c>
      <c r="J145" s="13" t="n">
        <v>0</v>
      </c>
      <c r="K145" s="25" t="s">
        <v>3488</v>
      </c>
      <c r="L145" s="25" t="s">
        <v>86</v>
      </c>
      <c r="M145" s="25" t="s">
        <v>1580</v>
      </c>
      <c r="N145" s="22" t="s">
        <v>1476</v>
      </c>
      <c r="O145" s="12" t="s">
        <v>3489</v>
      </c>
    </row>
    <row r="146" customFormat="false" ht="19.5" hidden="false" customHeight="true" outlineLevel="0" collapsed="false">
      <c r="A146" s="27" t="s">
        <v>3631</v>
      </c>
      <c r="B146" s="27" t="s">
        <v>3483</v>
      </c>
      <c r="C146" s="27" t="s">
        <v>3484</v>
      </c>
      <c r="D146" s="27" t="s">
        <v>3485</v>
      </c>
      <c r="E146" s="27" t="s">
        <v>319</v>
      </c>
      <c r="F146" s="9" t="s">
        <v>3217</v>
      </c>
      <c r="G146" s="9" t="s">
        <v>295</v>
      </c>
      <c r="H146" s="27" t="s">
        <v>1490</v>
      </c>
      <c r="I146" s="27" t="s">
        <v>3487</v>
      </c>
      <c r="J146" s="10" t="n">
        <v>0</v>
      </c>
      <c r="K146" s="27" t="s">
        <v>3488</v>
      </c>
      <c r="L146" s="27" t="s">
        <v>86</v>
      </c>
      <c r="M146" s="27" t="s">
        <v>1580</v>
      </c>
      <c r="N146" s="23" t="s">
        <v>1476</v>
      </c>
      <c r="O146" s="9" t="s">
        <v>3489</v>
      </c>
    </row>
    <row r="147" customFormat="false" ht="19.5" hidden="false" customHeight="true" outlineLevel="0" collapsed="false">
      <c r="A147" s="25" t="s">
        <v>3632</v>
      </c>
      <c r="B147" s="25" t="s">
        <v>3483</v>
      </c>
      <c r="C147" s="25" t="s">
        <v>3484</v>
      </c>
      <c r="D147" s="25" t="s">
        <v>3485</v>
      </c>
      <c r="E147" s="25" t="s">
        <v>292</v>
      </c>
      <c r="F147" s="12" t="s">
        <v>3219</v>
      </c>
      <c r="G147" s="12" t="s">
        <v>295</v>
      </c>
      <c r="H147" s="25" t="s">
        <v>1490</v>
      </c>
      <c r="I147" s="25" t="s">
        <v>3487</v>
      </c>
      <c r="J147" s="13" t="n">
        <v>0</v>
      </c>
      <c r="K147" s="25" t="s">
        <v>3488</v>
      </c>
      <c r="L147" s="25" t="s">
        <v>86</v>
      </c>
      <c r="M147" s="25" t="s">
        <v>1580</v>
      </c>
      <c r="N147" s="22" t="s">
        <v>1476</v>
      </c>
      <c r="O147" s="12" t="s">
        <v>3489</v>
      </c>
    </row>
    <row r="148" customFormat="false" ht="19.5" hidden="false" customHeight="true" outlineLevel="0" collapsed="false">
      <c r="A148" s="27" t="s">
        <v>3633</v>
      </c>
      <c r="B148" s="27" t="s">
        <v>3483</v>
      </c>
      <c r="C148" s="27" t="s">
        <v>3484</v>
      </c>
      <c r="D148" s="27" t="s">
        <v>3485</v>
      </c>
      <c r="E148" s="27" t="s">
        <v>215</v>
      </c>
      <c r="F148" s="9" t="s">
        <v>1625</v>
      </c>
      <c r="G148" s="9" t="s">
        <v>219</v>
      </c>
      <c r="H148" s="27" t="s">
        <v>1490</v>
      </c>
      <c r="I148" s="27" t="s">
        <v>3487</v>
      </c>
      <c r="J148" s="10" t="n">
        <v>8.4</v>
      </c>
      <c r="K148" s="27" t="s">
        <v>3488</v>
      </c>
      <c r="L148" s="27" t="s">
        <v>86</v>
      </c>
      <c r="M148" s="27" t="s">
        <v>1580</v>
      </c>
      <c r="N148" s="23" t="s">
        <v>1476</v>
      </c>
      <c r="O148" s="9" t="s">
        <v>3489</v>
      </c>
    </row>
    <row r="149" customFormat="false" ht="19.5" hidden="false" customHeight="true" outlineLevel="0" collapsed="false">
      <c r="A149" s="25" t="s">
        <v>3634</v>
      </c>
      <c r="B149" s="25" t="s">
        <v>3483</v>
      </c>
      <c r="C149" s="25" t="s">
        <v>3484</v>
      </c>
      <c r="D149" s="25" t="s">
        <v>3485</v>
      </c>
      <c r="E149" s="25" t="s">
        <v>257</v>
      </c>
      <c r="F149" s="12" t="s">
        <v>1627</v>
      </c>
      <c r="G149" s="12" t="s">
        <v>219</v>
      </c>
      <c r="H149" s="25" t="s">
        <v>1490</v>
      </c>
      <c r="I149" s="25" t="s">
        <v>3487</v>
      </c>
      <c r="J149" s="13" t="n">
        <v>0</v>
      </c>
      <c r="K149" s="25" t="s">
        <v>3488</v>
      </c>
      <c r="L149" s="25" t="s">
        <v>86</v>
      </c>
      <c r="M149" s="25" t="s">
        <v>1580</v>
      </c>
      <c r="N149" s="22" t="s">
        <v>1476</v>
      </c>
      <c r="O149" s="12" t="s">
        <v>3489</v>
      </c>
    </row>
    <row r="150" customFormat="false" ht="19.5" hidden="false" customHeight="true" outlineLevel="0" collapsed="false">
      <c r="A150" s="27" t="s">
        <v>3635</v>
      </c>
      <c r="B150" s="27" t="s">
        <v>3483</v>
      </c>
      <c r="C150" s="27" t="s">
        <v>3484</v>
      </c>
      <c r="D150" s="27" t="s">
        <v>3485</v>
      </c>
      <c r="E150" s="27" t="s">
        <v>334</v>
      </c>
      <c r="F150" s="9" t="s">
        <v>3186</v>
      </c>
      <c r="G150" s="9" t="s">
        <v>3486</v>
      </c>
      <c r="H150" s="27" t="s">
        <v>1510</v>
      </c>
      <c r="I150" s="27" t="s">
        <v>3487</v>
      </c>
      <c r="J150" s="10" t="n">
        <v>0</v>
      </c>
      <c r="K150" s="27" t="s">
        <v>3488</v>
      </c>
      <c r="L150" s="27" t="s">
        <v>86</v>
      </c>
      <c r="M150" s="27" t="s">
        <v>1580</v>
      </c>
      <c r="N150" s="23" t="s">
        <v>1497</v>
      </c>
      <c r="O150" s="9" t="s">
        <v>3489</v>
      </c>
    </row>
    <row r="151" customFormat="false" ht="19.5" hidden="false" customHeight="true" outlineLevel="0" collapsed="false">
      <c r="A151" s="25" t="s">
        <v>3636</v>
      </c>
      <c r="B151" s="25" t="s">
        <v>3483</v>
      </c>
      <c r="C151" s="25" t="s">
        <v>3484</v>
      </c>
      <c r="D151" s="25" t="s">
        <v>3485</v>
      </c>
      <c r="E151" s="25" t="s">
        <v>328</v>
      </c>
      <c r="F151" s="12" t="s">
        <v>3189</v>
      </c>
      <c r="G151" s="12" t="s">
        <v>3491</v>
      </c>
      <c r="H151" s="25" t="s">
        <v>1510</v>
      </c>
      <c r="I151" s="25" t="s">
        <v>3487</v>
      </c>
      <c r="J151" s="13" t="n">
        <v>0</v>
      </c>
      <c r="K151" s="25" t="s">
        <v>3488</v>
      </c>
      <c r="L151" s="25" t="s">
        <v>86</v>
      </c>
      <c r="M151" s="25" t="s">
        <v>1580</v>
      </c>
      <c r="N151" s="22" t="s">
        <v>1497</v>
      </c>
      <c r="O151" s="12" t="s">
        <v>3489</v>
      </c>
    </row>
    <row r="152" customFormat="false" ht="19.5" hidden="false" customHeight="true" outlineLevel="0" collapsed="false">
      <c r="A152" s="27" t="s">
        <v>3637</v>
      </c>
      <c r="B152" s="27" t="s">
        <v>3483</v>
      </c>
      <c r="C152" s="27" t="s">
        <v>3484</v>
      </c>
      <c r="D152" s="27" t="s">
        <v>3485</v>
      </c>
      <c r="E152" s="27" t="s">
        <v>466</v>
      </c>
      <c r="F152" s="9" t="s">
        <v>1578</v>
      </c>
      <c r="G152" s="9" t="s">
        <v>462</v>
      </c>
      <c r="H152" s="27" t="s">
        <v>1510</v>
      </c>
      <c r="I152" s="27" t="s">
        <v>3487</v>
      </c>
      <c r="J152" s="10" t="n">
        <v>0</v>
      </c>
      <c r="K152" s="27" t="s">
        <v>3488</v>
      </c>
      <c r="L152" s="27" t="s">
        <v>86</v>
      </c>
      <c r="M152" s="27" t="s">
        <v>1580</v>
      </c>
      <c r="N152" s="23" t="s">
        <v>1497</v>
      </c>
      <c r="O152" s="9" t="s">
        <v>3489</v>
      </c>
    </row>
    <row r="153" customFormat="false" ht="19.5" hidden="false" customHeight="true" outlineLevel="0" collapsed="false">
      <c r="A153" s="25" t="s">
        <v>3638</v>
      </c>
      <c r="B153" s="25" t="s">
        <v>3483</v>
      </c>
      <c r="C153" s="25" t="s">
        <v>3484</v>
      </c>
      <c r="D153" s="25" t="s">
        <v>3485</v>
      </c>
      <c r="E153" s="25" t="s">
        <v>492</v>
      </c>
      <c r="F153" s="12" t="s">
        <v>1583</v>
      </c>
      <c r="G153" s="12" t="s">
        <v>462</v>
      </c>
      <c r="H153" s="25" t="s">
        <v>1510</v>
      </c>
      <c r="I153" s="25" t="s">
        <v>3487</v>
      </c>
      <c r="J153" s="13" t="n">
        <v>0</v>
      </c>
      <c r="K153" s="25" t="s">
        <v>3488</v>
      </c>
      <c r="L153" s="25" t="s">
        <v>86</v>
      </c>
      <c r="M153" s="25" t="s">
        <v>1580</v>
      </c>
      <c r="N153" s="22" t="s">
        <v>1497</v>
      </c>
      <c r="O153" s="12" t="s">
        <v>3489</v>
      </c>
    </row>
    <row r="154" customFormat="false" ht="19.5" hidden="false" customHeight="true" outlineLevel="0" collapsed="false">
      <c r="A154" s="27" t="s">
        <v>3639</v>
      </c>
      <c r="B154" s="27" t="s">
        <v>3483</v>
      </c>
      <c r="C154" s="27" t="s">
        <v>3484</v>
      </c>
      <c r="D154" s="27" t="s">
        <v>3485</v>
      </c>
      <c r="E154" s="27" t="s">
        <v>473</v>
      </c>
      <c r="F154" s="9" t="s">
        <v>1585</v>
      </c>
      <c r="G154" s="9" t="s">
        <v>462</v>
      </c>
      <c r="H154" s="27" t="s">
        <v>1510</v>
      </c>
      <c r="I154" s="27" t="s">
        <v>3487</v>
      </c>
      <c r="J154" s="10" t="n">
        <v>0</v>
      </c>
      <c r="K154" s="27" t="s">
        <v>3488</v>
      </c>
      <c r="L154" s="27" t="s">
        <v>86</v>
      </c>
      <c r="M154" s="27" t="s">
        <v>1580</v>
      </c>
      <c r="N154" s="23" t="s">
        <v>1497</v>
      </c>
      <c r="O154" s="9" t="s">
        <v>3489</v>
      </c>
    </row>
    <row r="155" customFormat="false" ht="19.5" hidden="false" customHeight="true" outlineLevel="0" collapsed="false">
      <c r="A155" s="25" t="s">
        <v>3640</v>
      </c>
      <c r="B155" s="25" t="s">
        <v>3483</v>
      </c>
      <c r="C155" s="25" t="s">
        <v>3484</v>
      </c>
      <c r="D155" s="25" t="s">
        <v>3485</v>
      </c>
      <c r="E155" s="25" t="s">
        <v>459</v>
      </c>
      <c r="F155" s="12" t="s">
        <v>1587</v>
      </c>
      <c r="G155" s="12" t="s">
        <v>462</v>
      </c>
      <c r="H155" s="25" t="s">
        <v>1510</v>
      </c>
      <c r="I155" s="25" t="s">
        <v>3487</v>
      </c>
      <c r="J155" s="13" t="n">
        <v>0</v>
      </c>
      <c r="K155" s="25" t="s">
        <v>3488</v>
      </c>
      <c r="L155" s="25" t="s">
        <v>86</v>
      </c>
      <c r="M155" s="25" t="s">
        <v>1580</v>
      </c>
      <c r="N155" s="22" t="s">
        <v>1497</v>
      </c>
      <c r="O155" s="12" t="s">
        <v>3489</v>
      </c>
    </row>
    <row r="156" customFormat="false" ht="19.5" hidden="false" customHeight="true" outlineLevel="0" collapsed="false">
      <c r="A156" s="27" t="s">
        <v>3641</v>
      </c>
      <c r="B156" s="27" t="s">
        <v>3483</v>
      </c>
      <c r="C156" s="27" t="s">
        <v>3484</v>
      </c>
      <c r="D156" s="27" t="s">
        <v>3485</v>
      </c>
      <c r="E156" s="27" t="s">
        <v>486</v>
      </c>
      <c r="F156" s="9" t="s">
        <v>1589</v>
      </c>
      <c r="G156" s="9" t="s">
        <v>462</v>
      </c>
      <c r="H156" s="27" t="s">
        <v>1510</v>
      </c>
      <c r="I156" s="27" t="s">
        <v>3487</v>
      </c>
      <c r="J156" s="10" t="n">
        <v>0</v>
      </c>
      <c r="K156" s="27" t="s">
        <v>3488</v>
      </c>
      <c r="L156" s="27" t="s">
        <v>86</v>
      </c>
      <c r="M156" s="27" t="s">
        <v>1580</v>
      </c>
      <c r="N156" s="23" t="s">
        <v>1497</v>
      </c>
      <c r="O156" s="9" t="s">
        <v>3489</v>
      </c>
    </row>
    <row r="157" customFormat="false" ht="19.5" hidden="false" customHeight="true" outlineLevel="0" collapsed="false">
      <c r="A157" s="25" t="s">
        <v>3642</v>
      </c>
      <c r="B157" s="25" t="s">
        <v>3483</v>
      </c>
      <c r="C157" s="25" t="s">
        <v>3484</v>
      </c>
      <c r="D157" s="25" t="s">
        <v>3485</v>
      </c>
      <c r="E157" s="25" t="s">
        <v>479</v>
      </c>
      <c r="F157" s="12" t="s">
        <v>1591</v>
      </c>
      <c r="G157" s="12" t="s">
        <v>462</v>
      </c>
      <c r="H157" s="25" t="s">
        <v>1510</v>
      </c>
      <c r="I157" s="25" t="s">
        <v>3487</v>
      </c>
      <c r="J157" s="13" t="n">
        <v>0</v>
      </c>
      <c r="K157" s="25" t="s">
        <v>3488</v>
      </c>
      <c r="L157" s="25" t="s">
        <v>86</v>
      </c>
      <c r="M157" s="25" t="s">
        <v>1580</v>
      </c>
      <c r="N157" s="22" t="s">
        <v>1497</v>
      </c>
      <c r="O157" s="12" t="s">
        <v>3489</v>
      </c>
    </row>
    <row r="158" customFormat="false" ht="19.5" hidden="false" customHeight="true" outlineLevel="0" collapsed="false">
      <c r="A158" s="27" t="s">
        <v>3643</v>
      </c>
      <c r="B158" s="27" t="s">
        <v>3483</v>
      </c>
      <c r="C158" s="27" t="s">
        <v>3484</v>
      </c>
      <c r="D158" s="27" t="s">
        <v>3485</v>
      </c>
      <c r="E158" s="27" t="s">
        <v>233</v>
      </c>
      <c r="F158" s="9" t="s">
        <v>1593</v>
      </c>
      <c r="G158" s="9" t="s">
        <v>236</v>
      </c>
      <c r="H158" s="27" t="s">
        <v>1510</v>
      </c>
      <c r="I158" s="27" t="s">
        <v>3487</v>
      </c>
      <c r="J158" s="10" t="n">
        <v>0</v>
      </c>
      <c r="K158" s="27" t="s">
        <v>3488</v>
      </c>
      <c r="L158" s="27" t="s">
        <v>86</v>
      </c>
      <c r="M158" s="27" t="s">
        <v>1580</v>
      </c>
      <c r="N158" s="23" t="s">
        <v>1497</v>
      </c>
      <c r="O158" s="9" t="s">
        <v>3489</v>
      </c>
    </row>
    <row r="159" customFormat="false" ht="19.5" hidden="false" customHeight="true" outlineLevel="0" collapsed="false">
      <c r="A159" s="25" t="s">
        <v>3644</v>
      </c>
      <c r="B159" s="25" t="s">
        <v>3483</v>
      </c>
      <c r="C159" s="25" t="s">
        <v>3484</v>
      </c>
      <c r="D159" s="25" t="s">
        <v>3485</v>
      </c>
      <c r="E159" s="25" t="s">
        <v>426</v>
      </c>
      <c r="F159" s="12" t="s">
        <v>1601</v>
      </c>
      <c r="G159" s="12" t="s">
        <v>219</v>
      </c>
      <c r="H159" s="25" t="s">
        <v>1510</v>
      </c>
      <c r="I159" s="25" t="s">
        <v>3487</v>
      </c>
      <c r="J159" s="13" t="n">
        <v>0</v>
      </c>
      <c r="K159" s="25" t="s">
        <v>3488</v>
      </c>
      <c r="L159" s="25" t="s">
        <v>86</v>
      </c>
      <c r="M159" s="25" t="s">
        <v>1580</v>
      </c>
      <c r="N159" s="22" t="s">
        <v>1497</v>
      </c>
      <c r="O159" s="12" t="s">
        <v>3489</v>
      </c>
    </row>
    <row r="160" customFormat="false" ht="19.5" hidden="false" customHeight="true" outlineLevel="0" collapsed="false">
      <c r="A160" s="27" t="s">
        <v>3645</v>
      </c>
      <c r="B160" s="27" t="s">
        <v>3483</v>
      </c>
      <c r="C160" s="27" t="s">
        <v>3484</v>
      </c>
      <c r="D160" s="27" t="s">
        <v>3485</v>
      </c>
      <c r="E160" s="27" t="s">
        <v>385</v>
      </c>
      <c r="F160" s="9" t="s">
        <v>1603</v>
      </c>
      <c r="G160" s="9" t="s">
        <v>219</v>
      </c>
      <c r="H160" s="27" t="s">
        <v>1510</v>
      </c>
      <c r="I160" s="27" t="s">
        <v>3487</v>
      </c>
      <c r="J160" s="10" t="n">
        <v>0</v>
      </c>
      <c r="K160" s="27" t="s">
        <v>3488</v>
      </c>
      <c r="L160" s="27" t="s">
        <v>86</v>
      </c>
      <c r="M160" s="27" t="s">
        <v>1580</v>
      </c>
      <c r="N160" s="23" t="s">
        <v>1497</v>
      </c>
      <c r="O160" s="9" t="s">
        <v>3489</v>
      </c>
    </row>
    <row r="161" customFormat="false" ht="19.5" hidden="false" customHeight="true" outlineLevel="0" collapsed="false">
      <c r="A161" s="25" t="s">
        <v>3646</v>
      </c>
      <c r="B161" s="25" t="s">
        <v>3483</v>
      </c>
      <c r="C161" s="25" t="s">
        <v>3484</v>
      </c>
      <c r="D161" s="25" t="s">
        <v>3485</v>
      </c>
      <c r="E161" s="25" t="s">
        <v>392</v>
      </c>
      <c r="F161" s="12" t="s">
        <v>1605</v>
      </c>
      <c r="G161" s="12" t="s">
        <v>219</v>
      </c>
      <c r="H161" s="25" t="s">
        <v>1510</v>
      </c>
      <c r="I161" s="25" t="s">
        <v>3487</v>
      </c>
      <c r="J161" s="13" t="n">
        <v>0</v>
      </c>
      <c r="K161" s="25" t="s">
        <v>3488</v>
      </c>
      <c r="L161" s="25" t="s">
        <v>86</v>
      </c>
      <c r="M161" s="25" t="s">
        <v>1580</v>
      </c>
      <c r="N161" s="22" t="s">
        <v>1497</v>
      </c>
      <c r="O161" s="12" t="s">
        <v>3489</v>
      </c>
    </row>
    <row r="162" customFormat="false" ht="19.5" hidden="false" customHeight="true" outlineLevel="0" collapsed="false">
      <c r="A162" s="27" t="s">
        <v>3647</v>
      </c>
      <c r="B162" s="27" t="s">
        <v>3483</v>
      </c>
      <c r="C162" s="27" t="s">
        <v>3484</v>
      </c>
      <c r="D162" s="27" t="s">
        <v>3485</v>
      </c>
      <c r="E162" s="27" t="s">
        <v>399</v>
      </c>
      <c r="F162" s="9" t="s">
        <v>1607</v>
      </c>
      <c r="G162" s="9" t="s">
        <v>219</v>
      </c>
      <c r="H162" s="27" t="s">
        <v>1510</v>
      </c>
      <c r="I162" s="27" t="s">
        <v>3487</v>
      </c>
      <c r="J162" s="10" t="n">
        <v>0.8</v>
      </c>
      <c r="K162" s="27" t="s">
        <v>3488</v>
      </c>
      <c r="L162" s="27" t="s">
        <v>86</v>
      </c>
      <c r="M162" s="27" t="s">
        <v>1580</v>
      </c>
      <c r="N162" s="23" t="s">
        <v>1497</v>
      </c>
      <c r="O162" s="9" t="s">
        <v>3489</v>
      </c>
    </row>
    <row r="163" customFormat="false" ht="19.5" hidden="false" customHeight="true" outlineLevel="0" collapsed="false">
      <c r="A163" s="25" t="s">
        <v>3648</v>
      </c>
      <c r="B163" s="25" t="s">
        <v>3483</v>
      </c>
      <c r="C163" s="25" t="s">
        <v>3484</v>
      </c>
      <c r="D163" s="25" t="s">
        <v>3485</v>
      </c>
      <c r="E163" s="25" t="s">
        <v>433</v>
      </c>
      <c r="F163" s="12" t="s">
        <v>1609</v>
      </c>
      <c r="G163" s="12" t="s">
        <v>219</v>
      </c>
      <c r="H163" s="25" t="s">
        <v>1510</v>
      </c>
      <c r="I163" s="25" t="s">
        <v>3487</v>
      </c>
      <c r="J163" s="13" t="n">
        <v>0</v>
      </c>
      <c r="K163" s="25" t="s">
        <v>3488</v>
      </c>
      <c r="L163" s="25" t="s">
        <v>86</v>
      </c>
      <c r="M163" s="25" t="s">
        <v>1580</v>
      </c>
      <c r="N163" s="22" t="s">
        <v>1497</v>
      </c>
      <c r="O163" s="12" t="s">
        <v>3489</v>
      </c>
    </row>
    <row r="164" customFormat="false" ht="19.5" hidden="false" customHeight="true" outlineLevel="0" collapsed="false">
      <c r="A164" s="27" t="s">
        <v>3649</v>
      </c>
      <c r="B164" s="27" t="s">
        <v>3483</v>
      </c>
      <c r="C164" s="27" t="s">
        <v>3484</v>
      </c>
      <c r="D164" s="27" t="s">
        <v>3485</v>
      </c>
      <c r="E164" s="27" t="s">
        <v>405</v>
      </c>
      <c r="F164" s="9" t="s">
        <v>1611</v>
      </c>
      <c r="G164" s="9" t="s">
        <v>219</v>
      </c>
      <c r="H164" s="27" t="s">
        <v>1510</v>
      </c>
      <c r="I164" s="27" t="s">
        <v>3487</v>
      </c>
      <c r="J164" s="10" t="n">
        <v>0</v>
      </c>
      <c r="K164" s="27" t="s">
        <v>3488</v>
      </c>
      <c r="L164" s="27" t="s">
        <v>86</v>
      </c>
      <c r="M164" s="27" t="s">
        <v>1580</v>
      </c>
      <c r="N164" s="23" t="s">
        <v>1497</v>
      </c>
      <c r="O164" s="9" t="s">
        <v>3489</v>
      </c>
    </row>
    <row r="165" customFormat="false" ht="19.5" hidden="false" customHeight="true" outlineLevel="0" collapsed="false">
      <c r="A165" s="25" t="s">
        <v>3650</v>
      </c>
      <c r="B165" s="25" t="s">
        <v>3483</v>
      </c>
      <c r="C165" s="25" t="s">
        <v>3484</v>
      </c>
      <c r="D165" s="25" t="s">
        <v>3485</v>
      </c>
      <c r="E165" s="25" t="s">
        <v>411</v>
      </c>
      <c r="F165" s="12" t="s">
        <v>1613</v>
      </c>
      <c r="G165" s="12" t="s">
        <v>219</v>
      </c>
      <c r="H165" s="25" t="s">
        <v>1510</v>
      </c>
      <c r="I165" s="25" t="s">
        <v>3487</v>
      </c>
      <c r="J165" s="13" t="n">
        <v>0</v>
      </c>
      <c r="K165" s="25" t="s">
        <v>3488</v>
      </c>
      <c r="L165" s="25" t="s">
        <v>86</v>
      </c>
      <c r="M165" s="25" t="s">
        <v>1580</v>
      </c>
      <c r="N165" s="22" t="s">
        <v>1497</v>
      </c>
      <c r="O165" s="12" t="s">
        <v>3489</v>
      </c>
    </row>
    <row r="166" customFormat="false" ht="19.5" hidden="false" customHeight="true" outlineLevel="0" collapsed="false">
      <c r="A166" s="27" t="s">
        <v>3651</v>
      </c>
      <c r="B166" s="27" t="s">
        <v>3483</v>
      </c>
      <c r="C166" s="27" t="s">
        <v>3484</v>
      </c>
      <c r="D166" s="27" t="s">
        <v>3485</v>
      </c>
      <c r="E166" s="27" t="s">
        <v>416</v>
      </c>
      <c r="F166" s="9" t="s">
        <v>1615</v>
      </c>
      <c r="G166" s="9" t="s">
        <v>219</v>
      </c>
      <c r="H166" s="27" t="s">
        <v>1510</v>
      </c>
      <c r="I166" s="27" t="s">
        <v>3487</v>
      </c>
      <c r="J166" s="10" t="n">
        <v>0</v>
      </c>
      <c r="K166" s="27" t="s">
        <v>3488</v>
      </c>
      <c r="L166" s="27" t="s">
        <v>86</v>
      </c>
      <c r="M166" s="27" t="s">
        <v>1580</v>
      </c>
      <c r="N166" s="23" t="s">
        <v>1497</v>
      </c>
      <c r="O166" s="9" t="s">
        <v>3489</v>
      </c>
    </row>
    <row r="167" customFormat="false" ht="19.5" hidden="false" customHeight="true" outlineLevel="0" collapsed="false">
      <c r="A167" s="25" t="s">
        <v>3652</v>
      </c>
      <c r="B167" s="25" t="s">
        <v>3483</v>
      </c>
      <c r="C167" s="25" t="s">
        <v>3484</v>
      </c>
      <c r="D167" s="25" t="s">
        <v>3485</v>
      </c>
      <c r="E167" s="25" t="s">
        <v>377</v>
      </c>
      <c r="F167" s="12" t="s">
        <v>1617</v>
      </c>
      <c r="G167" s="12" t="s">
        <v>219</v>
      </c>
      <c r="H167" s="25" t="s">
        <v>1510</v>
      </c>
      <c r="I167" s="25" t="s">
        <v>3487</v>
      </c>
      <c r="J167" s="13" t="n">
        <v>0</v>
      </c>
      <c r="K167" s="25" t="s">
        <v>3488</v>
      </c>
      <c r="L167" s="25" t="s">
        <v>86</v>
      </c>
      <c r="M167" s="25" t="s">
        <v>1580</v>
      </c>
      <c r="N167" s="22" t="s">
        <v>1497</v>
      </c>
      <c r="O167" s="12" t="s">
        <v>3489</v>
      </c>
    </row>
    <row r="168" customFormat="false" ht="19.5" hidden="false" customHeight="true" outlineLevel="0" collapsed="false">
      <c r="A168" s="27" t="s">
        <v>3653</v>
      </c>
      <c r="B168" s="27" t="s">
        <v>3483</v>
      </c>
      <c r="C168" s="27" t="s">
        <v>3484</v>
      </c>
      <c r="D168" s="27" t="s">
        <v>3485</v>
      </c>
      <c r="E168" s="27" t="s">
        <v>420</v>
      </c>
      <c r="F168" s="9" t="s">
        <v>1619</v>
      </c>
      <c r="G168" s="9" t="s">
        <v>219</v>
      </c>
      <c r="H168" s="27" t="s">
        <v>1510</v>
      </c>
      <c r="I168" s="27" t="s">
        <v>3487</v>
      </c>
      <c r="J168" s="10" t="n">
        <v>0</v>
      </c>
      <c r="K168" s="27" t="s">
        <v>3488</v>
      </c>
      <c r="L168" s="27" t="s">
        <v>86</v>
      </c>
      <c r="M168" s="27" t="s">
        <v>1580</v>
      </c>
      <c r="N168" s="23" t="s">
        <v>1497</v>
      </c>
      <c r="O168" s="9" t="s">
        <v>3489</v>
      </c>
    </row>
    <row r="169" customFormat="false" ht="19.5" hidden="false" customHeight="true" outlineLevel="0" collapsed="false">
      <c r="A169" s="25" t="s">
        <v>3654</v>
      </c>
      <c r="B169" s="25" t="s">
        <v>3483</v>
      </c>
      <c r="C169" s="25" t="s">
        <v>3484</v>
      </c>
      <c r="D169" s="25" t="s">
        <v>3485</v>
      </c>
      <c r="E169" s="25" t="s">
        <v>250</v>
      </c>
      <c r="F169" s="12" t="s">
        <v>1621</v>
      </c>
      <c r="G169" s="12" t="s">
        <v>219</v>
      </c>
      <c r="H169" s="25" t="s">
        <v>1510</v>
      </c>
      <c r="I169" s="25" t="s">
        <v>3487</v>
      </c>
      <c r="J169" s="13" t="n">
        <v>0</v>
      </c>
      <c r="K169" s="25" t="s">
        <v>3488</v>
      </c>
      <c r="L169" s="25" t="s">
        <v>86</v>
      </c>
      <c r="M169" s="25" t="s">
        <v>1580</v>
      </c>
      <c r="N169" s="22" t="s">
        <v>1497</v>
      </c>
      <c r="O169" s="12" t="s">
        <v>3489</v>
      </c>
    </row>
    <row r="170" customFormat="false" ht="19.5" hidden="false" customHeight="true" outlineLevel="0" collapsed="false">
      <c r="A170" s="27" t="s">
        <v>3655</v>
      </c>
      <c r="B170" s="27" t="s">
        <v>3483</v>
      </c>
      <c r="C170" s="27" t="s">
        <v>3484</v>
      </c>
      <c r="D170" s="27" t="s">
        <v>3485</v>
      </c>
      <c r="E170" s="27" t="s">
        <v>312</v>
      </c>
      <c r="F170" s="9" t="s">
        <v>3213</v>
      </c>
      <c r="G170" s="9" t="s">
        <v>295</v>
      </c>
      <c r="H170" s="27" t="s">
        <v>1510</v>
      </c>
      <c r="I170" s="27" t="s">
        <v>3487</v>
      </c>
      <c r="J170" s="10" t="n">
        <v>0</v>
      </c>
      <c r="K170" s="27" t="s">
        <v>3488</v>
      </c>
      <c r="L170" s="27" t="s">
        <v>86</v>
      </c>
      <c r="M170" s="27" t="s">
        <v>1580</v>
      </c>
      <c r="N170" s="23" t="s">
        <v>1497</v>
      </c>
      <c r="O170" s="9" t="s">
        <v>3489</v>
      </c>
    </row>
    <row r="171" customFormat="false" ht="19.5" hidden="false" customHeight="true" outlineLevel="0" collapsed="false">
      <c r="A171" s="25" t="s">
        <v>3656</v>
      </c>
      <c r="B171" s="25" t="s">
        <v>3483</v>
      </c>
      <c r="C171" s="25" t="s">
        <v>3484</v>
      </c>
      <c r="D171" s="25" t="s">
        <v>3485</v>
      </c>
      <c r="E171" s="25" t="s">
        <v>226</v>
      </c>
      <c r="F171" s="12" t="s">
        <v>1623</v>
      </c>
      <c r="G171" s="12" t="s">
        <v>219</v>
      </c>
      <c r="H171" s="25" t="s">
        <v>1510</v>
      </c>
      <c r="I171" s="25" t="s">
        <v>3487</v>
      </c>
      <c r="J171" s="13" t="n">
        <v>0</v>
      </c>
      <c r="K171" s="25" t="s">
        <v>3488</v>
      </c>
      <c r="L171" s="25" t="s">
        <v>86</v>
      </c>
      <c r="M171" s="25" t="s">
        <v>1580</v>
      </c>
      <c r="N171" s="22" t="s">
        <v>1497</v>
      </c>
      <c r="O171" s="12" t="s">
        <v>3489</v>
      </c>
    </row>
    <row r="172" customFormat="false" ht="19.5" hidden="false" customHeight="true" outlineLevel="0" collapsed="false">
      <c r="A172" s="27" t="s">
        <v>3657</v>
      </c>
      <c r="B172" s="27" t="s">
        <v>3483</v>
      </c>
      <c r="C172" s="27" t="s">
        <v>3484</v>
      </c>
      <c r="D172" s="27" t="s">
        <v>3485</v>
      </c>
      <c r="E172" s="27" t="s">
        <v>319</v>
      </c>
      <c r="F172" s="9" t="s">
        <v>3217</v>
      </c>
      <c r="G172" s="9" t="s">
        <v>295</v>
      </c>
      <c r="H172" s="27" t="s">
        <v>1510</v>
      </c>
      <c r="I172" s="27" t="s">
        <v>3487</v>
      </c>
      <c r="J172" s="10" t="n">
        <v>0</v>
      </c>
      <c r="K172" s="27" t="s">
        <v>3488</v>
      </c>
      <c r="L172" s="27" t="s">
        <v>86</v>
      </c>
      <c r="M172" s="27" t="s">
        <v>1580</v>
      </c>
      <c r="N172" s="23" t="s">
        <v>1497</v>
      </c>
      <c r="O172" s="9" t="s">
        <v>3489</v>
      </c>
    </row>
    <row r="173" customFormat="false" ht="19.5" hidden="false" customHeight="true" outlineLevel="0" collapsed="false">
      <c r="A173" s="25" t="s">
        <v>3658</v>
      </c>
      <c r="B173" s="25" t="s">
        <v>3483</v>
      </c>
      <c r="C173" s="25" t="s">
        <v>3484</v>
      </c>
      <c r="D173" s="25" t="s">
        <v>3485</v>
      </c>
      <c r="E173" s="25" t="s">
        <v>292</v>
      </c>
      <c r="F173" s="12" t="s">
        <v>3219</v>
      </c>
      <c r="G173" s="12" t="s">
        <v>295</v>
      </c>
      <c r="H173" s="25" t="s">
        <v>1510</v>
      </c>
      <c r="I173" s="25" t="s">
        <v>3487</v>
      </c>
      <c r="J173" s="13" t="n">
        <v>0</v>
      </c>
      <c r="K173" s="25" t="s">
        <v>3488</v>
      </c>
      <c r="L173" s="25" t="s">
        <v>86</v>
      </c>
      <c r="M173" s="25" t="s">
        <v>1580</v>
      </c>
      <c r="N173" s="22" t="s">
        <v>1497</v>
      </c>
      <c r="O173" s="12" t="s">
        <v>3489</v>
      </c>
    </row>
    <row r="174" customFormat="false" ht="19.5" hidden="false" customHeight="true" outlineLevel="0" collapsed="false">
      <c r="A174" s="27" t="s">
        <v>3659</v>
      </c>
      <c r="B174" s="27" t="s">
        <v>3483</v>
      </c>
      <c r="C174" s="27" t="s">
        <v>3484</v>
      </c>
      <c r="D174" s="27" t="s">
        <v>3485</v>
      </c>
      <c r="E174" s="27" t="s">
        <v>215</v>
      </c>
      <c r="F174" s="9" t="s">
        <v>1625</v>
      </c>
      <c r="G174" s="9" t="s">
        <v>219</v>
      </c>
      <c r="H174" s="27" t="s">
        <v>1510</v>
      </c>
      <c r="I174" s="27" t="s">
        <v>3487</v>
      </c>
      <c r="J174" s="10" t="n">
        <v>0</v>
      </c>
      <c r="K174" s="27" t="s">
        <v>3488</v>
      </c>
      <c r="L174" s="27" t="s">
        <v>86</v>
      </c>
      <c r="M174" s="27" t="s">
        <v>1580</v>
      </c>
      <c r="N174" s="23" t="s">
        <v>1497</v>
      </c>
      <c r="O174" s="9" t="s">
        <v>3489</v>
      </c>
    </row>
    <row r="175" customFormat="false" ht="19.5" hidden="false" customHeight="true" outlineLevel="0" collapsed="false">
      <c r="A175" s="25" t="s">
        <v>3660</v>
      </c>
      <c r="B175" s="25" t="s">
        <v>3483</v>
      </c>
      <c r="C175" s="25" t="s">
        <v>3484</v>
      </c>
      <c r="D175" s="25" t="s">
        <v>3485</v>
      </c>
      <c r="E175" s="25" t="s">
        <v>257</v>
      </c>
      <c r="F175" s="12" t="s">
        <v>1627</v>
      </c>
      <c r="G175" s="12" t="s">
        <v>219</v>
      </c>
      <c r="H175" s="25" t="s">
        <v>1510</v>
      </c>
      <c r="I175" s="25" t="s">
        <v>3487</v>
      </c>
      <c r="J175" s="13" t="n">
        <v>0</v>
      </c>
      <c r="K175" s="25" t="s">
        <v>3488</v>
      </c>
      <c r="L175" s="25" t="s">
        <v>86</v>
      </c>
      <c r="M175" s="25" t="s">
        <v>1580</v>
      </c>
      <c r="N175" s="22" t="s">
        <v>1497</v>
      </c>
      <c r="O175" s="12" t="s">
        <v>3489</v>
      </c>
    </row>
    <row r="176" customFormat="false" ht="19.5" hidden="false" customHeight="true" outlineLevel="0" collapsed="false">
      <c r="A176" s="27" t="s">
        <v>3661</v>
      </c>
      <c r="B176" s="27" t="s">
        <v>3483</v>
      </c>
      <c r="C176" s="27" t="s">
        <v>3484</v>
      </c>
      <c r="D176" s="27" t="s">
        <v>3485</v>
      </c>
      <c r="E176" s="27" t="s">
        <v>334</v>
      </c>
      <c r="F176" s="9" t="s">
        <v>3186</v>
      </c>
      <c r="G176" s="9" t="s">
        <v>3486</v>
      </c>
      <c r="H176" s="27" t="s">
        <v>1532</v>
      </c>
      <c r="I176" s="27" t="s">
        <v>3487</v>
      </c>
      <c r="J176" s="10" t="n">
        <v>0</v>
      </c>
      <c r="K176" s="27" t="s">
        <v>3488</v>
      </c>
      <c r="L176" s="27" t="s">
        <v>86</v>
      </c>
      <c r="M176" s="27" t="s">
        <v>1580</v>
      </c>
      <c r="N176" s="23" t="s">
        <v>1517</v>
      </c>
      <c r="O176" s="9" t="s">
        <v>3489</v>
      </c>
    </row>
    <row r="177" customFormat="false" ht="19.5" hidden="false" customHeight="true" outlineLevel="0" collapsed="false">
      <c r="A177" s="25" t="s">
        <v>3662</v>
      </c>
      <c r="B177" s="25" t="s">
        <v>3483</v>
      </c>
      <c r="C177" s="25" t="s">
        <v>3484</v>
      </c>
      <c r="D177" s="25" t="s">
        <v>3485</v>
      </c>
      <c r="E177" s="25" t="s">
        <v>328</v>
      </c>
      <c r="F177" s="12" t="s">
        <v>3189</v>
      </c>
      <c r="G177" s="12" t="s">
        <v>3491</v>
      </c>
      <c r="H177" s="25" t="s">
        <v>1532</v>
      </c>
      <c r="I177" s="25" t="s">
        <v>3487</v>
      </c>
      <c r="J177" s="13" t="n">
        <v>0</v>
      </c>
      <c r="K177" s="25" t="s">
        <v>3488</v>
      </c>
      <c r="L177" s="25" t="s">
        <v>86</v>
      </c>
      <c r="M177" s="25" t="s">
        <v>1580</v>
      </c>
      <c r="N177" s="22" t="s">
        <v>1517</v>
      </c>
      <c r="O177" s="12" t="s">
        <v>3489</v>
      </c>
    </row>
    <row r="178" customFormat="false" ht="19.5" hidden="false" customHeight="true" outlineLevel="0" collapsed="false">
      <c r="A178" s="27" t="s">
        <v>3663</v>
      </c>
      <c r="B178" s="27" t="s">
        <v>3483</v>
      </c>
      <c r="C178" s="27" t="s">
        <v>3484</v>
      </c>
      <c r="D178" s="27" t="s">
        <v>3485</v>
      </c>
      <c r="E178" s="27" t="s">
        <v>466</v>
      </c>
      <c r="F178" s="9" t="s">
        <v>1578</v>
      </c>
      <c r="G178" s="9" t="s">
        <v>462</v>
      </c>
      <c r="H178" s="27" t="s">
        <v>1532</v>
      </c>
      <c r="I178" s="27" t="s">
        <v>3487</v>
      </c>
      <c r="J178" s="10" t="n">
        <v>0</v>
      </c>
      <c r="K178" s="27" t="s">
        <v>3488</v>
      </c>
      <c r="L178" s="27" t="s">
        <v>86</v>
      </c>
      <c r="M178" s="27" t="s">
        <v>1580</v>
      </c>
      <c r="N178" s="23" t="s">
        <v>1517</v>
      </c>
      <c r="O178" s="9" t="s">
        <v>3489</v>
      </c>
    </row>
    <row r="179" customFormat="false" ht="19.5" hidden="false" customHeight="true" outlineLevel="0" collapsed="false">
      <c r="A179" s="25" t="s">
        <v>3664</v>
      </c>
      <c r="B179" s="25" t="s">
        <v>3483</v>
      </c>
      <c r="C179" s="25" t="s">
        <v>3484</v>
      </c>
      <c r="D179" s="25" t="s">
        <v>3485</v>
      </c>
      <c r="E179" s="25" t="s">
        <v>492</v>
      </c>
      <c r="F179" s="12" t="s">
        <v>1583</v>
      </c>
      <c r="G179" s="12" t="s">
        <v>462</v>
      </c>
      <c r="H179" s="25" t="s">
        <v>1532</v>
      </c>
      <c r="I179" s="25" t="s">
        <v>3487</v>
      </c>
      <c r="J179" s="13" t="n">
        <v>0</v>
      </c>
      <c r="K179" s="25" t="s">
        <v>3488</v>
      </c>
      <c r="L179" s="25" t="s">
        <v>86</v>
      </c>
      <c r="M179" s="25" t="s">
        <v>1580</v>
      </c>
      <c r="N179" s="22" t="s">
        <v>1517</v>
      </c>
      <c r="O179" s="12" t="s">
        <v>3489</v>
      </c>
    </row>
    <row r="180" customFormat="false" ht="19.5" hidden="false" customHeight="true" outlineLevel="0" collapsed="false">
      <c r="A180" s="27" t="s">
        <v>3665</v>
      </c>
      <c r="B180" s="27" t="s">
        <v>3483</v>
      </c>
      <c r="C180" s="27" t="s">
        <v>3484</v>
      </c>
      <c r="D180" s="27" t="s">
        <v>3485</v>
      </c>
      <c r="E180" s="27" t="s">
        <v>473</v>
      </c>
      <c r="F180" s="9" t="s">
        <v>1585</v>
      </c>
      <c r="G180" s="9" t="s">
        <v>462</v>
      </c>
      <c r="H180" s="27" t="s">
        <v>1532</v>
      </c>
      <c r="I180" s="27" t="s">
        <v>3487</v>
      </c>
      <c r="J180" s="10" t="n">
        <v>0</v>
      </c>
      <c r="K180" s="27" t="s">
        <v>3488</v>
      </c>
      <c r="L180" s="27" t="s">
        <v>86</v>
      </c>
      <c r="M180" s="27" t="s">
        <v>1580</v>
      </c>
      <c r="N180" s="23" t="s">
        <v>1517</v>
      </c>
      <c r="O180" s="9" t="s">
        <v>3489</v>
      </c>
    </row>
    <row r="181" customFormat="false" ht="19.5" hidden="false" customHeight="true" outlineLevel="0" collapsed="false">
      <c r="A181" s="25" t="s">
        <v>3666</v>
      </c>
      <c r="B181" s="25" t="s">
        <v>3483</v>
      </c>
      <c r="C181" s="25" t="s">
        <v>3484</v>
      </c>
      <c r="D181" s="25" t="s">
        <v>3485</v>
      </c>
      <c r="E181" s="25" t="s">
        <v>459</v>
      </c>
      <c r="F181" s="12" t="s">
        <v>1587</v>
      </c>
      <c r="G181" s="12" t="s">
        <v>462</v>
      </c>
      <c r="H181" s="25" t="s">
        <v>1532</v>
      </c>
      <c r="I181" s="25" t="s">
        <v>3487</v>
      </c>
      <c r="J181" s="13" t="n">
        <v>0</v>
      </c>
      <c r="K181" s="25" t="s">
        <v>3488</v>
      </c>
      <c r="L181" s="25" t="s">
        <v>86</v>
      </c>
      <c r="M181" s="25" t="s">
        <v>1580</v>
      </c>
      <c r="N181" s="22" t="s">
        <v>1517</v>
      </c>
      <c r="O181" s="12" t="s">
        <v>3489</v>
      </c>
    </row>
    <row r="182" customFormat="false" ht="19.5" hidden="false" customHeight="true" outlineLevel="0" collapsed="false">
      <c r="A182" s="27" t="s">
        <v>3667</v>
      </c>
      <c r="B182" s="27" t="s">
        <v>3483</v>
      </c>
      <c r="C182" s="27" t="s">
        <v>3484</v>
      </c>
      <c r="D182" s="27" t="s">
        <v>3485</v>
      </c>
      <c r="E182" s="27" t="s">
        <v>486</v>
      </c>
      <c r="F182" s="9" t="s">
        <v>1589</v>
      </c>
      <c r="G182" s="9" t="s">
        <v>462</v>
      </c>
      <c r="H182" s="27" t="s">
        <v>1532</v>
      </c>
      <c r="I182" s="27" t="s">
        <v>3487</v>
      </c>
      <c r="J182" s="10" t="n">
        <v>0</v>
      </c>
      <c r="K182" s="27" t="s">
        <v>3488</v>
      </c>
      <c r="L182" s="27" t="s">
        <v>86</v>
      </c>
      <c r="M182" s="27" t="s">
        <v>1580</v>
      </c>
      <c r="N182" s="23" t="s">
        <v>1517</v>
      </c>
      <c r="O182" s="9" t="s">
        <v>3489</v>
      </c>
    </row>
    <row r="183" customFormat="false" ht="19.5" hidden="false" customHeight="true" outlineLevel="0" collapsed="false">
      <c r="A183" s="25" t="s">
        <v>3668</v>
      </c>
      <c r="B183" s="25" t="s">
        <v>3483</v>
      </c>
      <c r="C183" s="25" t="s">
        <v>3484</v>
      </c>
      <c r="D183" s="25" t="s">
        <v>3485</v>
      </c>
      <c r="E183" s="25" t="s">
        <v>479</v>
      </c>
      <c r="F183" s="12" t="s">
        <v>1591</v>
      </c>
      <c r="G183" s="12" t="s">
        <v>462</v>
      </c>
      <c r="H183" s="25" t="s">
        <v>1532</v>
      </c>
      <c r="I183" s="25" t="s">
        <v>3487</v>
      </c>
      <c r="J183" s="13" t="n">
        <v>0</v>
      </c>
      <c r="K183" s="25" t="s">
        <v>3488</v>
      </c>
      <c r="L183" s="25" t="s">
        <v>86</v>
      </c>
      <c r="M183" s="25" t="s">
        <v>1580</v>
      </c>
      <c r="N183" s="22" t="s">
        <v>1517</v>
      </c>
      <c r="O183" s="12" t="s">
        <v>3489</v>
      </c>
    </row>
    <row r="184" customFormat="false" ht="19.5" hidden="false" customHeight="true" outlineLevel="0" collapsed="false">
      <c r="A184" s="27" t="s">
        <v>3669</v>
      </c>
      <c r="B184" s="27" t="s">
        <v>3483</v>
      </c>
      <c r="C184" s="27" t="s">
        <v>3484</v>
      </c>
      <c r="D184" s="27" t="s">
        <v>3485</v>
      </c>
      <c r="E184" s="27" t="s">
        <v>233</v>
      </c>
      <c r="F184" s="9" t="s">
        <v>1593</v>
      </c>
      <c r="G184" s="9" t="s">
        <v>236</v>
      </c>
      <c r="H184" s="27" t="s">
        <v>1532</v>
      </c>
      <c r="I184" s="27" t="s">
        <v>3487</v>
      </c>
      <c r="J184" s="10" t="n">
        <v>4.4</v>
      </c>
      <c r="K184" s="27" t="s">
        <v>3488</v>
      </c>
      <c r="L184" s="27" t="s">
        <v>86</v>
      </c>
      <c r="M184" s="27" t="s">
        <v>1580</v>
      </c>
      <c r="N184" s="23" t="s">
        <v>1517</v>
      </c>
      <c r="O184" s="9" t="s">
        <v>3489</v>
      </c>
    </row>
    <row r="185" customFormat="false" ht="19.5" hidden="false" customHeight="true" outlineLevel="0" collapsed="false">
      <c r="A185" s="25" t="s">
        <v>3670</v>
      </c>
      <c r="B185" s="25" t="s">
        <v>3483</v>
      </c>
      <c r="C185" s="25" t="s">
        <v>3484</v>
      </c>
      <c r="D185" s="25" t="s">
        <v>3485</v>
      </c>
      <c r="E185" s="25" t="s">
        <v>448</v>
      </c>
      <c r="F185" s="12" t="s">
        <v>1595</v>
      </c>
      <c r="G185" s="12" t="s">
        <v>219</v>
      </c>
      <c r="H185" s="25" t="s">
        <v>1532</v>
      </c>
      <c r="I185" s="25" t="s">
        <v>3487</v>
      </c>
      <c r="J185" s="13" t="n">
        <v>0</v>
      </c>
      <c r="K185" s="25" t="s">
        <v>3488</v>
      </c>
      <c r="L185" s="25" t="s">
        <v>86</v>
      </c>
      <c r="M185" s="25" t="s">
        <v>1580</v>
      </c>
      <c r="N185" s="22" t="s">
        <v>1517</v>
      </c>
      <c r="O185" s="12" t="s">
        <v>3489</v>
      </c>
    </row>
    <row r="186" customFormat="false" ht="19.5" hidden="false" customHeight="true" outlineLevel="0" collapsed="false">
      <c r="A186" s="27" t="s">
        <v>3671</v>
      </c>
      <c r="B186" s="27" t="s">
        <v>3483</v>
      </c>
      <c r="C186" s="27" t="s">
        <v>3484</v>
      </c>
      <c r="D186" s="27" t="s">
        <v>3485</v>
      </c>
      <c r="E186" s="27" t="s">
        <v>455</v>
      </c>
      <c r="F186" s="9" t="s">
        <v>1597</v>
      </c>
      <c r="G186" s="9" t="s">
        <v>219</v>
      </c>
      <c r="H186" s="27" t="s">
        <v>1532</v>
      </c>
      <c r="I186" s="27" t="s">
        <v>3487</v>
      </c>
      <c r="J186" s="10" t="n">
        <v>0</v>
      </c>
      <c r="K186" s="27" t="s">
        <v>3488</v>
      </c>
      <c r="L186" s="27" t="s">
        <v>86</v>
      </c>
      <c r="M186" s="27" t="s">
        <v>1580</v>
      </c>
      <c r="N186" s="23" t="s">
        <v>1517</v>
      </c>
      <c r="O186" s="9" t="s">
        <v>3489</v>
      </c>
    </row>
    <row r="187" customFormat="false" ht="19.5" hidden="false" customHeight="true" outlineLevel="0" collapsed="false">
      <c r="A187" s="25" t="s">
        <v>3672</v>
      </c>
      <c r="B187" s="25" t="s">
        <v>3483</v>
      </c>
      <c r="C187" s="25" t="s">
        <v>3484</v>
      </c>
      <c r="D187" s="25" t="s">
        <v>3485</v>
      </c>
      <c r="E187" s="25" t="s">
        <v>439</v>
      </c>
      <c r="F187" s="12" t="s">
        <v>1599</v>
      </c>
      <c r="G187" s="12" t="s">
        <v>219</v>
      </c>
      <c r="H187" s="25" t="s">
        <v>1532</v>
      </c>
      <c r="I187" s="25" t="s">
        <v>3487</v>
      </c>
      <c r="J187" s="13" t="n">
        <v>0</v>
      </c>
      <c r="K187" s="25" t="s">
        <v>3488</v>
      </c>
      <c r="L187" s="25" t="s">
        <v>86</v>
      </c>
      <c r="M187" s="25" t="s">
        <v>1580</v>
      </c>
      <c r="N187" s="22" t="s">
        <v>1517</v>
      </c>
      <c r="O187" s="12" t="s">
        <v>3489</v>
      </c>
    </row>
    <row r="188" customFormat="false" ht="19.5" hidden="false" customHeight="true" outlineLevel="0" collapsed="false">
      <c r="A188" s="27" t="s">
        <v>3673</v>
      </c>
      <c r="B188" s="27" t="s">
        <v>3483</v>
      </c>
      <c r="C188" s="27" t="s">
        <v>3484</v>
      </c>
      <c r="D188" s="27" t="s">
        <v>3485</v>
      </c>
      <c r="E188" s="27" t="s">
        <v>426</v>
      </c>
      <c r="F188" s="9" t="s">
        <v>1601</v>
      </c>
      <c r="G188" s="9" t="s">
        <v>219</v>
      </c>
      <c r="H188" s="27" t="s">
        <v>1532</v>
      </c>
      <c r="I188" s="27" t="s">
        <v>3487</v>
      </c>
      <c r="J188" s="10" t="n">
        <v>0</v>
      </c>
      <c r="K188" s="27" t="s">
        <v>3488</v>
      </c>
      <c r="L188" s="27" t="s">
        <v>86</v>
      </c>
      <c r="M188" s="27" t="s">
        <v>1580</v>
      </c>
      <c r="N188" s="23" t="s">
        <v>1517</v>
      </c>
      <c r="O188" s="9" t="s">
        <v>3489</v>
      </c>
    </row>
    <row r="189" customFormat="false" ht="19.5" hidden="false" customHeight="true" outlineLevel="0" collapsed="false">
      <c r="A189" s="25" t="s">
        <v>3674</v>
      </c>
      <c r="B189" s="25" t="s">
        <v>3483</v>
      </c>
      <c r="C189" s="25" t="s">
        <v>3484</v>
      </c>
      <c r="D189" s="25" t="s">
        <v>3485</v>
      </c>
      <c r="E189" s="25" t="s">
        <v>385</v>
      </c>
      <c r="F189" s="12" t="s">
        <v>1603</v>
      </c>
      <c r="G189" s="12" t="s">
        <v>219</v>
      </c>
      <c r="H189" s="25" t="s">
        <v>1532</v>
      </c>
      <c r="I189" s="25" t="s">
        <v>3487</v>
      </c>
      <c r="J189" s="13" t="n">
        <v>0</v>
      </c>
      <c r="K189" s="25" t="s">
        <v>3488</v>
      </c>
      <c r="L189" s="25" t="s">
        <v>86</v>
      </c>
      <c r="M189" s="25" t="s">
        <v>1580</v>
      </c>
      <c r="N189" s="22" t="s">
        <v>1517</v>
      </c>
      <c r="O189" s="12" t="s">
        <v>3489</v>
      </c>
    </row>
    <row r="190" customFormat="false" ht="19.5" hidden="false" customHeight="true" outlineLevel="0" collapsed="false">
      <c r="A190" s="27" t="s">
        <v>3675</v>
      </c>
      <c r="B190" s="27" t="s">
        <v>3483</v>
      </c>
      <c r="C190" s="27" t="s">
        <v>3484</v>
      </c>
      <c r="D190" s="27" t="s">
        <v>3485</v>
      </c>
      <c r="E190" s="27" t="s">
        <v>392</v>
      </c>
      <c r="F190" s="9" t="s">
        <v>1605</v>
      </c>
      <c r="G190" s="9" t="s">
        <v>219</v>
      </c>
      <c r="H190" s="27" t="s">
        <v>1532</v>
      </c>
      <c r="I190" s="27" t="s">
        <v>3487</v>
      </c>
      <c r="J190" s="10" t="n">
        <v>0</v>
      </c>
      <c r="K190" s="27" t="s">
        <v>3488</v>
      </c>
      <c r="L190" s="27" t="s">
        <v>86</v>
      </c>
      <c r="M190" s="27" t="s">
        <v>1580</v>
      </c>
      <c r="N190" s="23" t="s">
        <v>1517</v>
      </c>
      <c r="O190" s="9" t="s">
        <v>3489</v>
      </c>
    </row>
    <row r="191" customFormat="false" ht="19.5" hidden="false" customHeight="true" outlineLevel="0" collapsed="false">
      <c r="A191" s="25" t="s">
        <v>3676</v>
      </c>
      <c r="B191" s="25" t="s">
        <v>3483</v>
      </c>
      <c r="C191" s="25" t="s">
        <v>3484</v>
      </c>
      <c r="D191" s="25" t="s">
        <v>3485</v>
      </c>
      <c r="E191" s="25" t="s">
        <v>399</v>
      </c>
      <c r="F191" s="12" t="s">
        <v>1607</v>
      </c>
      <c r="G191" s="12" t="s">
        <v>219</v>
      </c>
      <c r="H191" s="25" t="s">
        <v>1532</v>
      </c>
      <c r="I191" s="25" t="s">
        <v>3487</v>
      </c>
      <c r="J191" s="13" t="n">
        <v>0</v>
      </c>
      <c r="K191" s="25" t="s">
        <v>3488</v>
      </c>
      <c r="L191" s="25" t="s">
        <v>86</v>
      </c>
      <c r="M191" s="25" t="s">
        <v>1580</v>
      </c>
      <c r="N191" s="22" t="s">
        <v>1517</v>
      </c>
      <c r="O191" s="12" t="s">
        <v>3489</v>
      </c>
    </row>
    <row r="192" customFormat="false" ht="19.5" hidden="false" customHeight="true" outlineLevel="0" collapsed="false">
      <c r="A192" s="27" t="s">
        <v>3677</v>
      </c>
      <c r="B192" s="27" t="s">
        <v>3483</v>
      </c>
      <c r="C192" s="27" t="s">
        <v>3484</v>
      </c>
      <c r="D192" s="27" t="s">
        <v>3485</v>
      </c>
      <c r="E192" s="27" t="s">
        <v>433</v>
      </c>
      <c r="F192" s="9" t="s">
        <v>1609</v>
      </c>
      <c r="G192" s="9" t="s">
        <v>219</v>
      </c>
      <c r="H192" s="27" t="s">
        <v>1532</v>
      </c>
      <c r="I192" s="27" t="s">
        <v>3487</v>
      </c>
      <c r="J192" s="10" t="n">
        <v>0</v>
      </c>
      <c r="K192" s="27" t="s">
        <v>3488</v>
      </c>
      <c r="L192" s="27" t="s">
        <v>86</v>
      </c>
      <c r="M192" s="27" t="s">
        <v>1580</v>
      </c>
      <c r="N192" s="23" t="s">
        <v>1517</v>
      </c>
      <c r="O192" s="9" t="s">
        <v>3489</v>
      </c>
    </row>
    <row r="193" customFormat="false" ht="19.5" hidden="false" customHeight="true" outlineLevel="0" collapsed="false">
      <c r="A193" s="25" t="s">
        <v>3678</v>
      </c>
      <c r="B193" s="25" t="s">
        <v>3483</v>
      </c>
      <c r="C193" s="25" t="s">
        <v>3484</v>
      </c>
      <c r="D193" s="25" t="s">
        <v>3485</v>
      </c>
      <c r="E193" s="25" t="s">
        <v>405</v>
      </c>
      <c r="F193" s="12" t="s">
        <v>1611</v>
      </c>
      <c r="G193" s="12" t="s">
        <v>219</v>
      </c>
      <c r="H193" s="25" t="s">
        <v>1532</v>
      </c>
      <c r="I193" s="25" t="s">
        <v>3487</v>
      </c>
      <c r="J193" s="13" t="n">
        <v>0</v>
      </c>
      <c r="K193" s="25" t="s">
        <v>3488</v>
      </c>
      <c r="L193" s="25" t="s">
        <v>86</v>
      </c>
      <c r="M193" s="25" t="s">
        <v>1580</v>
      </c>
      <c r="N193" s="22" t="s">
        <v>1517</v>
      </c>
      <c r="O193" s="12" t="s">
        <v>3489</v>
      </c>
    </row>
    <row r="194" customFormat="false" ht="19.5" hidden="false" customHeight="true" outlineLevel="0" collapsed="false">
      <c r="A194" s="27" t="s">
        <v>3679</v>
      </c>
      <c r="B194" s="27" t="s">
        <v>3483</v>
      </c>
      <c r="C194" s="27" t="s">
        <v>3484</v>
      </c>
      <c r="D194" s="27" t="s">
        <v>3485</v>
      </c>
      <c r="E194" s="27" t="s">
        <v>411</v>
      </c>
      <c r="F194" s="9" t="s">
        <v>1613</v>
      </c>
      <c r="G194" s="9" t="s">
        <v>219</v>
      </c>
      <c r="H194" s="27" t="s">
        <v>1532</v>
      </c>
      <c r="I194" s="27" t="s">
        <v>3487</v>
      </c>
      <c r="J194" s="10" t="n">
        <v>0</v>
      </c>
      <c r="K194" s="27" t="s">
        <v>3488</v>
      </c>
      <c r="L194" s="27" t="s">
        <v>86</v>
      </c>
      <c r="M194" s="27" t="s">
        <v>1580</v>
      </c>
      <c r="N194" s="23" t="s">
        <v>1517</v>
      </c>
      <c r="O194" s="9" t="s">
        <v>3489</v>
      </c>
    </row>
    <row r="195" customFormat="false" ht="19.5" hidden="false" customHeight="true" outlineLevel="0" collapsed="false">
      <c r="A195" s="25" t="s">
        <v>3680</v>
      </c>
      <c r="B195" s="25" t="s">
        <v>3483</v>
      </c>
      <c r="C195" s="25" t="s">
        <v>3484</v>
      </c>
      <c r="D195" s="25" t="s">
        <v>3485</v>
      </c>
      <c r="E195" s="25" t="s">
        <v>416</v>
      </c>
      <c r="F195" s="12" t="s">
        <v>1615</v>
      </c>
      <c r="G195" s="12" t="s">
        <v>219</v>
      </c>
      <c r="H195" s="25" t="s">
        <v>1532</v>
      </c>
      <c r="I195" s="25" t="s">
        <v>3487</v>
      </c>
      <c r="J195" s="13" t="n">
        <v>0</v>
      </c>
      <c r="K195" s="25" t="s">
        <v>3488</v>
      </c>
      <c r="L195" s="25" t="s">
        <v>86</v>
      </c>
      <c r="M195" s="25" t="s">
        <v>1580</v>
      </c>
      <c r="N195" s="22" t="s">
        <v>1517</v>
      </c>
      <c r="O195" s="12" t="s">
        <v>3489</v>
      </c>
    </row>
    <row r="196" customFormat="false" ht="19.5" hidden="false" customHeight="true" outlineLevel="0" collapsed="false">
      <c r="A196" s="27" t="s">
        <v>3681</v>
      </c>
      <c r="B196" s="27" t="s">
        <v>3483</v>
      </c>
      <c r="C196" s="27" t="s">
        <v>3484</v>
      </c>
      <c r="D196" s="27" t="s">
        <v>3485</v>
      </c>
      <c r="E196" s="27" t="s">
        <v>377</v>
      </c>
      <c r="F196" s="9" t="s">
        <v>1617</v>
      </c>
      <c r="G196" s="9" t="s">
        <v>219</v>
      </c>
      <c r="H196" s="27" t="s">
        <v>1532</v>
      </c>
      <c r="I196" s="27" t="s">
        <v>3487</v>
      </c>
      <c r="J196" s="10" t="n">
        <v>0</v>
      </c>
      <c r="K196" s="27" t="s">
        <v>3488</v>
      </c>
      <c r="L196" s="27" t="s">
        <v>86</v>
      </c>
      <c r="M196" s="27" t="s">
        <v>1580</v>
      </c>
      <c r="N196" s="23" t="s">
        <v>1517</v>
      </c>
      <c r="O196" s="9" t="s">
        <v>3489</v>
      </c>
    </row>
    <row r="197" customFormat="false" ht="19.5" hidden="false" customHeight="true" outlineLevel="0" collapsed="false">
      <c r="A197" s="25" t="s">
        <v>3682</v>
      </c>
      <c r="B197" s="25" t="s">
        <v>3483</v>
      </c>
      <c r="C197" s="25" t="s">
        <v>3484</v>
      </c>
      <c r="D197" s="25" t="s">
        <v>3485</v>
      </c>
      <c r="E197" s="25" t="s">
        <v>420</v>
      </c>
      <c r="F197" s="12" t="s">
        <v>1619</v>
      </c>
      <c r="G197" s="12" t="s">
        <v>219</v>
      </c>
      <c r="H197" s="25" t="s">
        <v>1532</v>
      </c>
      <c r="I197" s="25" t="s">
        <v>3487</v>
      </c>
      <c r="J197" s="13" t="n">
        <v>0</v>
      </c>
      <c r="K197" s="25" t="s">
        <v>3488</v>
      </c>
      <c r="L197" s="25" t="s">
        <v>86</v>
      </c>
      <c r="M197" s="25" t="s">
        <v>1580</v>
      </c>
      <c r="N197" s="22" t="s">
        <v>1517</v>
      </c>
      <c r="O197" s="12" t="s">
        <v>3489</v>
      </c>
    </row>
    <row r="198" customFormat="false" ht="19.5" hidden="false" customHeight="true" outlineLevel="0" collapsed="false">
      <c r="A198" s="27" t="s">
        <v>3683</v>
      </c>
      <c r="B198" s="27" t="s">
        <v>3483</v>
      </c>
      <c r="C198" s="27" t="s">
        <v>3484</v>
      </c>
      <c r="D198" s="27" t="s">
        <v>3485</v>
      </c>
      <c r="E198" s="27" t="s">
        <v>250</v>
      </c>
      <c r="F198" s="9" t="s">
        <v>1621</v>
      </c>
      <c r="G198" s="9" t="s">
        <v>219</v>
      </c>
      <c r="H198" s="27" t="s">
        <v>1532</v>
      </c>
      <c r="I198" s="27" t="s">
        <v>3487</v>
      </c>
      <c r="J198" s="10" t="n">
        <v>0</v>
      </c>
      <c r="K198" s="27" t="s">
        <v>3488</v>
      </c>
      <c r="L198" s="27" t="s">
        <v>86</v>
      </c>
      <c r="M198" s="27" t="s">
        <v>1580</v>
      </c>
      <c r="N198" s="23" t="s">
        <v>1517</v>
      </c>
      <c r="O198" s="9" t="s">
        <v>3489</v>
      </c>
    </row>
    <row r="199" customFormat="false" ht="19.5" hidden="false" customHeight="true" outlineLevel="0" collapsed="false">
      <c r="A199" s="25" t="s">
        <v>3684</v>
      </c>
      <c r="B199" s="25" t="s">
        <v>3483</v>
      </c>
      <c r="C199" s="25" t="s">
        <v>3484</v>
      </c>
      <c r="D199" s="25" t="s">
        <v>3485</v>
      </c>
      <c r="E199" s="25" t="s">
        <v>312</v>
      </c>
      <c r="F199" s="12" t="s">
        <v>3213</v>
      </c>
      <c r="G199" s="12" t="s">
        <v>295</v>
      </c>
      <c r="H199" s="25" t="s">
        <v>1532</v>
      </c>
      <c r="I199" s="25" t="s">
        <v>3487</v>
      </c>
      <c r="J199" s="13" t="n">
        <v>0</v>
      </c>
      <c r="K199" s="25" t="s">
        <v>3488</v>
      </c>
      <c r="L199" s="25" t="s">
        <v>86</v>
      </c>
      <c r="M199" s="25" t="s">
        <v>1580</v>
      </c>
      <c r="N199" s="22" t="s">
        <v>1517</v>
      </c>
      <c r="O199" s="12" t="s">
        <v>3489</v>
      </c>
    </row>
    <row r="200" customFormat="false" ht="19.5" hidden="false" customHeight="true" outlineLevel="0" collapsed="false">
      <c r="A200" s="27" t="s">
        <v>3685</v>
      </c>
      <c r="B200" s="27" t="s">
        <v>3483</v>
      </c>
      <c r="C200" s="27" t="s">
        <v>3484</v>
      </c>
      <c r="D200" s="27" t="s">
        <v>3485</v>
      </c>
      <c r="E200" s="27" t="s">
        <v>226</v>
      </c>
      <c r="F200" s="9" t="s">
        <v>1623</v>
      </c>
      <c r="G200" s="9" t="s">
        <v>219</v>
      </c>
      <c r="H200" s="27" t="s">
        <v>1532</v>
      </c>
      <c r="I200" s="27" t="s">
        <v>3487</v>
      </c>
      <c r="J200" s="10" t="n">
        <v>0</v>
      </c>
      <c r="K200" s="27" t="s">
        <v>3488</v>
      </c>
      <c r="L200" s="27" t="s">
        <v>86</v>
      </c>
      <c r="M200" s="27" t="s">
        <v>1580</v>
      </c>
      <c r="N200" s="23" t="s">
        <v>1517</v>
      </c>
      <c r="O200" s="9" t="s">
        <v>3489</v>
      </c>
    </row>
    <row r="201" customFormat="false" ht="19.5" hidden="false" customHeight="true" outlineLevel="0" collapsed="false">
      <c r="A201" s="25" t="s">
        <v>3686</v>
      </c>
      <c r="B201" s="25" t="s">
        <v>3483</v>
      </c>
      <c r="C201" s="25" t="s">
        <v>3484</v>
      </c>
      <c r="D201" s="25" t="s">
        <v>3485</v>
      </c>
      <c r="E201" s="25" t="s">
        <v>319</v>
      </c>
      <c r="F201" s="12" t="s">
        <v>3217</v>
      </c>
      <c r="G201" s="12" t="s">
        <v>295</v>
      </c>
      <c r="H201" s="25" t="s">
        <v>1532</v>
      </c>
      <c r="I201" s="25" t="s">
        <v>3487</v>
      </c>
      <c r="J201" s="13" t="n">
        <v>4.5</v>
      </c>
      <c r="K201" s="25" t="s">
        <v>3488</v>
      </c>
      <c r="L201" s="25" t="s">
        <v>86</v>
      </c>
      <c r="M201" s="25" t="s">
        <v>1580</v>
      </c>
      <c r="N201" s="22" t="s">
        <v>1517</v>
      </c>
      <c r="O201" s="12" t="s">
        <v>3489</v>
      </c>
    </row>
    <row r="202" customFormat="false" ht="19.5" hidden="false" customHeight="true" outlineLevel="0" collapsed="false">
      <c r="A202" s="27" t="s">
        <v>3687</v>
      </c>
      <c r="B202" s="27" t="s">
        <v>3483</v>
      </c>
      <c r="C202" s="27" t="s">
        <v>3484</v>
      </c>
      <c r="D202" s="27" t="s">
        <v>3485</v>
      </c>
      <c r="E202" s="27" t="s">
        <v>292</v>
      </c>
      <c r="F202" s="9" t="s">
        <v>3219</v>
      </c>
      <c r="G202" s="9" t="s">
        <v>295</v>
      </c>
      <c r="H202" s="27" t="s">
        <v>1532</v>
      </c>
      <c r="I202" s="27" t="s">
        <v>3487</v>
      </c>
      <c r="J202" s="10" t="n">
        <v>0</v>
      </c>
      <c r="K202" s="27" t="s">
        <v>3488</v>
      </c>
      <c r="L202" s="27" t="s">
        <v>86</v>
      </c>
      <c r="M202" s="27" t="s">
        <v>1580</v>
      </c>
      <c r="N202" s="23" t="s">
        <v>1517</v>
      </c>
      <c r="O202" s="9" t="s">
        <v>3489</v>
      </c>
    </row>
    <row r="203" customFormat="false" ht="19.5" hidden="false" customHeight="true" outlineLevel="0" collapsed="false">
      <c r="A203" s="25" t="s">
        <v>3688</v>
      </c>
      <c r="B203" s="25" t="s">
        <v>3483</v>
      </c>
      <c r="C203" s="25" t="s">
        <v>3484</v>
      </c>
      <c r="D203" s="25" t="s">
        <v>3485</v>
      </c>
      <c r="E203" s="25" t="s">
        <v>215</v>
      </c>
      <c r="F203" s="12" t="s">
        <v>1625</v>
      </c>
      <c r="G203" s="12" t="s">
        <v>219</v>
      </c>
      <c r="H203" s="25" t="s">
        <v>1532</v>
      </c>
      <c r="I203" s="25" t="s">
        <v>3487</v>
      </c>
      <c r="J203" s="13" t="n">
        <v>2.5</v>
      </c>
      <c r="K203" s="25" t="s">
        <v>3488</v>
      </c>
      <c r="L203" s="25" t="s">
        <v>86</v>
      </c>
      <c r="M203" s="25" t="s">
        <v>1580</v>
      </c>
      <c r="N203" s="22" t="s">
        <v>1517</v>
      </c>
      <c r="O203" s="12" t="s">
        <v>3489</v>
      </c>
    </row>
    <row r="204" customFormat="false" ht="19.5" hidden="false" customHeight="true" outlineLevel="0" collapsed="false">
      <c r="A204" s="27" t="s">
        <v>3689</v>
      </c>
      <c r="B204" s="27" t="s">
        <v>3483</v>
      </c>
      <c r="C204" s="27" t="s">
        <v>3484</v>
      </c>
      <c r="D204" s="27" t="s">
        <v>3485</v>
      </c>
      <c r="E204" s="27" t="s">
        <v>257</v>
      </c>
      <c r="F204" s="9" t="s">
        <v>1627</v>
      </c>
      <c r="G204" s="9" t="s">
        <v>219</v>
      </c>
      <c r="H204" s="27" t="s">
        <v>1532</v>
      </c>
      <c r="I204" s="27" t="s">
        <v>3487</v>
      </c>
      <c r="J204" s="10" t="n">
        <v>0</v>
      </c>
      <c r="K204" s="27" t="s">
        <v>3488</v>
      </c>
      <c r="L204" s="27" t="s">
        <v>86</v>
      </c>
      <c r="M204" s="27" t="s">
        <v>1580</v>
      </c>
      <c r="N204" s="23" t="s">
        <v>1517</v>
      </c>
      <c r="O204" s="9" t="s">
        <v>3489</v>
      </c>
    </row>
    <row r="205" customFormat="false" ht="19.5" hidden="false" customHeight="true" outlineLevel="0" collapsed="false">
      <c r="A205" s="25" t="s">
        <v>3690</v>
      </c>
      <c r="B205" s="25" t="s">
        <v>3483</v>
      </c>
      <c r="C205" s="25" t="s">
        <v>3484</v>
      </c>
      <c r="D205" s="25" t="s">
        <v>3485</v>
      </c>
      <c r="E205" s="25" t="s">
        <v>334</v>
      </c>
      <c r="F205" s="12" t="s">
        <v>3186</v>
      </c>
      <c r="G205" s="12" t="s">
        <v>3486</v>
      </c>
      <c r="H205" s="25" t="s">
        <v>1555</v>
      </c>
      <c r="I205" s="25" t="s">
        <v>3487</v>
      </c>
      <c r="J205" s="13" t="n">
        <v>0</v>
      </c>
      <c r="K205" s="25" t="s">
        <v>3488</v>
      </c>
      <c r="L205" s="25" t="s">
        <v>86</v>
      </c>
      <c r="M205" s="25" t="s">
        <v>1580</v>
      </c>
      <c r="N205" s="22" t="s">
        <v>93</v>
      </c>
      <c r="O205" s="12" t="s">
        <v>3489</v>
      </c>
    </row>
    <row r="206" customFormat="false" ht="19.5" hidden="false" customHeight="true" outlineLevel="0" collapsed="false">
      <c r="A206" s="27" t="s">
        <v>3691</v>
      </c>
      <c r="B206" s="27" t="s">
        <v>3483</v>
      </c>
      <c r="C206" s="27" t="s">
        <v>3484</v>
      </c>
      <c r="D206" s="27" t="s">
        <v>3485</v>
      </c>
      <c r="E206" s="27" t="s">
        <v>328</v>
      </c>
      <c r="F206" s="9" t="s">
        <v>3189</v>
      </c>
      <c r="G206" s="9" t="s">
        <v>3491</v>
      </c>
      <c r="H206" s="27" t="s">
        <v>1555</v>
      </c>
      <c r="I206" s="27" t="s">
        <v>3487</v>
      </c>
      <c r="J206" s="10" t="n">
        <v>0</v>
      </c>
      <c r="K206" s="27" t="s">
        <v>3488</v>
      </c>
      <c r="L206" s="27" t="s">
        <v>86</v>
      </c>
      <c r="M206" s="27" t="s">
        <v>1580</v>
      </c>
      <c r="N206" s="23" t="s">
        <v>93</v>
      </c>
      <c r="O206" s="9" t="s">
        <v>3489</v>
      </c>
    </row>
    <row r="207" customFormat="false" ht="19.5" hidden="false" customHeight="true" outlineLevel="0" collapsed="false">
      <c r="A207" s="25" t="s">
        <v>3692</v>
      </c>
      <c r="B207" s="25" t="s">
        <v>3483</v>
      </c>
      <c r="C207" s="25" t="s">
        <v>3484</v>
      </c>
      <c r="D207" s="25" t="s">
        <v>3485</v>
      </c>
      <c r="E207" s="25" t="s">
        <v>466</v>
      </c>
      <c r="F207" s="12" t="s">
        <v>1578</v>
      </c>
      <c r="G207" s="12" t="s">
        <v>462</v>
      </c>
      <c r="H207" s="25" t="s">
        <v>1555</v>
      </c>
      <c r="I207" s="25" t="s">
        <v>3487</v>
      </c>
      <c r="J207" s="13" t="n">
        <v>4</v>
      </c>
      <c r="K207" s="25" t="s">
        <v>3488</v>
      </c>
      <c r="L207" s="25" t="s">
        <v>86</v>
      </c>
      <c r="M207" s="25" t="s">
        <v>1580</v>
      </c>
      <c r="N207" s="22" t="s">
        <v>93</v>
      </c>
      <c r="O207" s="12" t="s">
        <v>3489</v>
      </c>
    </row>
    <row r="208" customFormat="false" ht="19.5" hidden="false" customHeight="true" outlineLevel="0" collapsed="false">
      <c r="A208" s="27" t="s">
        <v>3693</v>
      </c>
      <c r="B208" s="27" t="s">
        <v>3483</v>
      </c>
      <c r="C208" s="27" t="s">
        <v>3484</v>
      </c>
      <c r="D208" s="27" t="s">
        <v>3485</v>
      </c>
      <c r="E208" s="27" t="s">
        <v>492</v>
      </c>
      <c r="F208" s="9" t="s">
        <v>1583</v>
      </c>
      <c r="G208" s="9" t="s">
        <v>462</v>
      </c>
      <c r="H208" s="27" t="s">
        <v>1555</v>
      </c>
      <c r="I208" s="27" t="s">
        <v>3487</v>
      </c>
      <c r="J208" s="10" t="n">
        <v>0</v>
      </c>
      <c r="K208" s="27" t="s">
        <v>3488</v>
      </c>
      <c r="L208" s="27" t="s">
        <v>86</v>
      </c>
      <c r="M208" s="27" t="s">
        <v>1580</v>
      </c>
      <c r="N208" s="23" t="s">
        <v>93</v>
      </c>
      <c r="O208" s="9" t="s">
        <v>3489</v>
      </c>
    </row>
    <row r="209" customFormat="false" ht="19.5" hidden="false" customHeight="true" outlineLevel="0" collapsed="false">
      <c r="A209" s="25" t="s">
        <v>3694</v>
      </c>
      <c r="B209" s="25" t="s">
        <v>3483</v>
      </c>
      <c r="C209" s="25" t="s">
        <v>3484</v>
      </c>
      <c r="D209" s="25" t="s">
        <v>3485</v>
      </c>
      <c r="E209" s="25" t="s">
        <v>473</v>
      </c>
      <c r="F209" s="12" t="s">
        <v>1585</v>
      </c>
      <c r="G209" s="12" t="s">
        <v>462</v>
      </c>
      <c r="H209" s="25" t="s">
        <v>1555</v>
      </c>
      <c r="I209" s="25" t="s">
        <v>3487</v>
      </c>
      <c r="J209" s="13" t="n">
        <v>0</v>
      </c>
      <c r="K209" s="25" t="s">
        <v>3488</v>
      </c>
      <c r="L209" s="25" t="s">
        <v>86</v>
      </c>
      <c r="M209" s="25" t="s">
        <v>1580</v>
      </c>
      <c r="N209" s="22" t="s">
        <v>93</v>
      </c>
      <c r="O209" s="12" t="s">
        <v>3489</v>
      </c>
    </row>
    <row r="210" customFormat="false" ht="19.5" hidden="false" customHeight="true" outlineLevel="0" collapsed="false">
      <c r="A210" s="27" t="s">
        <v>3695</v>
      </c>
      <c r="B210" s="27" t="s">
        <v>3483</v>
      </c>
      <c r="C210" s="27" t="s">
        <v>3484</v>
      </c>
      <c r="D210" s="27" t="s">
        <v>3485</v>
      </c>
      <c r="E210" s="27" t="s">
        <v>459</v>
      </c>
      <c r="F210" s="9" t="s">
        <v>1587</v>
      </c>
      <c r="G210" s="9" t="s">
        <v>462</v>
      </c>
      <c r="H210" s="27" t="s">
        <v>1555</v>
      </c>
      <c r="I210" s="27" t="s">
        <v>3487</v>
      </c>
      <c r="J210" s="10" t="n">
        <v>4</v>
      </c>
      <c r="K210" s="27" t="s">
        <v>3488</v>
      </c>
      <c r="L210" s="27" t="s">
        <v>86</v>
      </c>
      <c r="M210" s="27" t="s">
        <v>1580</v>
      </c>
      <c r="N210" s="23" t="s">
        <v>93</v>
      </c>
      <c r="O210" s="9" t="s">
        <v>3489</v>
      </c>
    </row>
    <row r="211" customFormat="false" ht="19.5" hidden="false" customHeight="true" outlineLevel="0" collapsed="false">
      <c r="A211" s="25" t="s">
        <v>3696</v>
      </c>
      <c r="B211" s="25" t="s">
        <v>3483</v>
      </c>
      <c r="C211" s="25" t="s">
        <v>3484</v>
      </c>
      <c r="D211" s="25" t="s">
        <v>3485</v>
      </c>
      <c r="E211" s="25" t="s">
        <v>486</v>
      </c>
      <c r="F211" s="12" t="s">
        <v>1589</v>
      </c>
      <c r="G211" s="12" t="s">
        <v>462</v>
      </c>
      <c r="H211" s="25" t="s">
        <v>1555</v>
      </c>
      <c r="I211" s="25" t="s">
        <v>3487</v>
      </c>
      <c r="J211" s="13" t="n">
        <v>0</v>
      </c>
      <c r="K211" s="25" t="s">
        <v>3488</v>
      </c>
      <c r="L211" s="25" t="s">
        <v>86</v>
      </c>
      <c r="M211" s="25" t="s">
        <v>1580</v>
      </c>
      <c r="N211" s="22" t="s">
        <v>93</v>
      </c>
      <c r="O211" s="12" t="s">
        <v>3489</v>
      </c>
    </row>
    <row r="212" customFormat="false" ht="19.5" hidden="false" customHeight="true" outlineLevel="0" collapsed="false">
      <c r="A212" s="27" t="s">
        <v>3697</v>
      </c>
      <c r="B212" s="27" t="s">
        <v>3483</v>
      </c>
      <c r="C212" s="27" t="s">
        <v>3484</v>
      </c>
      <c r="D212" s="27" t="s">
        <v>3485</v>
      </c>
      <c r="E212" s="27" t="s">
        <v>479</v>
      </c>
      <c r="F212" s="9" t="s">
        <v>1591</v>
      </c>
      <c r="G212" s="9" t="s">
        <v>462</v>
      </c>
      <c r="H212" s="27" t="s">
        <v>1555</v>
      </c>
      <c r="I212" s="27" t="s">
        <v>3487</v>
      </c>
      <c r="J212" s="10" t="n">
        <v>0</v>
      </c>
      <c r="K212" s="27" t="s">
        <v>3488</v>
      </c>
      <c r="L212" s="27" t="s">
        <v>86</v>
      </c>
      <c r="M212" s="27" t="s">
        <v>1580</v>
      </c>
      <c r="N212" s="23" t="s">
        <v>93</v>
      </c>
      <c r="O212" s="9" t="s">
        <v>3489</v>
      </c>
    </row>
    <row r="213" customFormat="false" ht="19.5" hidden="false" customHeight="true" outlineLevel="0" collapsed="false">
      <c r="A213" s="25" t="s">
        <v>3698</v>
      </c>
      <c r="B213" s="25" t="s">
        <v>3483</v>
      </c>
      <c r="C213" s="25" t="s">
        <v>3484</v>
      </c>
      <c r="D213" s="25" t="s">
        <v>3485</v>
      </c>
      <c r="E213" s="25" t="s">
        <v>233</v>
      </c>
      <c r="F213" s="12" t="s">
        <v>1593</v>
      </c>
      <c r="G213" s="12" t="s">
        <v>236</v>
      </c>
      <c r="H213" s="25" t="s">
        <v>1555</v>
      </c>
      <c r="I213" s="25" t="s">
        <v>3487</v>
      </c>
      <c r="J213" s="13" t="n">
        <v>4.4</v>
      </c>
      <c r="K213" s="25" t="s">
        <v>3488</v>
      </c>
      <c r="L213" s="25" t="s">
        <v>86</v>
      </c>
      <c r="M213" s="25" t="s">
        <v>1580</v>
      </c>
      <c r="N213" s="22" t="s">
        <v>93</v>
      </c>
      <c r="O213" s="12" t="s">
        <v>3489</v>
      </c>
    </row>
    <row r="214" customFormat="false" ht="19.5" hidden="false" customHeight="true" outlineLevel="0" collapsed="false">
      <c r="A214" s="27" t="s">
        <v>3699</v>
      </c>
      <c r="B214" s="27" t="s">
        <v>3483</v>
      </c>
      <c r="C214" s="27" t="s">
        <v>3484</v>
      </c>
      <c r="D214" s="27" t="s">
        <v>3485</v>
      </c>
      <c r="E214" s="27" t="s">
        <v>448</v>
      </c>
      <c r="F214" s="9" t="s">
        <v>1595</v>
      </c>
      <c r="G214" s="9" t="s">
        <v>219</v>
      </c>
      <c r="H214" s="27" t="s">
        <v>1555</v>
      </c>
      <c r="I214" s="27" t="s">
        <v>3487</v>
      </c>
      <c r="J214" s="10" t="n">
        <v>0</v>
      </c>
      <c r="K214" s="27" t="s">
        <v>3488</v>
      </c>
      <c r="L214" s="27" t="s">
        <v>86</v>
      </c>
      <c r="M214" s="27" t="s">
        <v>1580</v>
      </c>
      <c r="N214" s="23" t="s">
        <v>93</v>
      </c>
      <c r="O214" s="9" t="s">
        <v>3489</v>
      </c>
    </row>
    <row r="215" customFormat="false" ht="19.5" hidden="false" customHeight="true" outlineLevel="0" collapsed="false">
      <c r="A215" s="25" t="s">
        <v>3700</v>
      </c>
      <c r="B215" s="25" t="s">
        <v>3483</v>
      </c>
      <c r="C215" s="25" t="s">
        <v>3484</v>
      </c>
      <c r="D215" s="25" t="s">
        <v>3485</v>
      </c>
      <c r="E215" s="25" t="s">
        <v>455</v>
      </c>
      <c r="F215" s="12" t="s">
        <v>1597</v>
      </c>
      <c r="G215" s="12" t="s">
        <v>219</v>
      </c>
      <c r="H215" s="25" t="s">
        <v>1555</v>
      </c>
      <c r="I215" s="25" t="s">
        <v>3487</v>
      </c>
      <c r="J215" s="13" t="n">
        <v>0</v>
      </c>
      <c r="K215" s="25" t="s">
        <v>3488</v>
      </c>
      <c r="L215" s="25" t="s">
        <v>86</v>
      </c>
      <c r="M215" s="25" t="s">
        <v>1580</v>
      </c>
      <c r="N215" s="22" t="s">
        <v>93</v>
      </c>
      <c r="O215" s="12" t="s">
        <v>3489</v>
      </c>
    </row>
    <row r="216" customFormat="false" ht="19.5" hidden="false" customHeight="true" outlineLevel="0" collapsed="false">
      <c r="A216" s="27" t="s">
        <v>3701</v>
      </c>
      <c r="B216" s="27" t="s">
        <v>3483</v>
      </c>
      <c r="C216" s="27" t="s">
        <v>3484</v>
      </c>
      <c r="D216" s="27" t="s">
        <v>3485</v>
      </c>
      <c r="E216" s="27" t="s">
        <v>439</v>
      </c>
      <c r="F216" s="9" t="s">
        <v>1599</v>
      </c>
      <c r="G216" s="9" t="s">
        <v>219</v>
      </c>
      <c r="H216" s="27" t="s">
        <v>1555</v>
      </c>
      <c r="I216" s="27" t="s">
        <v>3487</v>
      </c>
      <c r="J216" s="10" t="n">
        <v>0</v>
      </c>
      <c r="K216" s="27" t="s">
        <v>3488</v>
      </c>
      <c r="L216" s="27" t="s">
        <v>86</v>
      </c>
      <c r="M216" s="27" t="s">
        <v>1580</v>
      </c>
      <c r="N216" s="23" t="s">
        <v>93</v>
      </c>
      <c r="O216" s="9" t="s">
        <v>3489</v>
      </c>
    </row>
    <row r="217" customFormat="false" ht="19.5" hidden="false" customHeight="true" outlineLevel="0" collapsed="false">
      <c r="A217" s="25" t="s">
        <v>3702</v>
      </c>
      <c r="B217" s="25" t="s">
        <v>3483</v>
      </c>
      <c r="C217" s="25" t="s">
        <v>3484</v>
      </c>
      <c r="D217" s="25" t="s">
        <v>3485</v>
      </c>
      <c r="E217" s="25" t="s">
        <v>426</v>
      </c>
      <c r="F217" s="12" t="s">
        <v>1601</v>
      </c>
      <c r="G217" s="12" t="s">
        <v>219</v>
      </c>
      <c r="H217" s="25" t="s">
        <v>1555</v>
      </c>
      <c r="I217" s="25" t="s">
        <v>3487</v>
      </c>
      <c r="J217" s="13" t="n">
        <v>3.6</v>
      </c>
      <c r="K217" s="25" t="s">
        <v>3488</v>
      </c>
      <c r="L217" s="25" t="s">
        <v>86</v>
      </c>
      <c r="M217" s="25" t="s">
        <v>1580</v>
      </c>
      <c r="N217" s="22" t="s">
        <v>93</v>
      </c>
      <c r="O217" s="12" t="s">
        <v>3489</v>
      </c>
    </row>
    <row r="218" customFormat="false" ht="19.5" hidden="false" customHeight="true" outlineLevel="0" collapsed="false">
      <c r="A218" s="27" t="s">
        <v>3703</v>
      </c>
      <c r="B218" s="27" t="s">
        <v>3483</v>
      </c>
      <c r="C218" s="27" t="s">
        <v>3484</v>
      </c>
      <c r="D218" s="27" t="s">
        <v>3485</v>
      </c>
      <c r="E218" s="27" t="s">
        <v>385</v>
      </c>
      <c r="F218" s="9" t="s">
        <v>1603</v>
      </c>
      <c r="G218" s="9" t="s">
        <v>219</v>
      </c>
      <c r="H218" s="27" t="s">
        <v>1555</v>
      </c>
      <c r="I218" s="27" t="s">
        <v>3487</v>
      </c>
      <c r="J218" s="10" t="n">
        <v>0</v>
      </c>
      <c r="K218" s="27" t="s">
        <v>3488</v>
      </c>
      <c r="L218" s="27" t="s">
        <v>86</v>
      </c>
      <c r="M218" s="27" t="s">
        <v>1580</v>
      </c>
      <c r="N218" s="23" t="s">
        <v>93</v>
      </c>
      <c r="O218" s="9" t="s">
        <v>3489</v>
      </c>
    </row>
    <row r="219" customFormat="false" ht="19.5" hidden="false" customHeight="true" outlineLevel="0" collapsed="false">
      <c r="A219" s="25" t="s">
        <v>3704</v>
      </c>
      <c r="B219" s="25" t="s">
        <v>3483</v>
      </c>
      <c r="C219" s="25" t="s">
        <v>3484</v>
      </c>
      <c r="D219" s="25" t="s">
        <v>3485</v>
      </c>
      <c r="E219" s="25" t="s">
        <v>392</v>
      </c>
      <c r="F219" s="12" t="s">
        <v>1605</v>
      </c>
      <c r="G219" s="12" t="s">
        <v>219</v>
      </c>
      <c r="H219" s="25" t="s">
        <v>1555</v>
      </c>
      <c r="I219" s="25" t="s">
        <v>3487</v>
      </c>
      <c r="J219" s="13" t="n">
        <v>0</v>
      </c>
      <c r="K219" s="25" t="s">
        <v>3488</v>
      </c>
      <c r="L219" s="25" t="s">
        <v>86</v>
      </c>
      <c r="M219" s="25" t="s">
        <v>1580</v>
      </c>
      <c r="N219" s="22" t="s">
        <v>93</v>
      </c>
      <c r="O219" s="12" t="s">
        <v>3489</v>
      </c>
    </row>
    <row r="220" customFormat="false" ht="19.5" hidden="false" customHeight="true" outlineLevel="0" collapsed="false">
      <c r="A220" s="27" t="s">
        <v>3705</v>
      </c>
      <c r="B220" s="27" t="s">
        <v>3483</v>
      </c>
      <c r="C220" s="27" t="s">
        <v>3484</v>
      </c>
      <c r="D220" s="27" t="s">
        <v>3485</v>
      </c>
      <c r="E220" s="27" t="s">
        <v>399</v>
      </c>
      <c r="F220" s="9" t="s">
        <v>1607</v>
      </c>
      <c r="G220" s="9" t="s">
        <v>219</v>
      </c>
      <c r="H220" s="27" t="s">
        <v>1555</v>
      </c>
      <c r="I220" s="27" t="s">
        <v>3487</v>
      </c>
      <c r="J220" s="10" t="n">
        <v>0</v>
      </c>
      <c r="K220" s="27" t="s">
        <v>3488</v>
      </c>
      <c r="L220" s="27" t="s">
        <v>86</v>
      </c>
      <c r="M220" s="27" t="s">
        <v>1580</v>
      </c>
      <c r="N220" s="23" t="s">
        <v>93</v>
      </c>
      <c r="O220" s="9" t="s">
        <v>3489</v>
      </c>
    </row>
    <row r="221" customFormat="false" ht="19.5" hidden="false" customHeight="true" outlineLevel="0" collapsed="false">
      <c r="A221" s="25" t="s">
        <v>3706</v>
      </c>
      <c r="B221" s="25" t="s">
        <v>3483</v>
      </c>
      <c r="C221" s="25" t="s">
        <v>3484</v>
      </c>
      <c r="D221" s="25" t="s">
        <v>3485</v>
      </c>
      <c r="E221" s="25" t="s">
        <v>433</v>
      </c>
      <c r="F221" s="12" t="s">
        <v>1609</v>
      </c>
      <c r="G221" s="12" t="s">
        <v>219</v>
      </c>
      <c r="H221" s="25" t="s">
        <v>1555</v>
      </c>
      <c r="I221" s="25" t="s">
        <v>3487</v>
      </c>
      <c r="J221" s="13" t="n">
        <v>0</v>
      </c>
      <c r="K221" s="25" t="s">
        <v>3488</v>
      </c>
      <c r="L221" s="25" t="s">
        <v>86</v>
      </c>
      <c r="M221" s="25" t="s">
        <v>1580</v>
      </c>
      <c r="N221" s="22" t="s">
        <v>93</v>
      </c>
      <c r="O221" s="12" t="s">
        <v>3489</v>
      </c>
    </row>
    <row r="222" customFormat="false" ht="19.5" hidden="false" customHeight="true" outlineLevel="0" collapsed="false">
      <c r="A222" s="27" t="s">
        <v>3707</v>
      </c>
      <c r="B222" s="27" t="s">
        <v>3483</v>
      </c>
      <c r="C222" s="27" t="s">
        <v>3484</v>
      </c>
      <c r="D222" s="27" t="s">
        <v>3485</v>
      </c>
      <c r="E222" s="27" t="s">
        <v>405</v>
      </c>
      <c r="F222" s="9" t="s">
        <v>1611</v>
      </c>
      <c r="G222" s="9" t="s">
        <v>219</v>
      </c>
      <c r="H222" s="27" t="s">
        <v>1555</v>
      </c>
      <c r="I222" s="27" t="s">
        <v>3487</v>
      </c>
      <c r="J222" s="10" t="n">
        <v>0</v>
      </c>
      <c r="K222" s="27" t="s">
        <v>3488</v>
      </c>
      <c r="L222" s="27" t="s">
        <v>86</v>
      </c>
      <c r="M222" s="27" t="s">
        <v>1580</v>
      </c>
      <c r="N222" s="23" t="s">
        <v>93</v>
      </c>
      <c r="O222" s="9" t="s">
        <v>3489</v>
      </c>
    </row>
    <row r="223" customFormat="false" ht="19.5" hidden="false" customHeight="true" outlineLevel="0" collapsed="false">
      <c r="A223" s="25" t="s">
        <v>3708</v>
      </c>
      <c r="B223" s="25" t="s">
        <v>3483</v>
      </c>
      <c r="C223" s="25" t="s">
        <v>3484</v>
      </c>
      <c r="D223" s="25" t="s">
        <v>3485</v>
      </c>
      <c r="E223" s="25" t="s">
        <v>411</v>
      </c>
      <c r="F223" s="12" t="s">
        <v>1613</v>
      </c>
      <c r="G223" s="12" t="s">
        <v>219</v>
      </c>
      <c r="H223" s="25" t="s">
        <v>1555</v>
      </c>
      <c r="I223" s="25" t="s">
        <v>3487</v>
      </c>
      <c r="J223" s="13" t="n">
        <v>0.2</v>
      </c>
      <c r="K223" s="25" t="s">
        <v>3488</v>
      </c>
      <c r="L223" s="25" t="s">
        <v>86</v>
      </c>
      <c r="M223" s="25" t="s">
        <v>1580</v>
      </c>
      <c r="N223" s="22" t="s">
        <v>93</v>
      </c>
      <c r="O223" s="12" t="s">
        <v>3489</v>
      </c>
    </row>
    <row r="224" customFormat="false" ht="19.5" hidden="false" customHeight="true" outlineLevel="0" collapsed="false">
      <c r="A224" s="27" t="s">
        <v>3709</v>
      </c>
      <c r="B224" s="27" t="s">
        <v>3483</v>
      </c>
      <c r="C224" s="27" t="s">
        <v>3484</v>
      </c>
      <c r="D224" s="27" t="s">
        <v>3485</v>
      </c>
      <c r="E224" s="27" t="s">
        <v>416</v>
      </c>
      <c r="F224" s="9" t="s">
        <v>1615</v>
      </c>
      <c r="G224" s="9" t="s">
        <v>219</v>
      </c>
      <c r="H224" s="27" t="s">
        <v>1555</v>
      </c>
      <c r="I224" s="27" t="s">
        <v>3487</v>
      </c>
      <c r="J224" s="10" t="n">
        <v>0</v>
      </c>
      <c r="K224" s="27" t="s">
        <v>3488</v>
      </c>
      <c r="L224" s="27" t="s">
        <v>86</v>
      </c>
      <c r="M224" s="27" t="s">
        <v>1580</v>
      </c>
      <c r="N224" s="23" t="s">
        <v>93</v>
      </c>
      <c r="O224" s="9" t="s">
        <v>3489</v>
      </c>
    </row>
    <row r="225" customFormat="false" ht="19.5" hidden="false" customHeight="true" outlineLevel="0" collapsed="false">
      <c r="A225" s="25" t="s">
        <v>3710</v>
      </c>
      <c r="B225" s="25" t="s">
        <v>3483</v>
      </c>
      <c r="C225" s="25" t="s">
        <v>3484</v>
      </c>
      <c r="D225" s="25" t="s">
        <v>3485</v>
      </c>
      <c r="E225" s="25" t="s">
        <v>377</v>
      </c>
      <c r="F225" s="12" t="s">
        <v>1617</v>
      </c>
      <c r="G225" s="12" t="s">
        <v>219</v>
      </c>
      <c r="H225" s="25" t="s">
        <v>1555</v>
      </c>
      <c r="I225" s="25" t="s">
        <v>3487</v>
      </c>
      <c r="J225" s="13" t="n">
        <v>0</v>
      </c>
      <c r="K225" s="25" t="s">
        <v>3488</v>
      </c>
      <c r="L225" s="25" t="s">
        <v>86</v>
      </c>
      <c r="M225" s="25" t="s">
        <v>1580</v>
      </c>
      <c r="N225" s="22" t="s">
        <v>93</v>
      </c>
      <c r="O225" s="12" t="s">
        <v>3489</v>
      </c>
    </row>
    <row r="226" customFormat="false" ht="19.5" hidden="false" customHeight="true" outlineLevel="0" collapsed="false">
      <c r="A226" s="27" t="s">
        <v>3711</v>
      </c>
      <c r="B226" s="27" t="s">
        <v>3483</v>
      </c>
      <c r="C226" s="27" t="s">
        <v>3484</v>
      </c>
      <c r="D226" s="27" t="s">
        <v>3485</v>
      </c>
      <c r="E226" s="27" t="s">
        <v>420</v>
      </c>
      <c r="F226" s="9" t="s">
        <v>1619</v>
      </c>
      <c r="G226" s="9" t="s">
        <v>219</v>
      </c>
      <c r="H226" s="27" t="s">
        <v>1555</v>
      </c>
      <c r="I226" s="27" t="s">
        <v>3487</v>
      </c>
      <c r="J226" s="10" t="n">
        <v>2</v>
      </c>
      <c r="K226" s="27" t="s">
        <v>3488</v>
      </c>
      <c r="L226" s="27" t="s">
        <v>86</v>
      </c>
      <c r="M226" s="27" t="s">
        <v>1580</v>
      </c>
      <c r="N226" s="23" t="s">
        <v>93</v>
      </c>
      <c r="O226" s="9" t="s">
        <v>3489</v>
      </c>
    </row>
    <row r="227" customFormat="false" ht="19.5" hidden="false" customHeight="true" outlineLevel="0" collapsed="false">
      <c r="A227" s="25" t="s">
        <v>3712</v>
      </c>
      <c r="B227" s="25" t="s">
        <v>3483</v>
      </c>
      <c r="C227" s="25" t="s">
        <v>3484</v>
      </c>
      <c r="D227" s="25" t="s">
        <v>3485</v>
      </c>
      <c r="E227" s="25" t="s">
        <v>250</v>
      </c>
      <c r="F227" s="12" t="s">
        <v>1621</v>
      </c>
      <c r="G227" s="12" t="s">
        <v>219</v>
      </c>
      <c r="H227" s="25" t="s">
        <v>1555</v>
      </c>
      <c r="I227" s="25" t="s">
        <v>3487</v>
      </c>
      <c r="J227" s="13" t="n">
        <v>0</v>
      </c>
      <c r="K227" s="25" t="s">
        <v>3488</v>
      </c>
      <c r="L227" s="25" t="s">
        <v>86</v>
      </c>
      <c r="M227" s="25" t="s">
        <v>1580</v>
      </c>
      <c r="N227" s="22" t="s">
        <v>93</v>
      </c>
      <c r="O227" s="12" t="s">
        <v>3489</v>
      </c>
    </row>
    <row r="228" customFormat="false" ht="19.5" hidden="false" customHeight="true" outlineLevel="0" collapsed="false">
      <c r="A228" s="27" t="s">
        <v>3713</v>
      </c>
      <c r="B228" s="27" t="s">
        <v>3483</v>
      </c>
      <c r="C228" s="27" t="s">
        <v>3484</v>
      </c>
      <c r="D228" s="27" t="s">
        <v>3485</v>
      </c>
      <c r="E228" s="27" t="s">
        <v>312</v>
      </c>
      <c r="F228" s="9" t="s">
        <v>3213</v>
      </c>
      <c r="G228" s="9" t="s">
        <v>295</v>
      </c>
      <c r="H228" s="27" t="s">
        <v>1555</v>
      </c>
      <c r="I228" s="27" t="s">
        <v>3487</v>
      </c>
      <c r="J228" s="10" t="n">
        <v>1.4</v>
      </c>
      <c r="K228" s="27" t="s">
        <v>3488</v>
      </c>
      <c r="L228" s="27" t="s">
        <v>86</v>
      </c>
      <c r="M228" s="27" t="s">
        <v>1580</v>
      </c>
      <c r="N228" s="23" t="s">
        <v>93</v>
      </c>
      <c r="O228" s="9" t="s">
        <v>3489</v>
      </c>
    </row>
    <row r="229" customFormat="false" ht="19.5" hidden="false" customHeight="true" outlineLevel="0" collapsed="false">
      <c r="A229" s="25" t="s">
        <v>3714</v>
      </c>
      <c r="B229" s="25" t="s">
        <v>3483</v>
      </c>
      <c r="C229" s="25" t="s">
        <v>3484</v>
      </c>
      <c r="D229" s="25" t="s">
        <v>3485</v>
      </c>
      <c r="E229" s="25" t="s">
        <v>226</v>
      </c>
      <c r="F229" s="12" t="s">
        <v>1623</v>
      </c>
      <c r="G229" s="12" t="s">
        <v>219</v>
      </c>
      <c r="H229" s="25" t="s">
        <v>1555</v>
      </c>
      <c r="I229" s="25" t="s">
        <v>3487</v>
      </c>
      <c r="J229" s="13" t="n">
        <v>0</v>
      </c>
      <c r="K229" s="25" t="s">
        <v>3488</v>
      </c>
      <c r="L229" s="25" t="s">
        <v>86</v>
      </c>
      <c r="M229" s="25" t="s">
        <v>1580</v>
      </c>
      <c r="N229" s="22" t="s">
        <v>93</v>
      </c>
      <c r="O229" s="12" t="s">
        <v>3489</v>
      </c>
    </row>
    <row r="230" customFormat="false" ht="19.5" hidden="false" customHeight="true" outlineLevel="0" collapsed="false">
      <c r="A230" s="27" t="s">
        <v>3715</v>
      </c>
      <c r="B230" s="27" t="s">
        <v>3483</v>
      </c>
      <c r="C230" s="27" t="s">
        <v>3484</v>
      </c>
      <c r="D230" s="27" t="s">
        <v>3485</v>
      </c>
      <c r="E230" s="27" t="s">
        <v>319</v>
      </c>
      <c r="F230" s="9" t="s">
        <v>3217</v>
      </c>
      <c r="G230" s="9" t="s">
        <v>295</v>
      </c>
      <c r="H230" s="27" t="s">
        <v>1555</v>
      </c>
      <c r="I230" s="27" t="s">
        <v>3487</v>
      </c>
      <c r="J230" s="10" t="n">
        <v>0</v>
      </c>
      <c r="K230" s="27" t="s">
        <v>3488</v>
      </c>
      <c r="L230" s="27" t="s">
        <v>86</v>
      </c>
      <c r="M230" s="27" t="s">
        <v>1580</v>
      </c>
      <c r="N230" s="23" t="s">
        <v>93</v>
      </c>
      <c r="O230" s="9" t="s">
        <v>3489</v>
      </c>
    </row>
    <row r="231" customFormat="false" ht="19.5" hidden="false" customHeight="true" outlineLevel="0" collapsed="false">
      <c r="A231" s="25" t="s">
        <v>3716</v>
      </c>
      <c r="B231" s="25" t="s">
        <v>3483</v>
      </c>
      <c r="C231" s="25" t="s">
        <v>3484</v>
      </c>
      <c r="D231" s="25" t="s">
        <v>3485</v>
      </c>
      <c r="E231" s="25" t="s">
        <v>292</v>
      </c>
      <c r="F231" s="12" t="s">
        <v>3219</v>
      </c>
      <c r="G231" s="12" t="s">
        <v>295</v>
      </c>
      <c r="H231" s="25" t="s">
        <v>1555</v>
      </c>
      <c r="I231" s="25" t="s">
        <v>3487</v>
      </c>
      <c r="J231" s="13" t="n">
        <v>4</v>
      </c>
      <c r="K231" s="25" t="s">
        <v>3488</v>
      </c>
      <c r="L231" s="25" t="s">
        <v>86</v>
      </c>
      <c r="M231" s="25" t="s">
        <v>1580</v>
      </c>
      <c r="N231" s="22" t="s">
        <v>93</v>
      </c>
      <c r="O231" s="12" t="s">
        <v>3489</v>
      </c>
    </row>
    <row r="232" customFormat="false" ht="19.5" hidden="false" customHeight="true" outlineLevel="0" collapsed="false">
      <c r="A232" s="27" t="s">
        <v>3717</v>
      </c>
      <c r="B232" s="27" t="s">
        <v>3483</v>
      </c>
      <c r="C232" s="27" t="s">
        <v>3484</v>
      </c>
      <c r="D232" s="27" t="s">
        <v>3485</v>
      </c>
      <c r="E232" s="27" t="s">
        <v>215</v>
      </c>
      <c r="F232" s="9" t="s">
        <v>1625</v>
      </c>
      <c r="G232" s="9" t="s">
        <v>219</v>
      </c>
      <c r="H232" s="27" t="s">
        <v>1555</v>
      </c>
      <c r="I232" s="27" t="s">
        <v>3487</v>
      </c>
      <c r="J232" s="10" t="n">
        <v>0</v>
      </c>
      <c r="K232" s="27" t="s">
        <v>3488</v>
      </c>
      <c r="L232" s="27" t="s">
        <v>86</v>
      </c>
      <c r="M232" s="27" t="s">
        <v>1580</v>
      </c>
      <c r="N232" s="23" t="s">
        <v>93</v>
      </c>
      <c r="O232" s="9" t="s">
        <v>3489</v>
      </c>
    </row>
    <row r="233" customFormat="false" ht="19.5" hidden="false" customHeight="true" outlineLevel="0" collapsed="false">
      <c r="A233" s="25" t="s">
        <v>3718</v>
      </c>
      <c r="B233" s="25" t="s">
        <v>3483</v>
      </c>
      <c r="C233" s="25" t="s">
        <v>3484</v>
      </c>
      <c r="D233" s="25" t="s">
        <v>3485</v>
      </c>
      <c r="E233" s="25" t="s">
        <v>257</v>
      </c>
      <c r="F233" s="12" t="s">
        <v>1627</v>
      </c>
      <c r="G233" s="12" t="s">
        <v>219</v>
      </c>
      <c r="H233" s="25" t="s">
        <v>1555</v>
      </c>
      <c r="I233" s="25" t="s">
        <v>3487</v>
      </c>
      <c r="J233" s="13" t="n">
        <v>11</v>
      </c>
      <c r="K233" s="25" t="s">
        <v>3488</v>
      </c>
      <c r="L233" s="25" t="s">
        <v>86</v>
      </c>
      <c r="M233" s="25" t="s">
        <v>1580</v>
      </c>
      <c r="N233" s="22" t="s">
        <v>93</v>
      </c>
      <c r="O233" s="12" t="s">
        <v>3489</v>
      </c>
    </row>
    <row r="234" customFormat="false" ht="19.5" hidden="false" customHeight="true" outlineLevel="0" collapsed="false">
      <c r="A234" s="27" t="s">
        <v>3719</v>
      </c>
      <c r="B234" s="27" t="s">
        <v>3720</v>
      </c>
      <c r="C234" s="27" t="s">
        <v>3721</v>
      </c>
      <c r="D234" s="27" t="s">
        <v>3722</v>
      </c>
      <c r="E234" s="27" t="s">
        <v>362</v>
      </c>
      <c r="F234" s="9" t="s">
        <v>3723</v>
      </c>
      <c r="G234" s="9" t="s">
        <v>3724</v>
      </c>
      <c r="H234" s="27" t="s">
        <v>3449</v>
      </c>
      <c r="I234" s="27" t="s">
        <v>3725</v>
      </c>
      <c r="J234" s="30"/>
      <c r="K234" s="27" t="s">
        <v>3488</v>
      </c>
      <c r="L234" s="27" t="s">
        <v>165</v>
      </c>
      <c r="M234" s="27" t="s">
        <v>167</v>
      </c>
      <c r="N234" s="23" t="s">
        <v>3726</v>
      </c>
      <c r="O234" s="9" t="s">
        <v>3727</v>
      </c>
    </row>
    <row r="235" customFormat="false" ht="19.5" hidden="false" customHeight="true" outlineLevel="0" collapsed="false">
      <c r="A235" s="25" t="s">
        <v>3728</v>
      </c>
      <c r="B235" s="25" t="s">
        <v>3483</v>
      </c>
      <c r="C235" s="25" t="s">
        <v>3729</v>
      </c>
      <c r="D235" s="25" t="s">
        <v>3730</v>
      </c>
      <c r="E235" s="25" t="s">
        <v>266</v>
      </c>
      <c r="F235" s="12" t="s">
        <v>3731</v>
      </c>
      <c r="G235" s="12" t="s">
        <v>3724</v>
      </c>
      <c r="H235" s="25" t="s">
        <v>3449</v>
      </c>
      <c r="I235" s="25" t="s">
        <v>3732</v>
      </c>
      <c r="J235" s="29"/>
      <c r="K235" s="25" t="s">
        <v>3488</v>
      </c>
      <c r="L235" s="25" t="s">
        <v>173</v>
      </c>
      <c r="M235" s="25" t="s">
        <v>3733</v>
      </c>
      <c r="N235" s="22" t="s">
        <v>3726</v>
      </c>
      <c r="O235" s="12" t="s">
        <v>3734</v>
      </c>
    </row>
  </sheetData>
  <mergeCells count="2">
    <mergeCell ref="A1:O1"/>
    <mergeCell ref="A2:O2"/>
  </mergeCells>
  <hyperlinks>
    <hyperlink ref="N5" r:id="rId1" display="http://thuyloitiengiang.vn/web/thuyloitiengiang/chi-tiet-tin-tuc?id=464847"/>
    <hyperlink ref="N6" r:id="rId2" display="http://thuyloitiengiang.vn/web/thuyloitiengiang/chi-tiet-tin-tuc?id=464847"/>
    <hyperlink ref="N7" r:id="rId3" display="http://thuyloitiengiang.vn/web/thuyloitiengiang/chi-tiet-tin-tuc?id=464847"/>
    <hyperlink ref="N8" r:id="rId4" display="http://thuyloitiengiang.vn/web/thuyloitiengiang/chi-tiet-tin-tuc?id=464847"/>
    <hyperlink ref="N9" r:id="rId5" display="http://thuyloitiengiang.vn/web/thuyloitiengiang/chi-tiet-tin-tuc?id=464847"/>
    <hyperlink ref="N10" r:id="rId6" display="http://thuyloitiengiang.vn/web/thuyloitiengiang/chi-tiet-tin-tuc?id=464847"/>
    <hyperlink ref="N11" r:id="rId7" display="http://thuyloitiengiang.vn/web/thuyloitiengiang/chi-tiet-tin-tuc?id=464847"/>
    <hyperlink ref="N12" r:id="rId8" display="http://thuyloitiengiang.vn/web/thuyloitiengiang/chi-tiet-tin-tuc?id=464847"/>
    <hyperlink ref="N13" r:id="rId9" display="http://thuyloitiengiang.vn/web/thuyloitiengiang/chi-tiet-tin-tuc?id=464847"/>
    <hyperlink ref="N14" r:id="rId10" display="http://thuyloitiengiang.vn/web/thuyloitiengiang/chi-tiet-tin-tuc?id=464847"/>
    <hyperlink ref="N15" r:id="rId11" display="http://thuyloitiengiang.vn/web/thuyloitiengiang/chi-tiet-tin-tuc?id=464847"/>
    <hyperlink ref="N16" r:id="rId12" display="http://thuyloitiengiang.vn/web/thuyloitiengiang/chi-tiet-tin-tuc?id=464847"/>
    <hyperlink ref="N17" r:id="rId13" display="http://thuyloitiengiang.vn/web/thuyloitiengiang/chi-tiet-tin-tuc?id=464847"/>
    <hyperlink ref="N18" r:id="rId14" display="http://thuyloitiengiang.vn/web/thuyloitiengiang/chi-tiet-tin-tuc?id=464847"/>
    <hyperlink ref="N19" r:id="rId15" display="http://thuyloitiengiang.vn/web/thuyloitiengiang/chi-tiet-tin-tuc?id=464847"/>
    <hyperlink ref="N20" r:id="rId16" display="http://thuyloitiengiang.vn/web/thuyloitiengiang/chi-tiet-tin-tuc?id=464847"/>
    <hyperlink ref="N21" r:id="rId17" display="http://thuyloitiengiang.vn/web/thuyloitiengiang/chi-tiet-tin-tuc?id=464847"/>
    <hyperlink ref="N22" r:id="rId18" display="http://thuyloitiengiang.vn/web/thuyloitiengiang/chi-tiet-tin-tuc?id=464847"/>
    <hyperlink ref="N23" r:id="rId19" display="http://thuyloitiengiang.vn/web/thuyloitiengiang/chi-tiet-tin-tuc?id=464847"/>
    <hyperlink ref="N24" r:id="rId20" display="http://thuyloitiengiang.vn/web/thuyloitiengiang/chi-tiet-tin-tuc?id=464847"/>
    <hyperlink ref="N25" r:id="rId21" display="http://thuyloitiengiang.vn/web/thuyloitiengiang/chi-tiet-tin-tuc?id=464847"/>
    <hyperlink ref="N26" r:id="rId22" display="http://thuyloitiengiang.vn/web/thuyloitiengiang/chi-tiet-tin-tuc?id=464847"/>
    <hyperlink ref="N27" r:id="rId23" display="http://thuyloitiengiang.vn/web/thuyloitiengiang/chi-tiet-tin-tuc?id=464847"/>
    <hyperlink ref="N28" r:id="rId24" display="http://thuyloitiengiang.vn/web/thuyloitiengiang/chi-tiet-tin-tuc?id=464847"/>
    <hyperlink ref="N29" r:id="rId25" display="http://thuyloitiengiang.vn/web/thuyloitiengiang/chi-tiet-tin-tuc?id=464847"/>
    <hyperlink ref="N30" r:id="rId26" display="http://thuyloitiengiang.vn/web/thuyloitiengiang/chi-tiet-tin-tuc?id=464847"/>
    <hyperlink ref="N31" r:id="rId27" display="http://thuyloitiengiang.vn/web/thuyloitiengiang/chi-tiet-tin-tuc?id=464847"/>
    <hyperlink ref="N32" r:id="rId28" display="http://thuyloitiengiang.vn/web/thuyloitiengiang/chi-tiet-tin-tuc?id=464847"/>
    <hyperlink ref="N33" r:id="rId29" display="http://thuyloitiengiang.vn/web/thuyloitiengiang/chi-tiet-tin-tuc?id=464847"/>
    <hyperlink ref="N34" r:id="rId30" display="http://thuyloitiengiang.vn/web/thuyloitiengiang/chi-tiet-tin-tuc?id=464851"/>
    <hyperlink ref="N35" r:id="rId31" display="http://thuyloitiengiang.vn/web/thuyloitiengiang/chi-tiet-tin-tuc?id=464851"/>
    <hyperlink ref="N36" r:id="rId32" display="http://thuyloitiengiang.vn/web/thuyloitiengiang/chi-tiet-tin-tuc?id=464851"/>
    <hyperlink ref="N37" r:id="rId33" display="http://thuyloitiengiang.vn/web/thuyloitiengiang/chi-tiet-tin-tuc?id=464851"/>
    <hyperlink ref="N38" r:id="rId34" display="http://thuyloitiengiang.vn/web/thuyloitiengiang/chi-tiet-tin-tuc?id=464851"/>
    <hyperlink ref="N39" r:id="rId35" display="http://thuyloitiengiang.vn/web/thuyloitiengiang/chi-tiet-tin-tuc?id=464851"/>
    <hyperlink ref="N40" r:id="rId36" display="http://thuyloitiengiang.vn/web/thuyloitiengiang/chi-tiet-tin-tuc?id=464851"/>
    <hyperlink ref="N41" r:id="rId37" display="http://thuyloitiengiang.vn/web/thuyloitiengiang/chi-tiet-tin-tuc?id=464851"/>
    <hyperlink ref="N42" r:id="rId38" display="http://thuyloitiengiang.vn/web/thuyloitiengiang/chi-tiet-tin-tuc?id=464851"/>
    <hyperlink ref="N43" r:id="rId39" display="http://thuyloitiengiang.vn/web/thuyloitiengiang/chi-tiet-tin-tuc?id=464851"/>
    <hyperlink ref="N44" r:id="rId40" display="http://thuyloitiengiang.vn/web/thuyloitiengiang/chi-tiet-tin-tuc?id=464851"/>
    <hyperlink ref="N45" r:id="rId41" display="http://thuyloitiengiang.vn/web/thuyloitiengiang/chi-tiet-tin-tuc?id=464851"/>
    <hyperlink ref="N46" r:id="rId42" display="http://thuyloitiengiang.vn/web/thuyloitiengiang/chi-tiet-tin-tuc?id=464851"/>
    <hyperlink ref="N47" r:id="rId43" display="http://thuyloitiengiang.vn/web/thuyloitiengiang/chi-tiet-tin-tuc?id=464851"/>
    <hyperlink ref="N48" r:id="rId44" display="http://thuyloitiengiang.vn/web/thuyloitiengiang/chi-tiet-tin-tuc?id=464851"/>
    <hyperlink ref="N49" r:id="rId45" display="http://thuyloitiengiang.vn/web/thuyloitiengiang/chi-tiet-tin-tuc?id=464851"/>
    <hyperlink ref="N50" r:id="rId46" display="http://thuyloitiengiang.vn/web/thuyloitiengiang/chi-tiet-tin-tuc?id=464851"/>
    <hyperlink ref="N51" r:id="rId47" display="http://thuyloitiengiang.vn/web/thuyloitiengiang/chi-tiet-tin-tuc?id=464851"/>
    <hyperlink ref="N52" r:id="rId48" display="http://thuyloitiengiang.vn/web/thuyloitiengiang/chi-tiet-tin-tuc?id=464851"/>
    <hyperlink ref="N53" r:id="rId49" display="http://thuyloitiengiang.vn/web/thuyloitiengiang/chi-tiet-tin-tuc?id=464851"/>
    <hyperlink ref="N54" r:id="rId50" display="http://thuyloitiengiang.vn/web/thuyloitiengiang/chi-tiet-tin-tuc?id=464851"/>
    <hyperlink ref="N55" r:id="rId51" display="http://thuyloitiengiang.vn/web/thuyloitiengiang/chi-tiet-tin-tuc?id=464851"/>
    <hyperlink ref="N56" r:id="rId52" display="http://thuyloitiengiang.vn/web/thuyloitiengiang/chi-tiet-tin-tuc?id=464851"/>
    <hyperlink ref="N57" r:id="rId53" display="http://thuyloitiengiang.vn/web/thuyloitiengiang/chi-tiet-tin-tuc?id=464851"/>
    <hyperlink ref="N58" r:id="rId54" display="http://thuyloitiengiang.vn/web/thuyloitiengiang/chi-tiet-tin-tuc?id=464851"/>
    <hyperlink ref="N59" r:id="rId55" display="http://thuyloitiengiang.vn/web/thuyloitiengiang/chi-tiet-tin-tuc?id=464851"/>
    <hyperlink ref="N60" r:id="rId56" display="http://thuyloitiengiang.vn/web/thuyloitiengiang/chi-tiet-tin-tuc?id=464851"/>
    <hyperlink ref="N61" r:id="rId57" display="http://thuyloitiengiang.vn/web/thuyloitiengiang/chi-tiet-tin-tuc?id=464851"/>
    <hyperlink ref="N62" r:id="rId58" display="http://thuyloitiengiang.vn/web/thuyloitiengiang/chi-tiet-tin-tuc?id=464851"/>
    <hyperlink ref="N63" r:id="rId59" display="http://thuyloitiengiang.vn/web/thuyloitiengiang/chi-tiet-tin-tuc?id=464854"/>
    <hyperlink ref="N64" r:id="rId60" display="http://thuyloitiengiang.vn/web/thuyloitiengiang/chi-tiet-tin-tuc?id=464854"/>
    <hyperlink ref="N65" r:id="rId61" display="http://thuyloitiengiang.vn/web/thuyloitiengiang/chi-tiet-tin-tuc?id=464854"/>
    <hyperlink ref="N66" r:id="rId62" display="http://thuyloitiengiang.vn/web/thuyloitiengiang/chi-tiet-tin-tuc?id=464854"/>
    <hyperlink ref="N67" r:id="rId63" display="http://thuyloitiengiang.vn/web/thuyloitiengiang/chi-tiet-tin-tuc?id=464854"/>
    <hyperlink ref="N68" r:id="rId64" display="http://thuyloitiengiang.vn/web/thuyloitiengiang/chi-tiet-tin-tuc?id=464854"/>
    <hyperlink ref="N69" r:id="rId65" display="http://thuyloitiengiang.vn/web/thuyloitiengiang/chi-tiet-tin-tuc?id=464854"/>
    <hyperlink ref="N70" r:id="rId66" display="http://thuyloitiengiang.vn/web/thuyloitiengiang/chi-tiet-tin-tuc?id=464854"/>
    <hyperlink ref="N71" r:id="rId67" display="http://thuyloitiengiang.vn/web/thuyloitiengiang/chi-tiet-tin-tuc?id=464854"/>
    <hyperlink ref="N72" r:id="rId68" display="http://thuyloitiengiang.vn/web/thuyloitiengiang/chi-tiet-tin-tuc?id=464854"/>
    <hyperlink ref="N73" r:id="rId69" display="http://thuyloitiengiang.vn/web/thuyloitiengiang/chi-tiet-tin-tuc?id=464854"/>
    <hyperlink ref="N74" r:id="rId70" display="http://thuyloitiengiang.vn/web/thuyloitiengiang/chi-tiet-tin-tuc?id=464854"/>
    <hyperlink ref="N75" r:id="rId71" display="http://thuyloitiengiang.vn/web/thuyloitiengiang/chi-tiet-tin-tuc?id=464854"/>
    <hyperlink ref="N76" r:id="rId72" display="http://thuyloitiengiang.vn/web/thuyloitiengiang/chi-tiet-tin-tuc?id=464854"/>
    <hyperlink ref="N77" r:id="rId73" display="http://thuyloitiengiang.vn/web/thuyloitiengiang/chi-tiet-tin-tuc?id=464854"/>
    <hyperlink ref="N78" r:id="rId74" display="http://thuyloitiengiang.vn/web/thuyloitiengiang/chi-tiet-tin-tuc?id=464854"/>
    <hyperlink ref="N79" r:id="rId75" display="http://thuyloitiengiang.vn/web/thuyloitiengiang/chi-tiet-tin-tuc?id=464854"/>
    <hyperlink ref="N80" r:id="rId76" display="http://thuyloitiengiang.vn/web/thuyloitiengiang/chi-tiet-tin-tuc?id=464854"/>
    <hyperlink ref="N81" r:id="rId77" display="http://thuyloitiengiang.vn/web/thuyloitiengiang/chi-tiet-tin-tuc?id=464854"/>
    <hyperlink ref="N82" r:id="rId78" display="http://thuyloitiengiang.vn/web/thuyloitiengiang/chi-tiet-tin-tuc?id=464854"/>
    <hyperlink ref="N83" r:id="rId79" display="http://thuyloitiengiang.vn/web/thuyloitiengiang/chi-tiet-tin-tuc?id=464854"/>
    <hyperlink ref="N84" r:id="rId80" display="http://thuyloitiengiang.vn/web/thuyloitiengiang/chi-tiet-tin-tuc?id=464854"/>
    <hyperlink ref="N85" r:id="rId81" display="http://thuyloitiengiang.vn/web/thuyloitiengiang/chi-tiet-tin-tuc?id=464854"/>
    <hyperlink ref="N86" r:id="rId82" display="http://thuyloitiengiang.vn/web/thuyloitiengiang/chi-tiet-tin-tuc?id=464854"/>
    <hyperlink ref="N87" r:id="rId83" display="http://thuyloitiengiang.vn/web/thuyloitiengiang/chi-tiet-tin-tuc?id=464854"/>
    <hyperlink ref="N88" r:id="rId84" display="http://thuyloitiengiang.vn/web/thuyloitiengiang/chi-tiet-tin-tuc?id=464854"/>
    <hyperlink ref="N89" r:id="rId85" display="http://thuyloitiengiang.vn/web/thuyloitiengiang/chi-tiet-tin-tuc?id=464854"/>
    <hyperlink ref="N90" r:id="rId86" display="http://thuyloitiengiang.vn/web/thuyloitiengiang/chi-tiet-tin-tuc?id=464854"/>
    <hyperlink ref="N91" r:id="rId87" display="http://thuyloitiengiang.vn/web/thuyloitiengiang/chi-tiet-tin-tuc?id=464854"/>
    <hyperlink ref="N92" r:id="rId88" display="http://thuyloitiengiang.vn/ja/web/thuyloitiengiang/chi-tiet-tin-tuc?id=520619"/>
    <hyperlink ref="N93" r:id="rId89" display="http://thuyloitiengiang.vn/ja/web/thuyloitiengiang/chi-tiet-tin-tuc?id=520619"/>
    <hyperlink ref="N94" r:id="rId90" display="http://thuyloitiengiang.vn/ja/web/thuyloitiengiang/chi-tiet-tin-tuc?id=520619"/>
    <hyperlink ref="N95" r:id="rId91" display="http://thuyloitiengiang.vn/ja/web/thuyloitiengiang/chi-tiet-tin-tuc?id=520619"/>
    <hyperlink ref="N96" r:id="rId92" display="http://thuyloitiengiang.vn/ja/web/thuyloitiengiang/chi-tiet-tin-tuc?id=520619"/>
    <hyperlink ref="N97" r:id="rId93" display="http://thuyloitiengiang.vn/ja/web/thuyloitiengiang/chi-tiet-tin-tuc?id=520619"/>
    <hyperlink ref="N98" r:id="rId94" display="http://thuyloitiengiang.vn/ja/web/thuyloitiengiang/chi-tiet-tin-tuc?id=520619"/>
    <hyperlink ref="N99" r:id="rId95" display="http://thuyloitiengiang.vn/ja/web/thuyloitiengiang/chi-tiet-tin-tuc?id=520619"/>
    <hyperlink ref="N100" r:id="rId96" display="http://thuyloitiengiang.vn/ja/web/thuyloitiengiang/chi-tiet-tin-tuc?id=520619"/>
    <hyperlink ref="N101" r:id="rId97" display="http://thuyloitiengiang.vn/ja/web/thuyloitiengiang/chi-tiet-tin-tuc?id=520619"/>
    <hyperlink ref="N102" r:id="rId98" display="http://thuyloitiengiang.vn/ja/web/thuyloitiengiang/chi-tiet-tin-tuc?id=520619"/>
    <hyperlink ref="N103" r:id="rId99" display="http://thuyloitiengiang.vn/ja/web/thuyloitiengiang/chi-tiet-tin-tuc?id=520619"/>
    <hyperlink ref="N104" r:id="rId100" display="http://thuyloitiengiang.vn/ja/web/thuyloitiengiang/chi-tiet-tin-tuc?id=520619"/>
    <hyperlink ref="N105" r:id="rId101" display="http://thuyloitiengiang.vn/ja/web/thuyloitiengiang/chi-tiet-tin-tuc?id=520619"/>
    <hyperlink ref="N106" r:id="rId102" display="http://thuyloitiengiang.vn/ja/web/thuyloitiengiang/chi-tiet-tin-tuc?id=520619"/>
    <hyperlink ref="N107" r:id="rId103" display="http://thuyloitiengiang.vn/ja/web/thuyloitiengiang/chi-tiet-tin-tuc?id=520619"/>
    <hyperlink ref="N108" r:id="rId104" display="http://thuyloitiengiang.vn/ja/web/thuyloitiengiang/chi-tiet-tin-tuc?id=520619"/>
    <hyperlink ref="N109" r:id="rId105" display="http://thuyloitiengiang.vn/ja/web/thuyloitiengiang/chi-tiet-tin-tuc?id=520619"/>
    <hyperlink ref="N110" r:id="rId106" display="http://thuyloitiengiang.vn/ja/web/thuyloitiengiang/chi-tiet-tin-tuc?id=520619"/>
    <hyperlink ref="N111" r:id="rId107" display="http://thuyloitiengiang.vn/ja/web/thuyloitiengiang/chi-tiet-tin-tuc?id=520619"/>
    <hyperlink ref="N112" r:id="rId108" display="http://thuyloitiengiang.vn/ja/web/thuyloitiengiang/chi-tiet-tin-tuc?id=520619"/>
    <hyperlink ref="N113" r:id="rId109" display="http://thuyloitiengiang.vn/ja/web/thuyloitiengiang/chi-tiet-tin-tuc?id=520619"/>
    <hyperlink ref="N114" r:id="rId110" display="http://thuyloitiengiang.vn/ja/web/thuyloitiengiang/chi-tiet-tin-tuc?id=520619"/>
    <hyperlink ref="N115" r:id="rId111" display="http://thuyloitiengiang.vn/ja/web/thuyloitiengiang/chi-tiet-tin-tuc?id=520619"/>
    <hyperlink ref="N116" r:id="rId112" display="http://thuyloitiengiang.vn/ja/web/thuyloitiengiang/chi-tiet-tin-tuc?id=520619"/>
    <hyperlink ref="N117" r:id="rId113" display="http://thuyloitiengiang.vn/ja/web/thuyloitiengiang/chi-tiet-tin-tuc?id=520619"/>
    <hyperlink ref="N118" r:id="rId114" display="http://thuyloitiengiang.vn/ja/web/thuyloitiengiang/chi-tiet-tin-tuc?id=520619"/>
    <hyperlink ref="N119" r:id="rId115" display="http://thuyloitiengiang.vn/ja/web/thuyloitiengiang/chi-tiet-tin-tuc?id=520619"/>
    <hyperlink ref="N120" r:id="rId116" display="http://thuyloitiengiang.vn/ja/web/thuyloitiengiang/chi-tiet-tin-tuc?id=520619"/>
    <hyperlink ref="N121" r:id="rId117" display="http://thuyloitiengiang.vn/ja/web/thuyloitiengiang/chi-tiet-tin-tuc?id=520621"/>
    <hyperlink ref="N122" r:id="rId118" display="http://thuyloitiengiang.vn/ja/web/thuyloitiengiang/chi-tiet-tin-tuc?id=520621"/>
    <hyperlink ref="N123" r:id="rId119" display="http://thuyloitiengiang.vn/ja/web/thuyloitiengiang/chi-tiet-tin-tuc?id=520621"/>
    <hyperlink ref="N124" r:id="rId120" display="http://thuyloitiengiang.vn/ja/web/thuyloitiengiang/chi-tiet-tin-tuc?id=520621"/>
    <hyperlink ref="N125" r:id="rId121" display="http://thuyloitiengiang.vn/ja/web/thuyloitiengiang/chi-tiet-tin-tuc?id=520621"/>
    <hyperlink ref="N126" r:id="rId122" display="http://thuyloitiengiang.vn/ja/web/thuyloitiengiang/chi-tiet-tin-tuc?id=520621"/>
    <hyperlink ref="N127" r:id="rId123" display="http://thuyloitiengiang.vn/ja/web/thuyloitiengiang/chi-tiet-tin-tuc?id=520621"/>
    <hyperlink ref="N128" r:id="rId124" display="http://thuyloitiengiang.vn/ja/web/thuyloitiengiang/chi-tiet-tin-tuc?id=520621"/>
    <hyperlink ref="N129" r:id="rId125" display="http://thuyloitiengiang.vn/ja/web/thuyloitiengiang/chi-tiet-tin-tuc?id=520621"/>
    <hyperlink ref="N130" r:id="rId126" display="http://thuyloitiengiang.vn/ja/web/thuyloitiengiang/chi-tiet-tin-tuc?id=520621"/>
    <hyperlink ref="N131" r:id="rId127" display="http://thuyloitiengiang.vn/ja/web/thuyloitiengiang/chi-tiet-tin-tuc?id=520621"/>
    <hyperlink ref="N132" r:id="rId128" display="http://thuyloitiengiang.vn/ja/web/thuyloitiengiang/chi-tiet-tin-tuc?id=520621"/>
    <hyperlink ref="N133" r:id="rId129" display="http://thuyloitiengiang.vn/ja/web/thuyloitiengiang/chi-tiet-tin-tuc?id=520621"/>
    <hyperlink ref="N134" r:id="rId130" display="http://thuyloitiengiang.vn/ja/web/thuyloitiengiang/chi-tiet-tin-tuc?id=520621"/>
    <hyperlink ref="N135" r:id="rId131" display="http://thuyloitiengiang.vn/ja/web/thuyloitiengiang/chi-tiet-tin-tuc?id=520621"/>
    <hyperlink ref="N136" r:id="rId132" display="http://thuyloitiengiang.vn/ja/web/thuyloitiengiang/chi-tiet-tin-tuc?id=520621"/>
    <hyperlink ref="N137" r:id="rId133" display="http://thuyloitiengiang.vn/ja/web/thuyloitiengiang/chi-tiet-tin-tuc?id=520621"/>
    <hyperlink ref="N138" r:id="rId134" display="http://thuyloitiengiang.vn/ja/web/thuyloitiengiang/chi-tiet-tin-tuc?id=520621"/>
    <hyperlink ref="N139" r:id="rId135" display="http://thuyloitiengiang.vn/ja/web/thuyloitiengiang/chi-tiet-tin-tuc?id=520621"/>
    <hyperlink ref="N140" r:id="rId136" display="http://thuyloitiengiang.vn/ja/web/thuyloitiengiang/chi-tiet-tin-tuc?id=520621"/>
    <hyperlink ref="N141" r:id="rId137" display="http://thuyloitiengiang.vn/ja/web/thuyloitiengiang/chi-tiet-tin-tuc?id=520621"/>
    <hyperlink ref="N142" r:id="rId138" display="http://thuyloitiengiang.vn/ja/web/thuyloitiengiang/chi-tiet-tin-tuc?id=520621"/>
    <hyperlink ref="N143" r:id="rId139" display="http://thuyloitiengiang.vn/ja/web/thuyloitiengiang/chi-tiet-tin-tuc?id=520621"/>
    <hyperlink ref="N144" r:id="rId140" display="http://thuyloitiengiang.vn/ja/web/thuyloitiengiang/chi-tiet-tin-tuc?id=520621"/>
    <hyperlink ref="N145" r:id="rId141" display="http://thuyloitiengiang.vn/ja/web/thuyloitiengiang/chi-tiet-tin-tuc?id=520621"/>
    <hyperlink ref="N146" r:id="rId142" display="http://thuyloitiengiang.vn/ja/web/thuyloitiengiang/chi-tiet-tin-tuc?id=520621"/>
    <hyperlink ref="N147" r:id="rId143" display="http://thuyloitiengiang.vn/ja/web/thuyloitiengiang/chi-tiet-tin-tuc?id=520621"/>
    <hyperlink ref="N148" r:id="rId144" display="http://thuyloitiengiang.vn/ja/web/thuyloitiengiang/chi-tiet-tin-tuc?id=520621"/>
    <hyperlink ref="N149" r:id="rId145" display="http://thuyloitiengiang.vn/ja/web/thuyloitiengiang/chi-tiet-tin-tuc?id=520621"/>
    <hyperlink ref="N150" r:id="rId146" display="http://thuyloitiengiang.vn/ja/web/thuyloitiengiang/chi-tiet-tin-tuc?id=520623"/>
    <hyperlink ref="N151" r:id="rId147" display="http://thuyloitiengiang.vn/ja/web/thuyloitiengiang/chi-tiet-tin-tuc?id=520623"/>
    <hyperlink ref="N152" r:id="rId148" display="http://thuyloitiengiang.vn/ja/web/thuyloitiengiang/chi-tiet-tin-tuc?id=520623"/>
    <hyperlink ref="N153" r:id="rId149" display="http://thuyloitiengiang.vn/ja/web/thuyloitiengiang/chi-tiet-tin-tuc?id=520623"/>
    <hyperlink ref="N154" r:id="rId150" display="http://thuyloitiengiang.vn/ja/web/thuyloitiengiang/chi-tiet-tin-tuc?id=520623"/>
    <hyperlink ref="N155" r:id="rId151" display="http://thuyloitiengiang.vn/ja/web/thuyloitiengiang/chi-tiet-tin-tuc?id=520623"/>
    <hyperlink ref="N156" r:id="rId152" display="http://thuyloitiengiang.vn/ja/web/thuyloitiengiang/chi-tiet-tin-tuc?id=520623"/>
    <hyperlink ref="N157" r:id="rId153" display="http://thuyloitiengiang.vn/ja/web/thuyloitiengiang/chi-tiet-tin-tuc?id=520623"/>
    <hyperlink ref="N158" r:id="rId154" display="http://thuyloitiengiang.vn/ja/web/thuyloitiengiang/chi-tiet-tin-tuc?id=520623"/>
    <hyperlink ref="N159" r:id="rId155" display="http://thuyloitiengiang.vn/ja/web/thuyloitiengiang/chi-tiet-tin-tuc?id=520623"/>
    <hyperlink ref="N160" r:id="rId156" display="http://thuyloitiengiang.vn/ja/web/thuyloitiengiang/chi-tiet-tin-tuc?id=520623"/>
    <hyperlink ref="N161" r:id="rId157" display="http://thuyloitiengiang.vn/ja/web/thuyloitiengiang/chi-tiet-tin-tuc?id=520623"/>
    <hyperlink ref="N162" r:id="rId158" display="http://thuyloitiengiang.vn/ja/web/thuyloitiengiang/chi-tiet-tin-tuc?id=520623"/>
    <hyperlink ref="N163" r:id="rId159" display="http://thuyloitiengiang.vn/ja/web/thuyloitiengiang/chi-tiet-tin-tuc?id=520623"/>
    <hyperlink ref="N164" r:id="rId160" display="http://thuyloitiengiang.vn/ja/web/thuyloitiengiang/chi-tiet-tin-tuc?id=520623"/>
    <hyperlink ref="N165" r:id="rId161" display="http://thuyloitiengiang.vn/ja/web/thuyloitiengiang/chi-tiet-tin-tuc?id=520623"/>
    <hyperlink ref="N166" r:id="rId162" display="http://thuyloitiengiang.vn/ja/web/thuyloitiengiang/chi-tiet-tin-tuc?id=520623"/>
    <hyperlink ref="N167" r:id="rId163" display="http://thuyloitiengiang.vn/ja/web/thuyloitiengiang/chi-tiet-tin-tuc?id=520623"/>
    <hyperlink ref="N168" r:id="rId164" display="http://thuyloitiengiang.vn/ja/web/thuyloitiengiang/chi-tiet-tin-tuc?id=520623"/>
    <hyperlink ref="N169" r:id="rId165" display="http://thuyloitiengiang.vn/ja/web/thuyloitiengiang/chi-tiet-tin-tuc?id=520623"/>
    <hyperlink ref="N170" r:id="rId166" display="http://thuyloitiengiang.vn/ja/web/thuyloitiengiang/chi-tiet-tin-tuc?id=520623"/>
    <hyperlink ref="N171" r:id="rId167" display="http://thuyloitiengiang.vn/ja/web/thuyloitiengiang/chi-tiet-tin-tuc?id=520623"/>
    <hyperlink ref="N172" r:id="rId168" display="http://thuyloitiengiang.vn/ja/web/thuyloitiengiang/chi-tiet-tin-tuc?id=520623"/>
    <hyperlink ref="N173" r:id="rId169" display="http://thuyloitiengiang.vn/ja/web/thuyloitiengiang/chi-tiet-tin-tuc?id=520623"/>
    <hyperlink ref="N174" r:id="rId170" display="http://thuyloitiengiang.vn/ja/web/thuyloitiengiang/chi-tiet-tin-tuc?id=520623"/>
    <hyperlink ref="N175" r:id="rId171" display="http://thuyloitiengiang.vn/ja/web/thuyloitiengiang/chi-tiet-tin-tuc?id=520623"/>
    <hyperlink ref="N176" r:id="rId172" display="http://thuyloitiengiang.vn/en/web/thuyloitiengiang/chi-tiet-tin-tuc?id=520630"/>
    <hyperlink ref="N177" r:id="rId173" display="http://thuyloitiengiang.vn/en/web/thuyloitiengiang/chi-tiet-tin-tuc?id=520630"/>
    <hyperlink ref="N178" r:id="rId174" display="http://thuyloitiengiang.vn/en/web/thuyloitiengiang/chi-tiet-tin-tuc?id=520630"/>
    <hyperlink ref="N179" r:id="rId175" display="http://thuyloitiengiang.vn/en/web/thuyloitiengiang/chi-tiet-tin-tuc?id=520630"/>
    <hyperlink ref="N180" r:id="rId176" display="http://thuyloitiengiang.vn/en/web/thuyloitiengiang/chi-tiet-tin-tuc?id=520630"/>
    <hyperlink ref="N181" r:id="rId177" display="http://thuyloitiengiang.vn/en/web/thuyloitiengiang/chi-tiet-tin-tuc?id=520630"/>
    <hyperlink ref="N182" r:id="rId178" display="http://thuyloitiengiang.vn/en/web/thuyloitiengiang/chi-tiet-tin-tuc?id=520630"/>
    <hyperlink ref="N183" r:id="rId179" display="http://thuyloitiengiang.vn/en/web/thuyloitiengiang/chi-tiet-tin-tuc?id=520630"/>
    <hyperlink ref="N184" r:id="rId180" display="http://thuyloitiengiang.vn/en/web/thuyloitiengiang/chi-tiet-tin-tuc?id=520630"/>
    <hyperlink ref="N185" r:id="rId181" display="http://thuyloitiengiang.vn/en/web/thuyloitiengiang/chi-tiet-tin-tuc?id=520630"/>
    <hyperlink ref="N186" r:id="rId182" display="http://thuyloitiengiang.vn/en/web/thuyloitiengiang/chi-tiet-tin-tuc?id=520630"/>
    <hyperlink ref="N187" r:id="rId183" display="http://thuyloitiengiang.vn/en/web/thuyloitiengiang/chi-tiet-tin-tuc?id=520630"/>
    <hyperlink ref="N188" r:id="rId184" display="http://thuyloitiengiang.vn/en/web/thuyloitiengiang/chi-tiet-tin-tuc?id=520630"/>
    <hyperlink ref="N189" r:id="rId185" display="http://thuyloitiengiang.vn/en/web/thuyloitiengiang/chi-tiet-tin-tuc?id=520630"/>
    <hyperlink ref="N190" r:id="rId186" display="http://thuyloitiengiang.vn/en/web/thuyloitiengiang/chi-tiet-tin-tuc?id=520630"/>
    <hyperlink ref="N191" r:id="rId187" display="http://thuyloitiengiang.vn/en/web/thuyloitiengiang/chi-tiet-tin-tuc?id=520630"/>
    <hyperlink ref="N192" r:id="rId188" display="http://thuyloitiengiang.vn/en/web/thuyloitiengiang/chi-tiet-tin-tuc?id=520630"/>
    <hyperlink ref="N193" r:id="rId189" display="http://thuyloitiengiang.vn/en/web/thuyloitiengiang/chi-tiet-tin-tuc?id=520630"/>
    <hyperlink ref="N194" r:id="rId190" display="http://thuyloitiengiang.vn/en/web/thuyloitiengiang/chi-tiet-tin-tuc?id=520630"/>
    <hyperlink ref="N195" r:id="rId191" display="http://thuyloitiengiang.vn/en/web/thuyloitiengiang/chi-tiet-tin-tuc?id=520630"/>
    <hyperlink ref="N196" r:id="rId192" display="http://thuyloitiengiang.vn/en/web/thuyloitiengiang/chi-tiet-tin-tuc?id=520630"/>
    <hyperlink ref="N197" r:id="rId193" display="http://thuyloitiengiang.vn/en/web/thuyloitiengiang/chi-tiet-tin-tuc?id=520630"/>
    <hyperlink ref="N198" r:id="rId194" display="http://thuyloitiengiang.vn/en/web/thuyloitiengiang/chi-tiet-tin-tuc?id=520630"/>
    <hyperlink ref="N199" r:id="rId195" display="http://thuyloitiengiang.vn/en/web/thuyloitiengiang/chi-tiet-tin-tuc?id=520630"/>
    <hyperlink ref="N200" r:id="rId196" display="http://thuyloitiengiang.vn/en/web/thuyloitiengiang/chi-tiet-tin-tuc?id=520630"/>
    <hyperlink ref="N201" r:id="rId197" display="http://thuyloitiengiang.vn/en/web/thuyloitiengiang/chi-tiet-tin-tuc?id=520630"/>
    <hyperlink ref="N202" r:id="rId198" display="http://thuyloitiengiang.vn/en/web/thuyloitiengiang/chi-tiet-tin-tuc?id=520630"/>
    <hyperlink ref="N203" r:id="rId199" display="http://thuyloitiengiang.vn/en/web/thuyloitiengiang/chi-tiet-tin-tuc?id=520630"/>
    <hyperlink ref="N204" r:id="rId200" display="http://thuyloitiengiang.vn/en/web/thuyloitiengiang/chi-tiet-tin-tuc?id=520630"/>
    <hyperlink ref="N205" r:id="rId201" display="http://thuyloitiengiang.vn/en/web/thuyloitiengiang/chi-tiet-tin-tuc?id=522066"/>
    <hyperlink ref="N206" r:id="rId202" display="http://thuyloitiengiang.vn/en/web/thuyloitiengiang/chi-tiet-tin-tuc?id=522066"/>
    <hyperlink ref="N207" r:id="rId203" display="http://thuyloitiengiang.vn/en/web/thuyloitiengiang/chi-tiet-tin-tuc?id=522066"/>
    <hyperlink ref="N208" r:id="rId204" display="http://thuyloitiengiang.vn/en/web/thuyloitiengiang/chi-tiet-tin-tuc?id=522066"/>
    <hyperlink ref="N209" r:id="rId205" display="http://thuyloitiengiang.vn/en/web/thuyloitiengiang/chi-tiet-tin-tuc?id=522066"/>
    <hyperlink ref="N210" r:id="rId206" display="http://thuyloitiengiang.vn/en/web/thuyloitiengiang/chi-tiet-tin-tuc?id=522066"/>
    <hyperlink ref="N211" r:id="rId207" display="http://thuyloitiengiang.vn/en/web/thuyloitiengiang/chi-tiet-tin-tuc?id=522066"/>
    <hyperlink ref="N212" r:id="rId208" display="http://thuyloitiengiang.vn/en/web/thuyloitiengiang/chi-tiet-tin-tuc?id=522066"/>
    <hyperlink ref="N213" r:id="rId209" display="http://thuyloitiengiang.vn/en/web/thuyloitiengiang/chi-tiet-tin-tuc?id=522066"/>
    <hyperlink ref="N214" r:id="rId210" display="http://thuyloitiengiang.vn/en/web/thuyloitiengiang/chi-tiet-tin-tuc?id=522066"/>
    <hyperlink ref="N215" r:id="rId211" display="http://thuyloitiengiang.vn/en/web/thuyloitiengiang/chi-tiet-tin-tuc?id=522066"/>
    <hyperlink ref="N216" r:id="rId212" display="http://thuyloitiengiang.vn/en/web/thuyloitiengiang/chi-tiet-tin-tuc?id=522066"/>
    <hyperlink ref="N217" r:id="rId213" display="http://thuyloitiengiang.vn/en/web/thuyloitiengiang/chi-tiet-tin-tuc?id=522066"/>
    <hyperlink ref="N218" r:id="rId214" display="http://thuyloitiengiang.vn/en/web/thuyloitiengiang/chi-tiet-tin-tuc?id=522066"/>
    <hyperlink ref="N219" r:id="rId215" display="http://thuyloitiengiang.vn/en/web/thuyloitiengiang/chi-tiet-tin-tuc?id=522066"/>
    <hyperlink ref="N220" r:id="rId216" display="http://thuyloitiengiang.vn/en/web/thuyloitiengiang/chi-tiet-tin-tuc?id=522066"/>
    <hyperlink ref="N221" r:id="rId217" display="http://thuyloitiengiang.vn/en/web/thuyloitiengiang/chi-tiet-tin-tuc?id=522066"/>
    <hyperlink ref="N222" r:id="rId218" display="http://thuyloitiengiang.vn/en/web/thuyloitiengiang/chi-tiet-tin-tuc?id=522066"/>
    <hyperlink ref="N223" r:id="rId219" display="http://thuyloitiengiang.vn/en/web/thuyloitiengiang/chi-tiet-tin-tuc?id=522066"/>
    <hyperlink ref="N224" r:id="rId220" display="http://thuyloitiengiang.vn/en/web/thuyloitiengiang/chi-tiet-tin-tuc?id=522066"/>
    <hyperlink ref="N225" r:id="rId221" display="http://thuyloitiengiang.vn/en/web/thuyloitiengiang/chi-tiet-tin-tuc?id=522066"/>
    <hyperlink ref="N226" r:id="rId222" display="http://thuyloitiengiang.vn/en/web/thuyloitiengiang/chi-tiet-tin-tuc?id=522066"/>
    <hyperlink ref="N227" r:id="rId223" display="http://thuyloitiengiang.vn/en/web/thuyloitiengiang/chi-tiet-tin-tuc?id=522066"/>
    <hyperlink ref="N228" r:id="rId224" display="http://thuyloitiengiang.vn/en/web/thuyloitiengiang/chi-tiet-tin-tuc?id=522066"/>
    <hyperlink ref="N229" r:id="rId225" display="http://thuyloitiengiang.vn/en/web/thuyloitiengiang/chi-tiet-tin-tuc?id=522066"/>
    <hyperlink ref="N230" r:id="rId226" display="http://thuyloitiengiang.vn/en/web/thuyloitiengiang/chi-tiet-tin-tuc?id=522066"/>
    <hyperlink ref="N231" r:id="rId227" display="http://thuyloitiengiang.vn/en/web/thuyloitiengiang/chi-tiet-tin-tuc?id=522066"/>
    <hyperlink ref="N232" r:id="rId228" display="http://thuyloitiengiang.vn/en/web/thuyloitiengiang/chi-tiet-tin-tuc?id=522066"/>
    <hyperlink ref="N233" r:id="rId229" display="http://thuyloitiengiang.vn/en/web/thuyloitiengiang/chi-tiet-tin-tuc?id=522066"/>
    <hyperlink ref="N234" r:id="rId230" display="https://drive.google.com/file/d/1c0Atuxq2PA3DFAdzF08leVgVOPoynN-I/view?usp=drivesdk"/>
    <hyperlink ref="N235" r:id="rId231" display="https://drive.google.com/file/d/1c0Atuxq2PA3DFAdzF08leVgVOPoynN-I/view?usp=drivesd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2"/>
    <col collapsed="false" customWidth="true" hidden="false" outlineLevel="0" max="3" min="3" style="0" width="25"/>
    <col collapsed="false" customWidth="true" hidden="false" outlineLevel="0" max="4" min="4" style="0" width="23"/>
    <col collapsed="false" customWidth="true" hidden="false" outlineLevel="0" max="5" min="5" style="0" width="20"/>
    <col collapsed="false" customWidth="true" hidden="false" outlineLevel="0" max="6" min="6" style="0" width="34"/>
    <col collapsed="false" customWidth="true" hidden="false" outlineLevel="0" max="7" min="7" style="0" width="32"/>
    <col collapsed="false" customWidth="true" hidden="false" outlineLevel="0" max="9" min="8" style="0" width="37"/>
    <col collapsed="false" customWidth="true" hidden="false" outlineLevel="0" max="10" min="10" style="0" width="32"/>
    <col collapsed="false" customWidth="true" hidden="false" outlineLevel="0" max="12" min="11" style="0" width="30"/>
    <col collapsed="false" customWidth="true" hidden="false" outlineLevel="0" max="13" min="13" style="0" width="42"/>
  </cols>
  <sheetData>
    <row r="1" customFormat="false" ht="27.75" hidden="false" customHeight="true" outlineLevel="0" collapsed="false">
      <c r="A1" s="1" t="s">
        <v>3735</v>
      </c>
      <c r="B1" s="1"/>
      <c r="C1" s="1"/>
      <c r="D1" s="1"/>
      <c r="E1" s="1"/>
      <c r="F1" s="1"/>
      <c r="G1" s="1"/>
      <c r="H1" s="1"/>
      <c r="I1" s="1"/>
      <c r="J1" s="1"/>
      <c r="K1" s="1"/>
      <c r="L1" s="1"/>
      <c r="M1" s="1"/>
    </row>
    <row r="2" customFormat="false" ht="19.5" hidden="false" customHeight="true" outlineLevel="0" collapsed="false">
      <c r="A2" s="2" t="s">
        <v>3736</v>
      </c>
      <c r="B2" s="2"/>
      <c r="C2" s="2"/>
      <c r="D2" s="2"/>
      <c r="E2" s="2"/>
      <c r="F2" s="2"/>
      <c r="G2" s="2"/>
      <c r="H2" s="2"/>
      <c r="I2" s="2"/>
      <c r="J2" s="2"/>
      <c r="K2" s="2"/>
      <c r="L2" s="2"/>
      <c r="M2" s="2"/>
    </row>
    <row r="4" customFormat="false" ht="24" hidden="false" customHeight="true" outlineLevel="0" collapsed="false">
      <c r="A4" s="24" t="s">
        <v>201</v>
      </c>
      <c r="B4" s="7" t="s">
        <v>3737</v>
      </c>
      <c r="C4" s="8" t="s">
        <v>3738</v>
      </c>
      <c r="D4" s="8" t="s">
        <v>3739</v>
      </c>
      <c r="E4" s="8" t="s">
        <v>3740</v>
      </c>
      <c r="F4" s="24" t="s">
        <v>3741</v>
      </c>
      <c r="G4" s="24" t="s">
        <v>3742</v>
      </c>
      <c r="H4" s="8" t="s">
        <v>3743</v>
      </c>
      <c r="I4" s="8" t="s">
        <v>3744</v>
      </c>
      <c r="J4" s="8" t="s">
        <v>3745</v>
      </c>
      <c r="K4" s="8" t="s">
        <v>3746</v>
      </c>
      <c r="L4" s="8" t="s">
        <v>3747</v>
      </c>
      <c r="M4" s="7" t="s">
        <v>3748</v>
      </c>
    </row>
    <row r="5" customFormat="false" ht="19.5" hidden="false" customHeight="true" outlineLevel="0" collapsed="false">
      <c r="A5" s="25" t="s">
        <v>215</v>
      </c>
      <c r="B5" s="12" t="s">
        <v>3749</v>
      </c>
      <c r="C5" s="18" t="n">
        <v>12</v>
      </c>
      <c r="D5" s="18" t="n">
        <v>12</v>
      </c>
      <c r="E5" s="19" t="n">
        <v>0</v>
      </c>
      <c r="F5" s="25" t="s">
        <v>3750</v>
      </c>
      <c r="G5" s="25" t="s">
        <v>3751</v>
      </c>
      <c r="H5" s="18" t="n">
        <v>7</v>
      </c>
      <c r="I5" s="18" t="n">
        <v>7</v>
      </c>
      <c r="J5" s="18" t="n">
        <v>15</v>
      </c>
      <c r="K5" s="33" t="n">
        <v>0.444</v>
      </c>
      <c r="L5" s="18" t="n">
        <v>12</v>
      </c>
      <c r="M5" s="12" t="s">
        <v>3752</v>
      </c>
    </row>
    <row r="6" customFormat="false" ht="19.5" hidden="false" customHeight="true" outlineLevel="0" collapsed="false">
      <c r="A6" s="27" t="s">
        <v>226</v>
      </c>
      <c r="B6" s="9" t="s">
        <v>3753</v>
      </c>
      <c r="C6" s="20" t="n">
        <v>11</v>
      </c>
      <c r="D6" s="20" t="n">
        <v>12</v>
      </c>
      <c r="E6" s="21" t="n">
        <v>1</v>
      </c>
      <c r="F6" s="27" t="s">
        <v>3750</v>
      </c>
      <c r="G6" s="27" t="s">
        <v>3751</v>
      </c>
      <c r="H6" s="20" t="n">
        <v>6</v>
      </c>
      <c r="I6" s="20" t="n">
        <v>7</v>
      </c>
      <c r="J6" s="20" t="n">
        <v>15</v>
      </c>
      <c r="K6" s="34" t="n">
        <v>0.444</v>
      </c>
      <c r="L6" s="20" t="n">
        <v>12</v>
      </c>
      <c r="M6" s="9" t="s">
        <v>3752</v>
      </c>
    </row>
    <row r="7" customFormat="false" ht="19.5" hidden="false" customHeight="true" outlineLevel="0" collapsed="false">
      <c r="A7" s="25" t="s">
        <v>233</v>
      </c>
      <c r="B7" s="12" t="s">
        <v>3754</v>
      </c>
      <c r="C7" s="18" t="n">
        <v>12</v>
      </c>
      <c r="D7" s="18" t="n">
        <v>12</v>
      </c>
      <c r="E7" s="19" t="n">
        <v>0</v>
      </c>
      <c r="F7" s="25" t="s">
        <v>3750</v>
      </c>
      <c r="G7" s="25" t="s">
        <v>3751</v>
      </c>
      <c r="H7" s="18" t="n">
        <v>7</v>
      </c>
      <c r="I7" s="18" t="n">
        <v>7</v>
      </c>
      <c r="J7" s="18" t="n">
        <v>15</v>
      </c>
      <c r="K7" s="33" t="n">
        <v>0.444</v>
      </c>
      <c r="L7" s="18" t="n">
        <v>12</v>
      </c>
      <c r="M7" s="12" t="s">
        <v>3752</v>
      </c>
    </row>
    <row r="8" customFormat="false" ht="19.5" hidden="false" customHeight="true" outlineLevel="0" collapsed="false">
      <c r="A8" s="27" t="s">
        <v>377</v>
      </c>
      <c r="B8" s="9" t="s">
        <v>3755</v>
      </c>
      <c r="C8" s="20" t="n">
        <v>7</v>
      </c>
      <c r="D8" s="20" t="n">
        <v>34</v>
      </c>
      <c r="E8" s="21" t="n">
        <v>27</v>
      </c>
      <c r="F8" s="27" t="s">
        <v>3756</v>
      </c>
      <c r="G8" s="27" t="s">
        <v>3757</v>
      </c>
      <c r="H8" s="20" t="n">
        <v>5</v>
      </c>
      <c r="I8" s="20" t="n">
        <v>6</v>
      </c>
      <c r="J8" s="20" t="n">
        <v>1736</v>
      </c>
      <c r="K8" s="34" t="n">
        <v>0.009</v>
      </c>
      <c r="L8" s="20" t="n">
        <v>31</v>
      </c>
      <c r="M8" s="9" t="s">
        <v>3752</v>
      </c>
    </row>
    <row r="9" customFormat="false" ht="19.5" hidden="false" customHeight="true" outlineLevel="0" collapsed="false">
      <c r="A9" s="25" t="s">
        <v>533</v>
      </c>
      <c r="B9" s="12" t="s">
        <v>651</v>
      </c>
      <c r="C9" s="18" t="n">
        <v>0</v>
      </c>
      <c r="D9" s="18" t="n">
        <v>26</v>
      </c>
      <c r="E9" s="19" t="n">
        <v>26</v>
      </c>
      <c r="F9" s="25" t="s">
        <v>3758</v>
      </c>
      <c r="G9" s="25" t="s">
        <v>3757</v>
      </c>
      <c r="H9" s="18" t="n">
        <v>0</v>
      </c>
      <c r="I9" s="18" t="n">
        <v>6</v>
      </c>
      <c r="J9" s="18" t="n">
        <v>1736</v>
      </c>
      <c r="K9" s="33" t="n">
        <v>0.007</v>
      </c>
      <c r="L9" s="18" t="n">
        <v>23</v>
      </c>
      <c r="M9" s="12" t="s">
        <v>3752</v>
      </c>
    </row>
    <row r="10" customFormat="false" ht="19.5" hidden="false" customHeight="true" outlineLevel="0" collapsed="false">
      <c r="A10" s="27" t="s">
        <v>257</v>
      </c>
      <c r="B10" s="9" t="s">
        <v>3759</v>
      </c>
      <c r="C10" s="20" t="n">
        <v>10</v>
      </c>
      <c r="D10" s="20" t="n">
        <v>48</v>
      </c>
      <c r="E10" s="21" t="n">
        <v>38</v>
      </c>
      <c r="F10" s="27" t="s">
        <v>3756</v>
      </c>
      <c r="G10" s="27" t="s">
        <v>3760</v>
      </c>
      <c r="H10" s="20" t="n">
        <v>5</v>
      </c>
      <c r="I10" s="20" t="n">
        <v>6</v>
      </c>
      <c r="J10" s="20" t="n">
        <v>1370</v>
      </c>
      <c r="K10" s="34" t="n">
        <v>0.012</v>
      </c>
      <c r="L10" s="20" t="n">
        <v>38</v>
      </c>
      <c r="M10" s="9" t="s">
        <v>3752</v>
      </c>
    </row>
    <row r="11" customFormat="false" ht="19.5" hidden="false" customHeight="true" outlineLevel="0" collapsed="false">
      <c r="A11" s="25" t="s">
        <v>540</v>
      </c>
      <c r="B11" s="12" t="s">
        <v>654</v>
      </c>
      <c r="C11" s="18" t="n">
        <v>0</v>
      </c>
      <c r="D11" s="18" t="n">
        <v>27</v>
      </c>
      <c r="E11" s="19" t="n">
        <v>27</v>
      </c>
      <c r="F11" s="25" t="s">
        <v>3758</v>
      </c>
      <c r="G11" s="25" t="s">
        <v>3757</v>
      </c>
      <c r="H11" s="18" t="n">
        <v>0</v>
      </c>
      <c r="I11" s="18" t="n">
        <v>6</v>
      </c>
      <c r="J11" s="18" t="n">
        <v>1736</v>
      </c>
      <c r="K11" s="33" t="n">
        <v>0.007</v>
      </c>
      <c r="L11" s="18" t="n">
        <v>23</v>
      </c>
      <c r="M11" s="12" t="s">
        <v>3752</v>
      </c>
    </row>
    <row r="12" customFormat="false" ht="19.5" hidden="false" customHeight="true" outlineLevel="0" collapsed="false">
      <c r="A12" s="27" t="s">
        <v>266</v>
      </c>
      <c r="B12" s="9" t="s">
        <v>3761</v>
      </c>
      <c r="C12" s="20" t="n">
        <v>3</v>
      </c>
      <c r="D12" s="20" t="n">
        <v>40</v>
      </c>
      <c r="E12" s="21" t="n">
        <v>37</v>
      </c>
      <c r="F12" s="27" t="s">
        <v>3758</v>
      </c>
      <c r="G12" s="27" t="s">
        <v>3760</v>
      </c>
      <c r="H12" s="20" t="n">
        <v>1</v>
      </c>
      <c r="I12" s="20" t="n">
        <v>6</v>
      </c>
      <c r="J12" s="20" t="n">
        <v>1370</v>
      </c>
      <c r="K12" s="34" t="n">
        <v>0.011</v>
      </c>
      <c r="L12" s="20" t="n">
        <v>30</v>
      </c>
      <c r="M12" s="9" t="s">
        <v>3752</v>
      </c>
    </row>
    <row r="13" customFormat="false" ht="19.5" hidden="false" customHeight="true" outlineLevel="0" collapsed="false">
      <c r="A13" s="25" t="s">
        <v>276</v>
      </c>
      <c r="B13" s="12" t="s">
        <v>3762</v>
      </c>
      <c r="C13" s="18" t="n">
        <v>3</v>
      </c>
      <c r="D13" s="18" t="n">
        <v>33</v>
      </c>
      <c r="E13" s="19" t="n">
        <v>30</v>
      </c>
      <c r="F13" s="25" t="s">
        <v>3763</v>
      </c>
      <c r="G13" s="25" t="s">
        <v>3760</v>
      </c>
      <c r="H13" s="18" t="n">
        <v>1</v>
      </c>
      <c r="I13" s="18" t="n">
        <v>6</v>
      </c>
      <c r="J13" s="18" t="n">
        <v>1456</v>
      </c>
      <c r="K13" s="33" t="n">
        <v>0.009</v>
      </c>
      <c r="L13" s="18" t="n">
        <v>27</v>
      </c>
      <c r="M13" s="12" t="s">
        <v>3752</v>
      </c>
    </row>
    <row r="14" customFormat="false" ht="19.5" hidden="false" customHeight="true" outlineLevel="0" collapsed="false">
      <c r="A14" s="27" t="s">
        <v>284</v>
      </c>
      <c r="B14" s="9" t="s">
        <v>3764</v>
      </c>
      <c r="C14" s="20" t="n">
        <v>3</v>
      </c>
      <c r="D14" s="20" t="n">
        <v>10</v>
      </c>
      <c r="E14" s="21" t="n">
        <v>7</v>
      </c>
      <c r="F14" s="27" t="s">
        <v>3765</v>
      </c>
      <c r="G14" s="27" t="s">
        <v>3766</v>
      </c>
      <c r="H14" s="20" t="n">
        <v>1</v>
      </c>
      <c r="I14" s="20" t="n">
        <v>1</v>
      </c>
      <c r="J14" s="20" t="n">
        <v>380</v>
      </c>
      <c r="K14" s="34" t="n">
        <v>0.013</v>
      </c>
      <c r="L14" s="20" t="n">
        <v>5</v>
      </c>
      <c r="M14" s="9" t="s">
        <v>3752</v>
      </c>
    </row>
    <row r="15" customFormat="false" ht="19.5" hidden="false" customHeight="true" outlineLevel="0" collapsed="false">
      <c r="A15" s="25" t="s">
        <v>292</v>
      </c>
      <c r="B15" s="12" t="s">
        <v>3767</v>
      </c>
      <c r="C15" s="18" t="n">
        <v>0</v>
      </c>
      <c r="D15" s="18" t="n">
        <v>2</v>
      </c>
      <c r="E15" s="19" t="n">
        <v>2</v>
      </c>
      <c r="F15" s="25" t="s">
        <v>3768</v>
      </c>
      <c r="G15" s="25" t="s">
        <v>3769</v>
      </c>
      <c r="H15" s="18" t="n">
        <v>0</v>
      </c>
      <c r="I15" s="18" t="n">
        <v>1</v>
      </c>
      <c r="J15" s="18" t="n">
        <v>18</v>
      </c>
      <c r="K15" s="33" t="n">
        <v>0.1</v>
      </c>
      <c r="L15" s="18" t="n">
        <v>1</v>
      </c>
      <c r="M15" s="12" t="s">
        <v>3770</v>
      </c>
    </row>
    <row r="16" customFormat="false" ht="19.5" hidden="false" customHeight="true" outlineLevel="0" collapsed="false">
      <c r="A16" s="27" t="s">
        <v>300</v>
      </c>
      <c r="B16" s="9" t="s">
        <v>3771</v>
      </c>
      <c r="C16" s="20" t="n">
        <v>1</v>
      </c>
      <c r="D16" s="20" t="n">
        <v>5</v>
      </c>
      <c r="E16" s="21" t="n">
        <v>4</v>
      </c>
      <c r="F16" s="27" t="s">
        <v>3772</v>
      </c>
      <c r="G16" s="27" t="s">
        <v>3773</v>
      </c>
      <c r="H16" s="20" t="n">
        <v>1</v>
      </c>
      <c r="I16" s="20" t="n">
        <v>1</v>
      </c>
      <c r="J16" s="20" t="n">
        <v>58</v>
      </c>
      <c r="K16" s="34" t="n">
        <v>0.054</v>
      </c>
      <c r="L16" s="20" t="n">
        <v>2</v>
      </c>
      <c r="M16" s="9" t="s">
        <v>3770</v>
      </c>
    </row>
    <row r="17" customFormat="false" ht="19.5" hidden="false" customHeight="true" outlineLevel="0" collapsed="false">
      <c r="A17" s="25" t="s">
        <v>305</v>
      </c>
      <c r="B17" s="12" t="s">
        <v>3774</v>
      </c>
      <c r="C17" s="18" t="n">
        <v>1</v>
      </c>
      <c r="D17" s="18" t="n">
        <v>4</v>
      </c>
      <c r="E17" s="19" t="n">
        <v>3</v>
      </c>
      <c r="F17" s="25" t="s">
        <v>3775</v>
      </c>
      <c r="G17" s="25" t="s">
        <v>3776</v>
      </c>
      <c r="H17" s="18" t="n">
        <v>1</v>
      </c>
      <c r="I17" s="18" t="n">
        <v>1</v>
      </c>
      <c r="J17" s="18" t="n">
        <v>306</v>
      </c>
      <c r="K17" s="33" t="n">
        <v>0.01</v>
      </c>
      <c r="L17" s="18" t="n">
        <v>1</v>
      </c>
      <c r="M17" s="12" t="s">
        <v>3770</v>
      </c>
    </row>
    <row r="18" customFormat="false" ht="19.5" hidden="false" customHeight="true" outlineLevel="0" collapsed="false">
      <c r="A18" s="27" t="s">
        <v>312</v>
      </c>
      <c r="B18" s="9" t="s">
        <v>3777</v>
      </c>
      <c r="C18" s="20" t="n">
        <v>2</v>
      </c>
      <c r="D18" s="20" t="n">
        <v>4</v>
      </c>
      <c r="E18" s="21" t="n">
        <v>2</v>
      </c>
      <c r="F18" s="27" t="s">
        <v>3778</v>
      </c>
      <c r="G18" s="27" t="s">
        <v>3773</v>
      </c>
      <c r="H18" s="20" t="n">
        <v>1</v>
      </c>
      <c r="I18" s="20" t="n">
        <v>1</v>
      </c>
      <c r="J18" s="20" t="n">
        <v>66</v>
      </c>
      <c r="K18" s="34" t="n">
        <v>0.054</v>
      </c>
      <c r="L18" s="20" t="n">
        <v>2</v>
      </c>
      <c r="M18" s="9" t="s">
        <v>3770</v>
      </c>
    </row>
    <row r="19" customFormat="false" ht="19.5" hidden="false" customHeight="true" outlineLevel="0" collapsed="false">
      <c r="A19" s="25" t="s">
        <v>466</v>
      </c>
      <c r="B19" s="12" t="s">
        <v>3779</v>
      </c>
      <c r="C19" s="18" t="n">
        <v>7</v>
      </c>
      <c r="D19" s="18" t="n">
        <v>8</v>
      </c>
      <c r="E19" s="19" t="n">
        <v>1</v>
      </c>
      <c r="F19" s="25" t="s">
        <v>3780</v>
      </c>
      <c r="G19" s="25" t="s">
        <v>3751</v>
      </c>
      <c r="H19" s="18" t="n">
        <v>5</v>
      </c>
      <c r="I19" s="18" t="n">
        <v>5</v>
      </c>
      <c r="J19" s="18" t="n">
        <v>17</v>
      </c>
      <c r="K19" s="33" t="n">
        <v>0.32</v>
      </c>
      <c r="L19" s="18" t="n">
        <v>8</v>
      </c>
      <c r="M19" s="12" t="s">
        <v>3770</v>
      </c>
    </row>
    <row r="20" customFormat="false" ht="19.5" hidden="false" customHeight="true" outlineLevel="0" collapsed="false">
      <c r="A20" s="27" t="s">
        <v>411</v>
      </c>
      <c r="B20" s="9" t="s">
        <v>3781</v>
      </c>
      <c r="C20" s="20" t="n">
        <v>7</v>
      </c>
      <c r="D20" s="20" t="n">
        <v>34</v>
      </c>
      <c r="E20" s="21" t="n">
        <v>27</v>
      </c>
      <c r="F20" s="27" t="s">
        <v>3756</v>
      </c>
      <c r="G20" s="27" t="s">
        <v>3757</v>
      </c>
      <c r="H20" s="20" t="n">
        <v>5</v>
      </c>
      <c r="I20" s="20" t="n">
        <v>6</v>
      </c>
      <c r="J20" s="20" t="n">
        <v>1736</v>
      </c>
      <c r="K20" s="34" t="n">
        <v>0.009</v>
      </c>
      <c r="L20" s="20" t="n">
        <v>31</v>
      </c>
      <c r="M20" s="9" t="s">
        <v>3752</v>
      </c>
    </row>
    <row r="21" customFormat="false" ht="19.5" hidden="false" customHeight="true" outlineLevel="0" collapsed="false">
      <c r="A21" s="25" t="s">
        <v>552</v>
      </c>
      <c r="B21" s="12" t="s">
        <v>3782</v>
      </c>
      <c r="C21" s="18" t="n">
        <v>0</v>
      </c>
      <c r="D21" s="18" t="n">
        <v>20</v>
      </c>
      <c r="E21" s="19" t="n">
        <v>20</v>
      </c>
      <c r="F21" s="25" t="s">
        <v>3758</v>
      </c>
      <c r="G21" s="25" t="s">
        <v>3783</v>
      </c>
      <c r="H21" s="18" t="n">
        <v>0</v>
      </c>
      <c r="I21" s="18" t="n">
        <v>6</v>
      </c>
      <c r="J21" s="18" t="n">
        <v>3197</v>
      </c>
      <c r="K21" s="33" t="n">
        <v>0.005</v>
      </c>
      <c r="L21" s="18" t="n">
        <v>18</v>
      </c>
      <c r="M21" s="12" t="s">
        <v>3752</v>
      </c>
    </row>
    <row r="22" customFormat="false" ht="19.5" hidden="false" customHeight="true" outlineLevel="0" collapsed="false">
      <c r="A22" s="27" t="s">
        <v>557</v>
      </c>
      <c r="B22" s="9" t="s">
        <v>624</v>
      </c>
      <c r="C22" s="20" t="n">
        <v>0</v>
      </c>
      <c r="D22" s="20" t="n">
        <v>20</v>
      </c>
      <c r="E22" s="21" t="n">
        <v>20</v>
      </c>
      <c r="F22" s="27" t="s">
        <v>3758</v>
      </c>
      <c r="G22" s="27" t="s">
        <v>3783</v>
      </c>
      <c r="H22" s="20" t="n">
        <v>0</v>
      </c>
      <c r="I22" s="20" t="n">
        <v>6</v>
      </c>
      <c r="J22" s="20" t="n">
        <v>3197</v>
      </c>
      <c r="K22" s="34" t="n">
        <v>0.005</v>
      </c>
      <c r="L22" s="20" t="n">
        <v>18</v>
      </c>
      <c r="M22" s="9" t="s">
        <v>3752</v>
      </c>
    </row>
    <row r="23" customFormat="false" ht="19.5" hidden="false" customHeight="true" outlineLevel="0" collapsed="false">
      <c r="A23" s="25" t="s">
        <v>564</v>
      </c>
      <c r="B23" s="12" t="s">
        <v>630</v>
      </c>
      <c r="C23" s="18" t="n">
        <v>0</v>
      </c>
      <c r="D23" s="18" t="n">
        <v>25</v>
      </c>
      <c r="E23" s="19" t="n">
        <v>25</v>
      </c>
      <c r="F23" s="25" t="s">
        <v>3758</v>
      </c>
      <c r="G23" s="25" t="s">
        <v>3757</v>
      </c>
      <c r="H23" s="18" t="n">
        <v>0</v>
      </c>
      <c r="I23" s="18" t="n">
        <v>6</v>
      </c>
      <c r="J23" s="18" t="n">
        <v>1736</v>
      </c>
      <c r="K23" s="33" t="n">
        <v>0.007</v>
      </c>
      <c r="L23" s="18" t="n">
        <v>23</v>
      </c>
      <c r="M23" s="12" t="s">
        <v>3752</v>
      </c>
    </row>
    <row r="24" customFormat="false" ht="19.5" hidden="false" customHeight="true" outlineLevel="0" collapsed="false">
      <c r="A24" s="27" t="s">
        <v>241</v>
      </c>
      <c r="B24" s="9" t="s">
        <v>3784</v>
      </c>
      <c r="C24" s="20" t="n">
        <v>12</v>
      </c>
      <c r="D24" s="20" t="n">
        <v>12</v>
      </c>
      <c r="E24" s="21" t="n">
        <v>0</v>
      </c>
      <c r="F24" s="27" t="s">
        <v>3750</v>
      </c>
      <c r="G24" s="27" t="s">
        <v>3751</v>
      </c>
      <c r="H24" s="20" t="n">
        <v>7</v>
      </c>
      <c r="I24" s="20" t="n">
        <v>7</v>
      </c>
      <c r="J24" s="20" t="n">
        <v>15</v>
      </c>
      <c r="K24" s="34" t="n">
        <v>0.444</v>
      </c>
      <c r="L24" s="20" t="n">
        <v>12</v>
      </c>
      <c r="M24" s="9" t="s">
        <v>3752</v>
      </c>
    </row>
    <row r="25" customFormat="false" ht="19.5" hidden="false" customHeight="true" outlineLevel="0" collapsed="false">
      <c r="A25" s="25" t="s">
        <v>342</v>
      </c>
      <c r="B25" s="12" t="s">
        <v>3785</v>
      </c>
      <c r="C25" s="18" t="n">
        <v>1</v>
      </c>
      <c r="D25" s="18" t="n">
        <v>7</v>
      </c>
      <c r="E25" s="19" t="n">
        <v>6</v>
      </c>
      <c r="F25" s="25" t="s">
        <v>3786</v>
      </c>
      <c r="G25" s="25" t="s">
        <v>3776</v>
      </c>
      <c r="H25" s="18" t="n">
        <v>1</v>
      </c>
      <c r="I25" s="18" t="n">
        <v>1</v>
      </c>
      <c r="J25" s="18" t="n">
        <v>272</v>
      </c>
      <c r="K25" s="33" t="n">
        <v>0.022</v>
      </c>
      <c r="L25" s="18" t="n">
        <v>4</v>
      </c>
      <c r="M25" s="12" t="s">
        <v>3770</v>
      </c>
    </row>
    <row r="26" customFormat="false" ht="19.5" hidden="false" customHeight="true" outlineLevel="0" collapsed="false">
      <c r="A26" s="27" t="s">
        <v>570</v>
      </c>
      <c r="B26" s="9" t="s">
        <v>3787</v>
      </c>
      <c r="C26" s="20" t="n">
        <v>0</v>
      </c>
      <c r="D26" s="20" t="n">
        <v>26</v>
      </c>
      <c r="E26" s="21" t="n">
        <v>26</v>
      </c>
      <c r="F26" s="27" t="s">
        <v>3758</v>
      </c>
      <c r="G26" s="27" t="s">
        <v>3757</v>
      </c>
      <c r="H26" s="20" t="n">
        <v>0</v>
      </c>
      <c r="I26" s="20" t="n">
        <v>6</v>
      </c>
      <c r="J26" s="20" t="n">
        <v>1736</v>
      </c>
      <c r="K26" s="34" t="n">
        <v>0.007</v>
      </c>
      <c r="L26" s="20" t="n">
        <v>23</v>
      </c>
      <c r="M26" s="9" t="s">
        <v>3752</v>
      </c>
    </row>
    <row r="27" customFormat="false" ht="19.5" hidden="false" customHeight="true" outlineLevel="0" collapsed="false">
      <c r="A27" s="25" t="s">
        <v>576</v>
      </c>
      <c r="B27" s="12" t="s">
        <v>3788</v>
      </c>
      <c r="C27" s="18" t="n">
        <v>0</v>
      </c>
      <c r="D27" s="18" t="n">
        <v>26</v>
      </c>
      <c r="E27" s="19" t="n">
        <v>26</v>
      </c>
      <c r="F27" s="25" t="s">
        <v>3758</v>
      </c>
      <c r="G27" s="25" t="s">
        <v>3757</v>
      </c>
      <c r="H27" s="18" t="n">
        <v>0</v>
      </c>
      <c r="I27" s="18" t="n">
        <v>6</v>
      </c>
      <c r="J27" s="18" t="n">
        <v>1736</v>
      </c>
      <c r="K27" s="33" t="n">
        <v>0.007</v>
      </c>
      <c r="L27" s="18" t="n">
        <v>23</v>
      </c>
      <c r="M27" s="12" t="s">
        <v>3752</v>
      </c>
    </row>
    <row r="28" customFormat="false" ht="19.5" hidden="false" customHeight="true" outlineLevel="0" collapsed="false">
      <c r="A28" s="27" t="s">
        <v>586</v>
      </c>
      <c r="B28" s="9" t="s">
        <v>660</v>
      </c>
      <c r="C28" s="20" t="n">
        <v>0</v>
      </c>
      <c r="D28" s="20" t="n">
        <v>26</v>
      </c>
      <c r="E28" s="21" t="n">
        <v>26</v>
      </c>
      <c r="F28" s="27" t="s">
        <v>3758</v>
      </c>
      <c r="G28" s="27" t="s">
        <v>3757</v>
      </c>
      <c r="H28" s="20" t="n">
        <v>0</v>
      </c>
      <c r="I28" s="20" t="n">
        <v>6</v>
      </c>
      <c r="J28" s="20" t="n">
        <v>1736</v>
      </c>
      <c r="K28" s="34" t="n">
        <v>0.007</v>
      </c>
      <c r="L28" s="20" t="n">
        <v>23</v>
      </c>
      <c r="M28" s="9" t="s">
        <v>3752</v>
      </c>
    </row>
    <row r="29" customFormat="false" ht="19.5" hidden="false" customHeight="true" outlineLevel="0" collapsed="false">
      <c r="A29" s="25" t="s">
        <v>593</v>
      </c>
      <c r="B29" s="12" t="s">
        <v>3789</v>
      </c>
      <c r="C29" s="18" t="n">
        <v>0</v>
      </c>
      <c r="D29" s="18" t="n">
        <v>8</v>
      </c>
      <c r="E29" s="19" t="n">
        <v>8</v>
      </c>
      <c r="F29" s="25" t="s">
        <v>3790</v>
      </c>
      <c r="G29" s="25" t="s">
        <v>3766</v>
      </c>
      <c r="H29" s="18" t="n">
        <v>0</v>
      </c>
      <c r="I29" s="18" t="n">
        <v>1</v>
      </c>
      <c r="J29" s="18" t="n">
        <v>361</v>
      </c>
      <c r="K29" s="33" t="n">
        <v>0.01</v>
      </c>
      <c r="L29" s="18" t="n">
        <v>4</v>
      </c>
      <c r="M29" s="12" t="s">
        <v>3770</v>
      </c>
    </row>
    <row r="30" customFormat="false" ht="19.5" hidden="false" customHeight="true" outlineLevel="0" collapsed="false">
      <c r="A30" s="27" t="s">
        <v>601</v>
      </c>
      <c r="B30" s="9" t="s">
        <v>3791</v>
      </c>
      <c r="C30" s="20" t="n">
        <v>0</v>
      </c>
      <c r="D30" s="20" t="n">
        <v>8</v>
      </c>
      <c r="E30" s="21" t="n">
        <v>8</v>
      </c>
      <c r="F30" s="27" t="s">
        <v>3790</v>
      </c>
      <c r="G30" s="27" t="s">
        <v>3766</v>
      </c>
      <c r="H30" s="20" t="n">
        <v>0</v>
      </c>
      <c r="I30" s="20" t="n">
        <v>1</v>
      </c>
      <c r="J30" s="20" t="n">
        <v>361</v>
      </c>
      <c r="K30" s="34" t="n">
        <v>0.01</v>
      </c>
      <c r="L30" s="20" t="n">
        <v>4</v>
      </c>
      <c r="M30" s="9" t="s">
        <v>3770</v>
      </c>
    </row>
    <row r="31" customFormat="false" ht="19.5" hidden="false" customHeight="true" outlineLevel="0" collapsed="false">
      <c r="A31" s="25" t="s">
        <v>605</v>
      </c>
      <c r="B31" s="12" t="s">
        <v>875</v>
      </c>
      <c r="C31" s="18" t="n">
        <v>0</v>
      </c>
      <c r="D31" s="18" t="n">
        <v>8</v>
      </c>
      <c r="E31" s="19" t="n">
        <v>8</v>
      </c>
      <c r="F31" s="25" t="s">
        <v>3790</v>
      </c>
      <c r="G31" s="25" t="s">
        <v>3766</v>
      </c>
      <c r="H31" s="18" t="n">
        <v>0</v>
      </c>
      <c r="I31" s="18" t="n">
        <v>1</v>
      </c>
      <c r="J31" s="18" t="n">
        <v>361</v>
      </c>
      <c r="K31" s="33" t="n">
        <v>0.01</v>
      </c>
      <c r="L31" s="18" t="n">
        <v>4</v>
      </c>
      <c r="M31" s="12" t="s">
        <v>3770</v>
      </c>
    </row>
    <row r="32" customFormat="false" ht="21.75" hidden="false" customHeight="true" outlineLevel="0" collapsed="false">
      <c r="A32" s="35" t="s">
        <v>3792</v>
      </c>
      <c r="B32" s="35" t="s">
        <v>3793</v>
      </c>
      <c r="C32" s="36" t="n">
        <f aca="false">SUM(C5:C31)</f>
        <v>92</v>
      </c>
      <c r="D32" s="36" t="n">
        <f aca="false">SUM(D5:D31)</f>
        <v>497</v>
      </c>
      <c r="E32" s="37" t="n">
        <f aca="false">SUM(E5:E31)</f>
        <v>405</v>
      </c>
      <c r="F32" s="35" t="s">
        <v>3756</v>
      </c>
      <c r="G32" s="35" t="s">
        <v>3760</v>
      </c>
      <c r="H32" s="36" t="n">
        <f aca="false">MAX(H5:H31)</f>
        <v>7</v>
      </c>
      <c r="I32" s="36" t="n">
        <f aca="false">MAX(I5:I31)</f>
        <v>7</v>
      </c>
      <c r="J32" s="36" t="n">
        <f aca="false">MAX(J5:J31)</f>
        <v>3197</v>
      </c>
      <c r="K32" s="38" t="n">
        <f aca="false">AVERAGE(K5:K31)</f>
        <v>0.0918888888888889</v>
      </c>
      <c r="L32" s="36" t="n">
        <f aca="false">SUM(L5:L31)</f>
        <v>414</v>
      </c>
      <c r="M32" s="35" t="s">
        <v>3794</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C6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7"/>
    <col collapsed="false" customWidth="true" hidden="false" outlineLevel="0" max="5" min="5" style="0" width="42"/>
    <col collapsed="false" customWidth="true" hidden="false" outlineLevel="0" max="6" min="6" style="0" width="14"/>
    <col collapsed="false" customWidth="true" hidden="false" outlineLevel="0" max="8" min="7" style="0" width="12"/>
    <col collapsed="false" customWidth="true" hidden="false" outlineLevel="0" max="9" min="9" style="0" width="18"/>
    <col collapsed="false" customWidth="true" hidden="false" outlineLevel="0" max="10" min="10" style="0" width="22"/>
    <col collapsed="false" customWidth="true" hidden="false" outlineLevel="0" max="11" min="11" style="0" width="27"/>
    <col collapsed="false" customWidth="true" hidden="false" outlineLevel="0" max="12" min="12" style="0" width="20"/>
    <col collapsed="false" customWidth="true" hidden="false" outlineLevel="0" max="14" min="13" style="0" width="26"/>
    <col collapsed="false" customWidth="true" hidden="false" outlineLevel="0" max="16" min="15" style="0" width="30"/>
    <col collapsed="false" customWidth="true" hidden="false" outlineLevel="0" max="20" min="17" style="0" width="24"/>
    <col collapsed="false" customWidth="true" hidden="false" outlineLevel="0" max="22" min="21" style="0" width="27"/>
    <col collapsed="false" customWidth="true" hidden="false" outlineLevel="0" max="23" min="23" style="0" width="30"/>
    <col collapsed="false" customWidth="true" hidden="false" outlineLevel="0" max="24" min="24" style="0" width="28"/>
    <col collapsed="false" customWidth="true" hidden="false" outlineLevel="0" max="25" min="25" style="0" width="24"/>
    <col collapsed="false" customWidth="true" hidden="false" outlineLevel="0" max="26" min="26" style="0" width="28"/>
    <col collapsed="false" customWidth="true" hidden="false" outlineLevel="0" max="27" min="27" style="0" width="42"/>
    <col collapsed="false" customWidth="true" hidden="false" outlineLevel="0" max="28" min="28" style="0" width="27"/>
    <col collapsed="false" customWidth="true" hidden="false" outlineLevel="0" max="29" min="29" style="0" width="42"/>
  </cols>
  <sheetData>
    <row r="1" customFormat="false" ht="27.75" hidden="false" customHeight="true" outlineLevel="0" collapsed="false">
      <c r="A1" s="1" t="s">
        <v>3795</v>
      </c>
      <c r="B1" s="1"/>
      <c r="C1" s="1"/>
      <c r="D1" s="1"/>
      <c r="E1" s="1"/>
      <c r="F1" s="1"/>
      <c r="G1" s="1"/>
      <c r="H1" s="1"/>
      <c r="I1" s="1"/>
      <c r="J1" s="1"/>
      <c r="K1" s="1"/>
      <c r="L1" s="1"/>
      <c r="M1" s="1"/>
      <c r="N1" s="1"/>
      <c r="O1" s="1"/>
      <c r="P1" s="1"/>
      <c r="Q1" s="1"/>
      <c r="R1" s="1"/>
      <c r="S1" s="1"/>
      <c r="T1" s="1"/>
      <c r="U1" s="1"/>
      <c r="V1" s="1"/>
      <c r="W1" s="1"/>
      <c r="X1" s="1"/>
      <c r="Y1" s="1"/>
      <c r="Z1" s="1"/>
      <c r="AA1" s="1"/>
      <c r="AB1" s="1"/>
      <c r="AC1" s="1"/>
    </row>
    <row r="2" customFormat="false" ht="19.5" hidden="false" customHeight="true" outlineLevel="0" collapsed="false">
      <c r="A2" s="2" t="s">
        <v>3796</v>
      </c>
      <c r="B2" s="2"/>
      <c r="C2" s="2"/>
      <c r="D2" s="2"/>
      <c r="E2" s="2"/>
      <c r="F2" s="2"/>
      <c r="G2" s="2"/>
      <c r="H2" s="2"/>
      <c r="I2" s="2"/>
      <c r="J2" s="2"/>
      <c r="K2" s="2"/>
      <c r="L2" s="2"/>
      <c r="M2" s="2"/>
      <c r="N2" s="2"/>
      <c r="O2" s="2"/>
      <c r="P2" s="2"/>
      <c r="Q2" s="2"/>
      <c r="R2" s="2"/>
      <c r="S2" s="2"/>
      <c r="T2" s="2"/>
      <c r="U2" s="2"/>
      <c r="V2" s="2"/>
      <c r="W2" s="2"/>
      <c r="X2" s="2"/>
      <c r="Y2" s="2"/>
      <c r="Z2" s="2"/>
      <c r="AA2" s="2"/>
      <c r="AB2" s="2"/>
      <c r="AC2" s="2"/>
    </row>
    <row r="4" customFormat="false" ht="24" hidden="false" customHeight="true" outlineLevel="0" collapsed="false">
      <c r="A4" s="24" t="s">
        <v>3797</v>
      </c>
      <c r="B4" s="24" t="s">
        <v>3798</v>
      </c>
      <c r="C4" s="7" t="s">
        <v>3799</v>
      </c>
      <c r="D4" s="7" t="s">
        <v>3800</v>
      </c>
      <c r="E4" s="7" t="s">
        <v>3801</v>
      </c>
      <c r="F4" s="24" t="s">
        <v>3802</v>
      </c>
      <c r="G4" s="24" t="s">
        <v>3803</v>
      </c>
      <c r="H4" s="24" t="s">
        <v>3804</v>
      </c>
      <c r="I4" s="24" t="s">
        <v>3805</v>
      </c>
      <c r="J4" s="8" t="s">
        <v>3806</v>
      </c>
      <c r="K4" s="8" t="s">
        <v>3807</v>
      </c>
      <c r="L4" s="8" t="s">
        <v>3808</v>
      </c>
      <c r="M4" s="8" t="s">
        <v>3809</v>
      </c>
      <c r="N4" s="8" t="s">
        <v>3810</v>
      </c>
      <c r="O4" s="8" t="s">
        <v>3811</v>
      </c>
      <c r="P4" s="8" t="s">
        <v>3812</v>
      </c>
      <c r="Q4" s="24" t="s">
        <v>3813</v>
      </c>
      <c r="R4" s="24" t="s">
        <v>3814</v>
      </c>
      <c r="S4" s="24" t="s">
        <v>3815</v>
      </c>
      <c r="T4" s="24" t="s">
        <v>3816</v>
      </c>
      <c r="U4" s="8" t="s">
        <v>3817</v>
      </c>
      <c r="V4" s="8" t="s">
        <v>3818</v>
      </c>
      <c r="W4" s="8" t="s">
        <v>3819</v>
      </c>
      <c r="X4" s="8" t="s">
        <v>3820</v>
      </c>
      <c r="Y4" s="8" t="s">
        <v>3821</v>
      </c>
      <c r="Z4" s="24" t="s">
        <v>3822</v>
      </c>
      <c r="AA4" s="7" t="s">
        <v>3823</v>
      </c>
      <c r="AB4" s="24" t="s">
        <v>3824</v>
      </c>
      <c r="AC4" s="7" t="s">
        <v>3825</v>
      </c>
    </row>
    <row r="5" customFormat="false" ht="19.5" hidden="false" customHeight="true" outlineLevel="0" collapsed="false">
      <c r="A5" s="25" t="s">
        <v>3826</v>
      </c>
      <c r="B5" s="25" t="s">
        <v>466</v>
      </c>
      <c r="C5" s="12" t="s">
        <v>467</v>
      </c>
      <c r="D5" s="12" t="s">
        <v>468</v>
      </c>
      <c r="E5" s="12" t="s">
        <v>462</v>
      </c>
      <c r="F5" s="25" t="s">
        <v>1374</v>
      </c>
      <c r="G5" s="25" t="n">
        <v>2026</v>
      </c>
      <c r="H5" s="25" t="n">
        <v>9</v>
      </c>
      <c r="I5" s="25" t="s">
        <v>3827</v>
      </c>
      <c r="J5" s="18" t="n">
        <v>1</v>
      </c>
      <c r="K5" s="14" t="n">
        <v>0</v>
      </c>
      <c r="L5" s="14" t="n">
        <v>0</v>
      </c>
      <c r="M5" s="29"/>
      <c r="N5" s="29"/>
      <c r="O5" s="29"/>
      <c r="P5" s="14" t="n">
        <v>0</v>
      </c>
      <c r="Q5" s="25" t="n">
        <v>0</v>
      </c>
      <c r="R5" s="25" t="n">
        <v>0</v>
      </c>
      <c r="S5" s="25" t="n">
        <v>0</v>
      </c>
      <c r="T5" s="25" t="n">
        <v>0</v>
      </c>
      <c r="U5" s="14" t="n">
        <v>0.96</v>
      </c>
      <c r="V5" s="14" t="n">
        <v>-1.01</v>
      </c>
      <c r="W5" s="14" t="n">
        <v>1.97</v>
      </c>
      <c r="X5" s="14" t="n">
        <v>0.11</v>
      </c>
      <c r="Y5" s="13" t="n">
        <v>35.2</v>
      </c>
      <c r="Z5" s="25" t="s">
        <v>2961</v>
      </c>
      <c r="AA5" s="12" t="s">
        <v>3828</v>
      </c>
      <c r="AB5" s="25" t="s">
        <v>86</v>
      </c>
      <c r="AC5" s="22" t="s">
        <v>1326</v>
      </c>
    </row>
    <row r="6" customFormat="false" ht="19.5" hidden="false" customHeight="true" outlineLevel="0" collapsed="false">
      <c r="A6" s="27" t="s">
        <v>3829</v>
      </c>
      <c r="B6" s="27" t="s">
        <v>466</v>
      </c>
      <c r="C6" s="9" t="s">
        <v>467</v>
      </c>
      <c r="D6" s="9" t="s">
        <v>468</v>
      </c>
      <c r="E6" s="9" t="s">
        <v>462</v>
      </c>
      <c r="F6" s="27" t="s">
        <v>1400</v>
      </c>
      <c r="G6" s="27" t="n">
        <v>2026</v>
      </c>
      <c r="H6" s="27" t="n">
        <v>9</v>
      </c>
      <c r="I6" s="27" t="s">
        <v>3827</v>
      </c>
      <c r="J6" s="20" t="n">
        <v>1</v>
      </c>
      <c r="K6" s="11" t="n">
        <v>0</v>
      </c>
      <c r="L6" s="11" t="n">
        <v>0</v>
      </c>
      <c r="M6" s="11" t="n">
        <v>0</v>
      </c>
      <c r="N6" s="30"/>
      <c r="O6" s="31" t="n">
        <v>0</v>
      </c>
      <c r="P6" s="11" t="n">
        <v>0</v>
      </c>
      <c r="Q6" s="27" t="n">
        <v>0</v>
      </c>
      <c r="R6" s="27" t="n">
        <v>0</v>
      </c>
      <c r="S6" s="27" t="n">
        <v>0</v>
      </c>
      <c r="T6" s="27" t="n">
        <v>0</v>
      </c>
      <c r="U6" s="11" t="n">
        <v>0.3</v>
      </c>
      <c r="V6" s="11" t="n">
        <v>-0.98</v>
      </c>
      <c r="W6" s="11" t="n">
        <v>1.28</v>
      </c>
      <c r="X6" s="11" t="n">
        <v>0.05</v>
      </c>
      <c r="Y6" s="10" t="n">
        <v>5.2</v>
      </c>
      <c r="Z6" s="27" t="s">
        <v>2908</v>
      </c>
      <c r="AA6" s="9" t="s">
        <v>3828</v>
      </c>
      <c r="AB6" s="27" t="s">
        <v>86</v>
      </c>
      <c r="AC6" s="23" t="s">
        <v>1383</v>
      </c>
    </row>
    <row r="7" customFormat="false" ht="19.5" hidden="false" customHeight="true" outlineLevel="0" collapsed="false">
      <c r="A7" s="25" t="s">
        <v>3830</v>
      </c>
      <c r="B7" s="25" t="s">
        <v>466</v>
      </c>
      <c r="C7" s="12" t="s">
        <v>467</v>
      </c>
      <c r="D7" s="12" t="s">
        <v>468</v>
      </c>
      <c r="E7" s="12" t="s">
        <v>462</v>
      </c>
      <c r="F7" s="25" t="s">
        <v>1419</v>
      </c>
      <c r="G7" s="25" t="n">
        <v>2026</v>
      </c>
      <c r="H7" s="25" t="n">
        <v>9</v>
      </c>
      <c r="I7" s="25" t="s">
        <v>3827</v>
      </c>
      <c r="J7" s="18" t="n">
        <v>1</v>
      </c>
      <c r="K7" s="14" t="n">
        <v>0</v>
      </c>
      <c r="L7" s="14" t="n">
        <v>0</v>
      </c>
      <c r="M7" s="14" t="n">
        <v>0</v>
      </c>
      <c r="N7" s="14" t="n">
        <v>0</v>
      </c>
      <c r="O7" s="32" t="n">
        <v>0</v>
      </c>
      <c r="P7" s="29"/>
      <c r="Q7" s="25" t="n">
        <v>0</v>
      </c>
      <c r="R7" s="25" t="n">
        <v>0</v>
      </c>
      <c r="S7" s="25" t="n">
        <v>0</v>
      </c>
      <c r="T7" s="25" t="n">
        <v>0</v>
      </c>
      <c r="U7" s="14" t="n">
        <v>0.97</v>
      </c>
      <c r="V7" s="14" t="n">
        <v>0.97</v>
      </c>
      <c r="W7" s="14" t="n">
        <v>0</v>
      </c>
      <c r="X7" s="14" t="n">
        <v>0.73</v>
      </c>
      <c r="Y7" s="13" t="n">
        <v>23.8</v>
      </c>
      <c r="Z7" s="25" t="s">
        <v>2961</v>
      </c>
      <c r="AA7" s="12" t="s">
        <v>3828</v>
      </c>
      <c r="AB7" s="25" t="s">
        <v>86</v>
      </c>
      <c r="AC7" s="22" t="s">
        <v>1376</v>
      </c>
    </row>
    <row r="8" customFormat="false" ht="19.5" hidden="false" customHeight="true" outlineLevel="0" collapsed="false">
      <c r="A8" s="27" t="s">
        <v>3831</v>
      </c>
      <c r="B8" s="27" t="s">
        <v>466</v>
      </c>
      <c r="C8" s="9" t="s">
        <v>467</v>
      </c>
      <c r="D8" s="9" t="s">
        <v>468</v>
      </c>
      <c r="E8" s="9" t="s">
        <v>462</v>
      </c>
      <c r="F8" s="27" t="s">
        <v>1469</v>
      </c>
      <c r="G8" s="27" t="n">
        <v>2026</v>
      </c>
      <c r="H8" s="27" t="n">
        <v>10</v>
      </c>
      <c r="I8" s="27" t="s">
        <v>3827</v>
      </c>
      <c r="J8" s="20" t="n">
        <v>1</v>
      </c>
      <c r="K8" s="11" t="n">
        <v>0</v>
      </c>
      <c r="L8" s="11" t="n">
        <v>0</v>
      </c>
      <c r="M8" s="30"/>
      <c r="N8" s="30"/>
      <c r="O8" s="30"/>
      <c r="P8" s="11" t="n">
        <v>0</v>
      </c>
      <c r="Q8" s="27" t="n">
        <v>0</v>
      </c>
      <c r="R8" s="27" t="n">
        <v>0</v>
      </c>
      <c r="S8" s="27" t="n">
        <v>0</v>
      </c>
      <c r="T8" s="27" t="n">
        <v>0</v>
      </c>
      <c r="U8" s="11" t="n">
        <v>1.51</v>
      </c>
      <c r="V8" s="11" t="n">
        <v>-0.78</v>
      </c>
      <c r="W8" s="11" t="n">
        <v>2.29</v>
      </c>
      <c r="X8" s="11" t="n">
        <v>0.31</v>
      </c>
      <c r="Y8" s="10" t="n">
        <v>44.4</v>
      </c>
      <c r="Z8" s="27" t="s">
        <v>2961</v>
      </c>
      <c r="AA8" s="9" t="s">
        <v>3832</v>
      </c>
      <c r="AB8" s="27" t="s">
        <v>86</v>
      </c>
      <c r="AC8" s="23" t="s">
        <v>1437</v>
      </c>
    </row>
    <row r="9" customFormat="false" ht="19.5" hidden="false" customHeight="true" outlineLevel="0" collapsed="false">
      <c r="A9" s="25" t="s">
        <v>3833</v>
      </c>
      <c r="B9" s="25" t="s">
        <v>466</v>
      </c>
      <c r="C9" s="12" t="s">
        <v>467</v>
      </c>
      <c r="D9" s="12" t="s">
        <v>468</v>
      </c>
      <c r="E9" s="12" t="s">
        <v>462</v>
      </c>
      <c r="F9" s="25" t="s">
        <v>1490</v>
      </c>
      <c r="G9" s="25" t="n">
        <v>2026</v>
      </c>
      <c r="H9" s="25" t="n">
        <v>10</v>
      </c>
      <c r="I9" s="25" t="s">
        <v>3827</v>
      </c>
      <c r="J9" s="18" t="n">
        <v>1</v>
      </c>
      <c r="K9" s="14" t="n">
        <v>0</v>
      </c>
      <c r="L9" s="14" t="n">
        <v>0</v>
      </c>
      <c r="M9" s="14" t="n">
        <v>0</v>
      </c>
      <c r="N9" s="29"/>
      <c r="O9" s="32" t="n">
        <v>0</v>
      </c>
      <c r="P9" s="14" t="n">
        <v>0</v>
      </c>
      <c r="Q9" s="25" t="n">
        <v>0</v>
      </c>
      <c r="R9" s="25" t="n">
        <v>0</v>
      </c>
      <c r="S9" s="25" t="n">
        <v>0</v>
      </c>
      <c r="T9" s="25" t="n">
        <v>0</v>
      </c>
      <c r="U9" s="14" t="n">
        <v>1.85</v>
      </c>
      <c r="V9" s="14" t="n">
        <v>-0.59</v>
      </c>
      <c r="W9" s="14" t="n">
        <v>2.44</v>
      </c>
      <c r="X9" s="14" t="n">
        <v>0.39</v>
      </c>
      <c r="Y9" s="13" t="n">
        <v>2.2</v>
      </c>
      <c r="Z9" s="25" t="s">
        <v>3014</v>
      </c>
      <c r="AA9" s="12" t="s">
        <v>3832</v>
      </c>
      <c r="AB9" s="25" t="s">
        <v>86</v>
      </c>
      <c r="AC9" s="22" t="s">
        <v>1476</v>
      </c>
    </row>
    <row r="10" customFormat="false" ht="19.5" hidden="false" customHeight="true" outlineLevel="0" collapsed="false">
      <c r="A10" s="27" t="s">
        <v>3834</v>
      </c>
      <c r="B10" s="27" t="s">
        <v>466</v>
      </c>
      <c r="C10" s="9" t="s">
        <v>467</v>
      </c>
      <c r="D10" s="9" t="s">
        <v>468</v>
      </c>
      <c r="E10" s="9" t="s">
        <v>462</v>
      </c>
      <c r="F10" s="27" t="s">
        <v>1510</v>
      </c>
      <c r="G10" s="27" t="n">
        <v>2026</v>
      </c>
      <c r="H10" s="27" t="n">
        <v>10</v>
      </c>
      <c r="I10" s="27" t="s">
        <v>3827</v>
      </c>
      <c r="J10" s="20" t="n">
        <v>1</v>
      </c>
      <c r="K10" s="11" t="n">
        <v>0</v>
      </c>
      <c r="L10" s="11" t="n">
        <v>0</v>
      </c>
      <c r="M10" s="11" t="n">
        <v>0</v>
      </c>
      <c r="N10" s="11" t="n">
        <v>0</v>
      </c>
      <c r="O10" s="31" t="n">
        <v>0</v>
      </c>
      <c r="P10" s="11" t="n">
        <v>0</v>
      </c>
      <c r="Q10" s="27" t="n">
        <v>0</v>
      </c>
      <c r="R10" s="27" t="n">
        <v>0</v>
      </c>
      <c r="S10" s="27" t="n">
        <v>0</v>
      </c>
      <c r="T10" s="27" t="n">
        <v>0</v>
      </c>
      <c r="U10" s="11" t="n">
        <v>1.87</v>
      </c>
      <c r="V10" s="11" t="n">
        <v>-0.82</v>
      </c>
      <c r="W10" s="11" t="n">
        <v>2.69</v>
      </c>
      <c r="X10" s="11" t="n">
        <v>0.45</v>
      </c>
      <c r="Y10" s="10" t="n">
        <v>0</v>
      </c>
      <c r="Z10" s="27" t="s">
        <v>2908</v>
      </c>
      <c r="AA10" s="9" t="s">
        <v>3832</v>
      </c>
      <c r="AB10" s="27" t="s">
        <v>86</v>
      </c>
      <c r="AC10" s="23" t="s">
        <v>1497</v>
      </c>
    </row>
    <row r="11" customFormat="false" ht="19.5" hidden="false" customHeight="true" outlineLevel="0" collapsed="false">
      <c r="A11" s="25" t="s">
        <v>3835</v>
      </c>
      <c r="B11" s="25" t="s">
        <v>466</v>
      </c>
      <c r="C11" s="12" t="s">
        <v>467</v>
      </c>
      <c r="D11" s="12" t="s">
        <v>468</v>
      </c>
      <c r="E11" s="12" t="s">
        <v>462</v>
      </c>
      <c r="F11" s="25" t="s">
        <v>1532</v>
      </c>
      <c r="G11" s="25" t="n">
        <v>2026</v>
      </c>
      <c r="H11" s="25" t="n">
        <v>10</v>
      </c>
      <c r="I11" s="25" t="s">
        <v>3827</v>
      </c>
      <c r="J11" s="18" t="n">
        <v>1</v>
      </c>
      <c r="K11" s="14" t="n">
        <v>0</v>
      </c>
      <c r="L11" s="14" t="n">
        <v>0</v>
      </c>
      <c r="M11" s="14" t="n">
        <v>0</v>
      </c>
      <c r="N11" s="14" t="n">
        <v>0</v>
      </c>
      <c r="O11" s="32" t="n">
        <v>0</v>
      </c>
      <c r="P11" s="14" t="n">
        <v>0</v>
      </c>
      <c r="Q11" s="25" t="n">
        <v>0</v>
      </c>
      <c r="R11" s="25" t="n">
        <v>0</v>
      </c>
      <c r="S11" s="25" t="n">
        <v>0</v>
      </c>
      <c r="T11" s="25" t="n">
        <v>0</v>
      </c>
      <c r="U11" s="14" t="n">
        <v>1.81</v>
      </c>
      <c r="V11" s="14" t="n">
        <v>-0.96</v>
      </c>
      <c r="W11" s="14" t="n">
        <v>2.77</v>
      </c>
      <c r="X11" s="14" t="n">
        <v>0.38</v>
      </c>
      <c r="Y11" s="13" t="n">
        <v>0</v>
      </c>
      <c r="Z11" s="25" t="s">
        <v>3836</v>
      </c>
      <c r="AA11" s="12" t="s">
        <v>3832</v>
      </c>
      <c r="AB11" s="25" t="s">
        <v>86</v>
      </c>
      <c r="AC11" s="22" t="s">
        <v>1517</v>
      </c>
    </row>
    <row r="12" customFormat="false" ht="19.5" hidden="false" customHeight="true" outlineLevel="0" collapsed="false">
      <c r="A12" s="27" t="s">
        <v>3837</v>
      </c>
      <c r="B12" s="27" t="s">
        <v>466</v>
      </c>
      <c r="C12" s="9" t="s">
        <v>467</v>
      </c>
      <c r="D12" s="9" t="s">
        <v>468</v>
      </c>
      <c r="E12" s="9" t="s">
        <v>462</v>
      </c>
      <c r="F12" s="27" t="s">
        <v>1555</v>
      </c>
      <c r="G12" s="27" t="n">
        <v>2026</v>
      </c>
      <c r="H12" s="27" t="n">
        <v>10</v>
      </c>
      <c r="I12" s="27" t="s">
        <v>3827</v>
      </c>
      <c r="J12" s="20" t="n">
        <v>1</v>
      </c>
      <c r="K12" s="11" t="n">
        <v>0</v>
      </c>
      <c r="L12" s="11" t="n">
        <v>0</v>
      </c>
      <c r="M12" s="11" t="n">
        <v>0</v>
      </c>
      <c r="N12" s="11" t="n">
        <v>0</v>
      </c>
      <c r="O12" s="31" t="n">
        <v>0</v>
      </c>
      <c r="P12" s="30"/>
      <c r="Q12" s="27" t="n">
        <v>0</v>
      </c>
      <c r="R12" s="27" t="n">
        <v>0</v>
      </c>
      <c r="S12" s="27" t="n">
        <v>0</v>
      </c>
      <c r="T12" s="27" t="n">
        <v>0</v>
      </c>
      <c r="U12" s="11" t="n">
        <v>1.6</v>
      </c>
      <c r="V12" s="11" t="n">
        <v>1.6</v>
      </c>
      <c r="W12" s="11" t="n">
        <v>0</v>
      </c>
      <c r="X12" s="11" t="n">
        <v>0.32</v>
      </c>
      <c r="Y12" s="10" t="n">
        <v>4</v>
      </c>
      <c r="Z12" s="27" t="s">
        <v>3836</v>
      </c>
      <c r="AA12" s="9" t="s">
        <v>3832</v>
      </c>
      <c r="AB12" s="27" t="s">
        <v>86</v>
      </c>
      <c r="AC12" s="23" t="s">
        <v>93</v>
      </c>
    </row>
    <row r="13" customFormat="false" ht="19.5" hidden="false" customHeight="true" outlineLevel="0" collapsed="false">
      <c r="A13" s="25" t="s">
        <v>3838</v>
      </c>
      <c r="B13" s="25" t="s">
        <v>492</v>
      </c>
      <c r="C13" s="12" t="s">
        <v>493</v>
      </c>
      <c r="D13" s="12" t="s">
        <v>494</v>
      </c>
      <c r="E13" s="12" t="s">
        <v>462</v>
      </c>
      <c r="F13" s="25" t="s">
        <v>1374</v>
      </c>
      <c r="G13" s="25" t="n">
        <v>2026</v>
      </c>
      <c r="H13" s="25" t="n">
        <v>9</v>
      </c>
      <c r="I13" s="25" t="s">
        <v>3827</v>
      </c>
      <c r="J13" s="18" t="n">
        <v>1</v>
      </c>
      <c r="K13" s="14" t="n">
        <v>0</v>
      </c>
      <c r="L13" s="14" t="n">
        <v>0</v>
      </c>
      <c r="M13" s="29"/>
      <c r="N13" s="29"/>
      <c r="O13" s="29"/>
      <c r="P13" s="14" t="n">
        <v>0</v>
      </c>
      <c r="Q13" s="25" t="n">
        <v>0</v>
      </c>
      <c r="R13" s="25" t="n">
        <v>0</v>
      </c>
      <c r="S13" s="25" t="n">
        <v>0</v>
      </c>
      <c r="T13" s="25" t="n">
        <v>0</v>
      </c>
      <c r="U13" s="14" t="n">
        <v>0.96</v>
      </c>
      <c r="V13" s="14" t="n">
        <v>-1.01</v>
      </c>
      <c r="W13" s="14" t="n">
        <v>1.97</v>
      </c>
      <c r="X13" s="14" t="n">
        <v>0.53</v>
      </c>
      <c r="Y13" s="13" t="n">
        <v>10</v>
      </c>
      <c r="Z13" s="25" t="s">
        <v>2961</v>
      </c>
      <c r="AA13" s="12" t="s">
        <v>3828</v>
      </c>
      <c r="AB13" s="25" t="s">
        <v>86</v>
      </c>
      <c r="AC13" s="22" t="s">
        <v>1326</v>
      </c>
    </row>
    <row r="14" customFormat="false" ht="19.5" hidden="false" customHeight="true" outlineLevel="0" collapsed="false">
      <c r="A14" s="27" t="s">
        <v>3839</v>
      </c>
      <c r="B14" s="27" t="s">
        <v>492</v>
      </c>
      <c r="C14" s="9" t="s">
        <v>493</v>
      </c>
      <c r="D14" s="9" t="s">
        <v>494</v>
      </c>
      <c r="E14" s="9" t="s">
        <v>462</v>
      </c>
      <c r="F14" s="27" t="s">
        <v>1400</v>
      </c>
      <c r="G14" s="27" t="n">
        <v>2026</v>
      </c>
      <c r="H14" s="27" t="n">
        <v>9</v>
      </c>
      <c r="I14" s="27" t="s">
        <v>3827</v>
      </c>
      <c r="J14" s="20" t="n">
        <v>1</v>
      </c>
      <c r="K14" s="11" t="n">
        <v>0</v>
      </c>
      <c r="L14" s="11" t="n">
        <v>0</v>
      </c>
      <c r="M14" s="11" t="n">
        <v>0</v>
      </c>
      <c r="N14" s="30"/>
      <c r="O14" s="31" t="n">
        <v>0</v>
      </c>
      <c r="P14" s="11" t="n">
        <v>0</v>
      </c>
      <c r="Q14" s="27" t="n">
        <v>0</v>
      </c>
      <c r="R14" s="27" t="n">
        <v>0</v>
      </c>
      <c r="S14" s="27" t="n">
        <v>0</v>
      </c>
      <c r="T14" s="27" t="n">
        <v>0</v>
      </c>
      <c r="U14" s="11" t="n">
        <v>0.3</v>
      </c>
      <c r="V14" s="11" t="n">
        <v>-0.98</v>
      </c>
      <c r="W14" s="11" t="n">
        <v>1.28</v>
      </c>
      <c r="X14" s="11" t="n">
        <v>0.5</v>
      </c>
      <c r="Y14" s="10" t="n">
        <v>8</v>
      </c>
      <c r="Z14" s="27" t="s">
        <v>2908</v>
      </c>
      <c r="AA14" s="9" t="s">
        <v>3828</v>
      </c>
      <c r="AB14" s="27" t="s">
        <v>86</v>
      </c>
      <c r="AC14" s="23" t="s">
        <v>1383</v>
      </c>
    </row>
    <row r="15" customFormat="false" ht="19.5" hidden="false" customHeight="true" outlineLevel="0" collapsed="false">
      <c r="A15" s="25" t="s">
        <v>3840</v>
      </c>
      <c r="B15" s="25" t="s">
        <v>492</v>
      </c>
      <c r="C15" s="12" t="s">
        <v>493</v>
      </c>
      <c r="D15" s="12" t="s">
        <v>494</v>
      </c>
      <c r="E15" s="12" t="s">
        <v>462</v>
      </c>
      <c r="F15" s="25" t="s">
        <v>1419</v>
      </c>
      <c r="G15" s="25" t="n">
        <v>2026</v>
      </c>
      <c r="H15" s="25" t="n">
        <v>9</v>
      </c>
      <c r="I15" s="25" t="s">
        <v>3827</v>
      </c>
      <c r="J15" s="18" t="n">
        <v>1</v>
      </c>
      <c r="K15" s="14" t="n">
        <v>0</v>
      </c>
      <c r="L15" s="14" t="n">
        <v>0</v>
      </c>
      <c r="M15" s="14" t="n">
        <v>0</v>
      </c>
      <c r="N15" s="14" t="n">
        <v>0</v>
      </c>
      <c r="O15" s="32" t="n">
        <v>0</v>
      </c>
      <c r="P15" s="29"/>
      <c r="Q15" s="25" t="n">
        <v>0</v>
      </c>
      <c r="R15" s="25" t="n">
        <v>0</v>
      </c>
      <c r="S15" s="25" t="n">
        <v>0</v>
      </c>
      <c r="T15" s="25" t="n">
        <v>0</v>
      </c>
      <c r="U15" s="14" t="n">
        <v>0.97</v>
      </c>
      <c r="V15" s="14" t="n">
        <v>0.97</v>
      </c>
      <c r="W15" s="14" t="n">
        <v>0</v>
      </c>
      <c r="X15" s="14" t="n">
        <v>0.6</v>
      </c>
      <c r="Y15" s="13" t="n">
        <v>8</v>
      </c>
      <c r="Z15" s="25" t="s">
        <v>2961</v>
      </c>
      <c r="AA15" s="12" t="s">
        <v>3828</v>
      </c>
      <c r="AB15" s="25" t="s">
        <v>86</v>
      </c>
      <c r="AC15" s="22" t="s">
        <v>1376</v>
      </c>
    </row>
    <row r="16" customFormat="false" ht="19.5" hidden="false" customHeight="true" outlineLevel="0" collapsed="false">
      <c r="A16" s="27" t="s">
        <v>3841</v>
      </c>
      <c r="B16" s="27" t="s">
        <v>492</v>
      </c>
      <c r="C16" s="9" t="s">
        <v>493</v>
      </c>
      <c r="D16" s="9" t="s">
        <v>494</v>
      </c>
      <c r="E16" s="9" t="s">
        <v>462</v>
      </c>
      <c r="F16" s="27" t="s">
        <v>1469</v>
      </c>
      <c r="G16" s="27" t="n">
        <v>2026</v>
      </c>
      <c r="H16" s="27" t="n">
        <v>10</v>
      </c>
      <c r="I16" s="27" t="s">
        <v>3827</v>
      </c>
      <c r="J16" s="20" t="n">
        <v>1</v>
      </c>
      <c r="K16" s="11" t="n">
        <v>0</v>
      </c>
      <c r="L16" s="11" t="n">
        <v>0</v>
      </c>
      <c r="M16" s="30"/>
      <c r="N16" s="30"/>
      <c r="O16" s="30"/>
      <c r="P16" s="11" t="n">
        <v>0</v>
      </c>
      <c r="Q16" s="27" t="n">
        <v>0</v>
      </c>
      <c r="R16" s="27" t="n">
        <v>0</v>
      </c>
      <c r="S16" s="27" t="n">
        <v>0</v>
      </c>
      <c r="T16" s="27" t="n">
        <v>0</v>
      </c>
      <c r="U16" s="11" t="n">
        <v>1.51</v>
      </c>
      <c r="V16" s="11" t="n">
        <v>-0.78</v>
      </c>
      <c r="W16" s="11" t="n">
        <v>2.29</v>
      </c>
      <c r="X16" s="11" t="n">
        <v>0.56</v>
      </c>
      <c r="Y16" s="10" t="n">
        <v>15</v>
      </c>
      <c r="Z16" s="27" t="s">
        <v>2961</v>
      </c>
      <c r="AA16" s="9" t="s">
        <v>3832</v>
      </c>
      <c r="AB16" s="27" t="s">
        <v>86</v>
      </c>
      <c r="AC16" s="23" t="s">
        <v>1437</v>
      </c>
    </row>
    <row r="17" customFormat="false" ht="19.5" hidden="false" customHeight="true" outlineLevel="0" collapsed="false">
      <c r="A17" s="25" t="s">
        <v>3842</v>
      </c>
      <c r="B17" s="25" t="s">
        <v>492</v>
      </c>
      <c r="C17" s="12" t="s">
        <v>493</v>
      </c>
      <c r="D17" s="12" t="s">
        <v>494</v>
      </c>
      <c r="E17" s="12" t="s">
        <v>462</v>
      </c>
      <c r="F17" s="25" t="s">
        <v>1490</v>
      </c>
      <c r="G17" s="25" t="n">
        <v>2026</v>
      </c>
      <c r="H17" s="25" t="n">
        <v>10</v>
      </c>
      <c r="I17" s="25" t="s">
        <v>3827</v>
      </c>
      <c r="J17" s="18" t="n">
        <v>1</v>
      </c>
      <c r="K17" s="14" t="n">
        <v>0</v>
      </c>
      <c r="L17" s="14" t="n">
        <v>0</v>
      </c>
      <c r="M17" s="14" t="n">
        <v>0</v>
      </c>
      <c r="N17" s="29"/>
      <c r="O17" s="32" t="n">
        <v>0</v>
      </c>
      <c r="P17" s="14" t="n">
        <v>0</v>
      </c>
      <c r="Q17" s="25" t="n">
        <v>0</v>
      </c>
      <c r="R17" s="25" t="n">
        <v>0</v>
      </c>
      <c r="S17" s="25" t="n">
        <v>0</v>
      </c>
      <c r="T17" s="25" t="n">
        <v>0</v>
      </c>
      <c r="U17" s="14" t="n">
        <v>1.85</v>
      </c>
      <c r="V17" s="14" t="n">
        <v>-0.59</v>
      </c>
      <c r="W17" s="14" t="n">
        <v>2.44</v>
      </c>
      <c r="X17" s="14" t="n">
        <v>0.55</v>
      </c>
      <c r="Y17" s="13" t="n">
        <v>10</v>
      </c>
      <c r="Z17" s="25" t="s">
        <v>3014</v>
      </c>
      <c r="AA17" s="12" t="s">
        <v>3832</v>
      </c>
      <c r="AB17" s="25" t="s">
        <v>86</v>
      </c>
      <c r="AC17" s="22" t="s">
        <v>1476</v>
      </c>
    </row>
    <row r="18" customFormat="false" ht="19.5" hidden="false" customHeight="true" outlineLevel="0" collapsed="false">
      <c r="A18" s="27" t="s">
        <v>3843</v>
      </c>
      <c r="B18" s="27" t="s">
        <v>492</v>
      </c>
      <c r="C18" s="9" t="s">
        <v>493</v>
      </c>
      <c r="D18" s="9" t="s">
        <v>494</v>
      </c>
      <c r="E18" s="9" t="s">
        <v>462</v>
      </c>
      <c r="F18" s="27" t="s">
        <v>1510</v>
      </c>
      <c r="G18" s="27" t="n">
        <v>2026</v>
      </c>
      <c r="H18" s="27" t="n">
        <v>10</v>
      </c>
      <c r="I18" s="27" t="s">
        <v>3827</v>
      </c>
      <c r="J18" s="20" t="n">
        <v>1</v>
      </c>
      <c r="K18" s="11" t="n">
        <v>0</v>
      </c>
      <c r="L18" s="11" t="n">
        <v>0</v>
      </c>
      <c r="M18" s="11" t="n">
        <v>0</v>
      </c>
      <c r="N18" s="11" t="n">
        <v>0</v>
      </c>
      <c r="O18" s="31" t="n">
        <v>0</v>
      </c>
      <c r="P18" s="11" t="n">
        <v>0</v>
      </c>
      <c r="Q18" s="27" t="n">
        <v>0</v>
      </c>
      <c r="R18" s="27" t="n">
        <v>0</v>
      </c>
      <c r="S18" s="27" t="n">
        <v>0</v>
      </c>
      <c r="T18" s="27" t="n">
        <v>0</v>
      </c>
      <c r="U18" s="11" t="n">
        <v>1.87</v>
      </c>
      <c r="V18" s="11" t="n">
        <v>-0.82</v>
      </c>
      <c r="W18" s="11" t="n">
        <v>2.69</v>
      </c>
      <c r="X18" s="11" t="n">
        <v>0.53</v>
      </c>
      <c r="Y18" s="10" t="n">
        <v>0</v>
      </c>
      <c r="Z18" s="27" t="s">
        <v>2908</v>
      </c>
      <c r="AA18" s="9" t="s">
        <v>3832</v>
      </c>
      <c r="AB18" s="27" t="s">
        <v>86</v>
      </c>
      <c r="AC18" s="23" t="s">
        <v>1497</v>
      </c>
    </row>
    <row r="19" customFormat="false" ht="19.5" hidden="false" customHeight="true" outlineLevel="0" collapsed="false">
      <c r="A19" s="25" t="s">
        <v>3844</v>
      </c>
      <c r="B19" s="25" t="s">
        <v>492</v>
      </c>
      <c r="C19" s="12" t="s">
        <v>493</v>
      </c>
      <c r="D19" s="12" t="s">
        <v>494</v>
      </c>
      <c r="E19" s="12" t="s">
        <v>462</v>
      </c>
      <c r="F19" s="25" t="s">
        <v>1532</v>
      </c>
      <c r="G19" s="25" t="n">
        <v>2026</v>
      </c>
      <c r="H19" s="25" t="n">
        <v>10</v>
      </c>
      <c r="I19" s="25" t="s">
        <v>3827</v>
      </c>
      <c r="J19" s="18" t="n">
        <v>1</v>
      </c>
      <c r="K19" s="14" t="n">
        <v>0</v>
      </c>
      <c r="L19" s="14" t="n">
        <v>0</v>
      </c>
      <c r="M19" s="14" t="n">
        <v>0</v>
      </c>
      <c r="N19" s="14" t="n">
        <v>0</v>
      </c>
      <c r="O19" s="32" t="n">
        <v>0</v>
      </c>
      <c r="P19" s="14" t="n">
        <v>0</v>
      </c>
      <c r="Q19" s="25" t="n">
        <v>0</v>
      </c>
      <c r="R19" s="25" t="n">
        <v>0</v>
      </c>
      <c r="S19" s="25" t="n">
        <v>0</v>
      </c>
      <c r="T19" s="25" t="n">
        <v>0</v>
      </c>
      <c r="U19" s="14" t="n">
        <v>1.81</v>
      </c>
      <c r="V19" s="14" t="n">
        <v>-0.96</v>
      </c>
      <c r="W19" s="14" t="n">
        <v>2.77</v>
      </c>
      <c r="X19" s="14" t="n">
        <v>0.54</v>
      </c>
      <c r="Y19" s="13" t="n">
        <v>0</v>
      </c>
      <c r="Z19" s="25" t="s">
        <v>3836</v>
      </c>
      <c r="AA19" s="12" t="s">
        <v>3832</v>
      </c>
      <c r="AB19" s="25" t="s">
        <v>86</v>
      </c>
      <c r="AC19" s="22" t="s">
        <v>1517</v>
      </c>
    </row>
    <row r="20" customFormat="false" ht="19.5" hidden="false" customHeight="true" outlineLevel="0" collapsed="false">
      <c r="A20" s="27" t="s">
        <v>3845</v>
      </c>
      <c r="B20" s="27" t="s">
        <v>492</v>
      </c>
      <c r="C20" s="9" t="s">
        <v>493</v>
      </c>
      <c r="D20" s="9" t="s">
        <v>494</v>
      </c>
      <c r="E20" s="9" t="s">
        <v>462</v>
      </c>
      <c r="F20" s="27" t="s">
        <v>1555</v>
      </c>
      <c r="G20" s="27" t="n">
        <v>2026</v>
      </c>
      <c r="H20" s="27" t="n">
        <v>10</v>
      </c>
      <c r="I20" s="27" t="s">
        <v>3827</v>
      </c>
      <c r="J20" s="20" t="n">
        <v>1</v>
      </c>
      <c r="K20" s="11" t="n">
        <v>0</v>
      </c>
      <c r="L20" s="11" t="n">
        <v>0</v>
      </c>
      <c r="M20" s="11" t="n">
        <v>0</v>
      </c>
      <c r="N20" s="11" t="n">
        <v>0</v>
      </c>
      <c r="O20" s="31" t="n">
        <v>0</v>
      </c>
      <c r="P20" s="30"/>
      <c r="Q20" s="27" t="n">
        <v>0</v>
      </c>
      <c r="R20" s="27" t="n">
        <v>0</v>
      </c>
      <c r="S20" s="27" t="n">
        <v>0</v>
      </c>
      <c r="T20" s="27" t="n">
        <v>0</v>
      </c>
      <c r="U20" s="11" t="n">
        <v>1.6</v>
      </c>
      <c r="V20" s="11" t="n">
        <v>1.6</v>
      </c>
      <c r="W20" s="11" t="n">
        <v>0</v>
      </c>
      <c r="X20" s="11" t="n">
        <v>0.53</v>
      </c>
      <c r="Y20" s="10" t="n">
        <v>0</v>
      </c>
      <c r="Z20" s="27" t="s">
        <v>3836</v>
      </c>
      <c r="AA20" s="9" t="s">
        <v>3832</v>
      </c>
      <c r="AB20" s="27" t="s">
        <v>86</v>
      </c>
      <c r="AC20" s="23" t="s">
        <v>93</v>
      </c>
    </row>
    <row r="21" customFormat="false" ht="19.5" hidden="false" customHeight="true" outlineLevel="0" collapsed="false">
      <c r="A21" s="25" t="s">
        <v>3846</v>
      </c>
      <c r="B21" s="25" t="s">
        <v>473</v>
      </c>
      <c r="C21" s="12" t="s">
        <v>474</v>
      </c>
      <c r="D21" s="12" t="s">
        <v>475</v>
      </c>
      <c r="E21" s="12" t="s">
        <v>462</v>
      </c>
      <c r="F21" s="25" t="s">
        <v>1374</v>
      </c>
      <c r="G21" s="25" t="n">
        <v>2026</v>
      </c>
      <c r="H21" s="25" t="n">
        <v>9</v>
      </c>
      <c r="I21" s="25" t="s">
        <v>3827</v>
      </c>
      <c r="J21" s="18" t="n">
        <v>1</v>
      </c>
      <c r="K21" s="14" t="n">
        <v>0</v>
      </c>
      <c r="L21" s="14" t="n">
        <v>0</v>
      </c>
      <c r="M21" s="29"/>
      <c r="N21" s="29"/>
      <c r="O21" s="29"/>
      <c r="P21" s="14" t="n">
        <v>0</v>
      </c>
      <c r="Q21" s="25" t="n">
        <v>0</v>
      </c>
      <c r="R21" s="25" t="n">
        <v>0</v>
      </c>
      <c r="S21" s="25" t="n">
        <v>0</v>
      </c>
      <c r="T21" s="25" t="n">
        <v>0</v>
      </c>
      <c r="U21" s="14" t="n">
        <v>0.96</v>
      </c>
      <c r="V21" s="14" t="n">
        <v>-1.01</v>
      </c>
      <c r="W21" s="14" t="n">
        <v>1.97</v>
      </c>
      <c r="X21" s="14" t="n">
        <v>0.54</v>
      </c>
      <c r="Y21" s="13" t="n">
        <v>0</v>
      </c>
      <c r="Z21" s="25" t="s">
        <v>2961</v>
      </c>
      <c r="AA21" s="12" t="s">
        <v>3828</v>
      </c>
      <c r="AB21" s="25" t="s">
        <v>86</v>
      </c>
      <c r="AC21" s="22" t="s">
        <v>1326</v>
      </c>
    </row>
    <row r="22" customFormat="false" ht="19.5" hidden="false" customHeight="true" outlineLevel="0" collapsed="false">
      <c r="A22" s="27" t="s">
        <v>3847</v>
      </c>
      <c r="B22" s="27" t="s">
        <v>473</v>
      </c>
      <c r="C22" s="9" t="s">
        <v>474</v>
      </c>
      <c r="D22" s="9" t="s">
        <v>475</v>
      </c>
      <c r="E22" s="9" t="s">
        <v>462</v>
      </c>
      <c r="F22" s="27" t="s">
        <v>1400</v>
      </c>
      <c r="G22" s="27" t="n">
        <v>2026</v>
      </c>
      <c r="H22" s="27" t="n">
        <v>9</v>
      </c>
      <c r="I22" s="27" t="s">
        <v>3827</v>
      </c>
      <c r="J22" s="20" t="n">
        <v>1</v>
      </c>
      <c r="K22" s="11" t="n">
        <v>0</v>
      </c>
      <c r="L22" s="11" t="n">
        <v>0</v>
      </c>
      <c r="M22" s="11" t="n">
        <v>0</v>
      </c>
      <c r="N22" s="30"/>
      <c r="O22" s="31" t="n">
        <v>0</v>
      </c>
      <c r="P22" s="11" t="n">
        <v>0</v>
      </c>
      <c r="Q22" s="27" t="n">
        <v>0</v>
      </c>
      <c r="R22" s="27" t="n">
        <v>0</v>
      </c>
      <c r="S22" s="27" t="n">
        <v>0</v>
      </c>
      <c r="T22" s="27" t="n">
        <v>0</v>
      </c>
      <c r="U22" s="11" t="n">
        <v>0.3</v>
      </c>
      <c r="V22" s="11" t="n">
        <v>-0.98</v>
      </c>
      <c r="W22" s="11" t="n">
        <v>1.28</v>
      </c>
      <c r="X22" s="11" t="n">
        <v>0.56</v>
      </c>
      <c r="Y22" s="10" t="n">
        <v>12</v>
      </c>
      <c r="Z22" s="27" t="s">
        <v>2908</v>
      </c>
      <c r="AA22" s="9" t="s">
        <v>3828</v>
      </c>
      <c r="AB22" s="27" t="s">
        <v>86</v>
      </c>
      <c r="AC22" s="23" t="s">
        <v>1383</v>
      </c>
    </row>
    <row r="23" customFormat="false" ht="19.5" hidden="false" customHeight="true" outlineLevel="0" collapsed="false">
      <c r="A23" s="25" t="s">
        <v>3848</v>
      </c>
      <c r="B23" s="25" t="s">
        <v>473</v>
      </c>
      <c r="C23" s="12" t="s">
        <v>474</v>
      </c>
      <c r="D23" s="12" t="s">
        <v>475</v>
      </c>
      <c r="E23" s="12" t="s">
        <v>462</v>
      </c>
      <c r="F23" s="25" t="s">
        <v>1419</v>
      </c>
      <c r="G23" s="25" t="n">
        <v>2026</v>
      </c>
      <c r="H23" s="25" t="n">
        <v>9</v>
      </c>
      <c r="I23" s="25" t="s">
        <v>3827</v>
      </c>
      <c r="J23" s="18" t="n">
        <v>1</v>
      </c>
      <c r="K23" s="14" t="n">
        <v>0</v>
      </c>
      <c r="L23" s="14" t="n">
        <v>0</v>
      </c>
      <c r="M23" s="14" t="n">
        <v>0</v>
      </c>
      <c r="N23" s="14" t="n">
        <v>0</v>
      </c>
      <c r="O23" s="32" t="n">
        <v>0</v>
      </c>
      <c r="P23" s="29"/>
      <c r="Q23" s="25" t="n">
        <v>0</v>
      </c>
      <c r="R23" s="25" t="n">
        <v>0</v>
      </c>
      <c r="S23" s="25" t="n">
        <v>0</v>
      </c>
      <c r="T23" s="25" t="n">
        <v>0</v>
      </c>
      <c r="U23" s="14" t="n">
        <v>0.97</v>
      </c>
      <c r="V23" s="14" t="n">
        <v>0.97</v>
      </c>
      <c r="W23" s="14" t="n">
        <v>0</v>
      </c>
      <c r="X23" s="14" t="n">
        <v>0.76</v>
      </c>
      <c r="Y23" s="13" t="n">
        <v>34</v>
      </c>
      <c r="Z23" s="25" t="s">
        <v>2961</v>
      </c>
      <c r="AA23" s="12" t="s">
        <v>3828</v>
      </c>
      <c r="AB23" s="25" t="s">
        <v>86</v>
      </c>
      <c r="AC23" s="22" t="s">
        <v>1376</v>
      </c>
    </row>
    <row r="24" customFormat="false" ht="19.5" hidden="false" customHeight="true" outlineLevel="0" collapsed="false">
      <c r="A24" s="27" t="s">
        <v>3849</v>
      </c>
      <c r="B24" s="27" t="s">
        <v>473</v>
      </c>
      <c r="C24" s="9" t="s">
        <v>474</v>
      </c>
      <c r="D24" s="9" t="s">
        <v>475</v>
      </c>
      <c r="E24" s="9" t="s">
        <v>462</v>
      </c>
      <c r="F24" s="27" t="s">
        <v>1469</v>
      </c>
      <c r="G24" s="27" t="n">
        <v>2026</v>
      </c>
      <c r="H24" s="27" t="n">
        <v>10</v>
      </c>
      <c r="I24" s="27" t="s">
        <v>3827</v>
      </c>
      <c r="J24" s="20" t="n">
        <v>1</v>
      </c>
      <c r="K24" s="11" t="n">
        <v>0</v>
      </c>
      <c r="L24" s="11" t="n">
        <v>0</v>
      </c>
      <c r="M24" s="30"/>
      <c r="N24" s="30"/>
      <c r="O24" s="30"/>
      <c r="P24" s="11" t="n">
        <v>0</v>
      </c>
      <c r="Q24" s="27" t="n">
        <v>0</v>
      </c>
      <c r="R24" s="27" t="n">
        <v>0</v>
      </c>
      <c r="S24" s="27" t="n">
        <v>0</v>
      </c>
      <c r="T24" s="27" t="n">
        <v>0</v>
      </c>
      <c r="U24" s="11" t="n">
        <v>1.51</v>
      </c>
      <c r="V24" s="11" t="n">
        <v>-0.78</v>
      </c>
      <c r="W24" s="11" t="n">
        <v>2.29</v>
      </c>
      <c r="X24" s="11" t="n">
        <v>0.54</v>
      </c>
      <c r="Y24" s="10" t="n">
        <v>27</v>
      </c>
      <c r="Z24" s="27" t="s">
        <v>2961</v>
      </c>
      <c r="AA24" s="9" t="s">
        <v>3832</v>
      </c>
      <c r="AB24" s="27" t="s">
        <v>86</v>
      </c>
      <c r="AC24" s="23" t="s">
        <v>1437</v>
      </c>
    </row>
    <row r="25" customFormat="false" ht="19.5" hidden="false" customHeight="true" outlineLevel="0" collapsed="false">
      <c r="A25" s="25" t="s">
        <v>3850</v>
      </c>
      <c r="B25" s="25" t="s">
        <v>473</v>
      </c>
      <c r="C25" s="12" t="s">
        <v>474</v>
      </c>
      <c r="D25" s="12" t="s">
        <v>475</v>
      </c>
      <c r="E25" s="12" t="s">
        <v>462</v>
      </c>
      <c r="F25" s="25" t="s">
        <v>1490</v>
      </c>
      <c r="G25" s="25" t="n">
        <v>2026</v>
      </c>
      <c r="H25" s="25" t="n">
        <v>10</v>
      </c>
      <c r="I25" s="25" t="s">
        <v>3827</v>
      </c>
      <c r="J25" s="18" t="n">
        <v>1</v>
      </c>
      <c r="K25" s="14" t="n">
        <v>0</v>
      </c>
      <c r="L25" s="14" t="n">
        <v>0</v>
      </c>
      <c r="M25" s="14" t="n">
        <v>0</v>
      </c>
      <c r="N25" s="29"/>
      <c r="O25" s="32" t="n">
        <v>0</v>
      </c>
      <c r="P25" s="14" t="n">
        <v>0</v>
      </c>
      <c r="Q25" s="25" t="n">
        <v>0</v>
      </c>
      <c r="R25" s="25" t="n">
        <v>0</v>
      </c>
      <c r="S25" s="25" t="n">
        <v>0</v>
      </c>
      <c r="T25" s="25" t="n">
        <v>0</v>
      </c>
      <c r="U25" s="14" t="n">
        <v>1.85</v>
      </c>
      <c r="V25" s="14" t="n">
        <v>-0.59</v>
      </c>
      <c r="W25" s="14" t="n">
        <v>2.44</v>
      </c>
      <c r="X25" s="14" t="n">
        <v>0.3</v>
      </c>
      <c r="Y25" s="13" t="n">
        <v>0</v>
      </c>
      <c r="Z25" s="25" t="s">
        <v>3014</v>
      </c>
      <c r="AA25" s="12" t="s">
        <v>3832</v>
      </c>
      <c r="AB25" s="25" t="s">
        <v>86</v>
      </c>
      <c r="AC25" s="22" t="s">
        <v>1476</v>
      </c>
    </row>
    <row r="26" customFormat="false" ht="19.5" hidden="false" customHeight="true" outlineLevel="0" collapsed="false">
      <c r="A26" s="27" t="s">
        <v>3851</v>
      </c>
      <c r="B26" s="27" t="s">
        <v>473</v>
      </c>
      <c r="C26" s="9" t="s">
        <v>474</v>
      </c>
      <c r="D26" s="9" t="s">
        <v>475</v>
      </c>
      <c r="E26" s="9" t="s">
        <v>462</v>
      </c>
      <c r="F26" s="27" t="s">
        <v>1510</v>
      </c>
      <c r="G26" s="27" t="n">
        <v>2026</v>
      </c>
      <c r="H26" s="27" t="n">
        <v>10</v>
      </c>
      <c r="I26" s="27" t="s">
        <v>3827</v>
      </c>
      <c r="J26" s="20" t="n">
        <v>1</v>
      </c>
      <c r="K26" s="11" t="n">
        <v>0</v>
      </c>
      <c r="L26" s="11" t="n">
        <v>0</v>
      </c>
      <c r="M26" s="11" t="n">
        <v>0</v>
      </c>
      <c r="N26" s="11" t="n">
        <v>0</v>
      </c>
      <c r="O26" s="31" t="n">
        <v>0</v>
      </c>
      <c r="P26" s="11" t="n">
        <v>0</v>
      </c>
      <c r="Q26" s="27" t="n">
        <v>0</v>
      </c>
      <c r="R26" s="27" t="n">
        <v>0</v>
      </c>
      <c r="S26" s="27" t="n">
        <v>0</v>
      </c>
      <c r="T26" s="27" t="n">
        <v>0</v>
      </c>
      <c r="U26" s="11" t="n">
        <v>1.87</v>
      </c>
      <c r="V26" s="11" t="n">
        <v>-0.82</v>
      </c>
      <c r="W26" s="11" t="n">
        <v>2.69</v>
      </c>
      <c r="X26" s="11" t="n">
        <v>0.2</v>
      </c>
      <c r="Y26" s="10" t="n">
        <v>0</v>
      </c>
      <c r="Z26" s="27" t="s">
        <v>2908</v>
      </c>
      <c r="AA26" s="9" t="s">
        <v>3832</v>
      </c>
      <c r="AB26" s="27" t="s">
        <v>86</v>
      </c>
      <c r="AC26" s="23" t="s">
        <v>1497</v>
      </c>
    </row>
    <row r="27" customFormat="false" ht="19.5" hidden="false" customHeight="true" outlineLevel="0" collapsed="false">
      <c r="A27" s="25" t="s">
        <v>3852</v>
      </c>
      <c r="B27" s="25" t="s">
        <v>473</v>
      </c>
      <c r="C27" s="12" t="s">
        <v>474</v>
      </c>
      <c r="D27" s="12" t="s">
        <v>475</v>
      </c>
      <c r="E27" s="12" t="s">
        <v>462</v>
      </c>
      <c r="F27" s="25" t="s">
        <v>1532</v>
      </c>
      <c r="G27" s="25" t="n">
        <v>2026</v>
      </c>
      <c r="H27" s="25" t="n">
        <v>10</v>
      </c>
      <c r="I27" s="25" t="s">
        <v>3827</v>
      </c>
      <c r="J27" s="18" t="n">
        <v>1</v>
      </c>
      <c r="K27" s="14" t="n">
        <v>0</v>
      </c>
      <c r="L27" s="14" t="n">
        <v>0</v>
      </c>
      <c r="M27" s="14" t="n">
        <v>0</v>
      </c>
      <c r="N27" s="14" t="n">
        <v>0</v>
      </c>
      <c r="O27" s="32" t="n">
        <v>0</v>
      </c>
      <c r="P27" s="14" t="n">
        <v>0</v>
      </c>
      <c r="Q27" s="25" t="n">
        <v>0</v>
      </c>
      <c r="R27" s="25" t="n">
        <v>0</v>
      </c>
      <c r="S27" s="25" t="n">
        <v>0</v>
      </c>
      <c r="T27" s="25" t="n">
        <v>0</v>
      </c>
      <c r="U27" s="14" t="n">
        <v>1.81</v>
      </c>
      <c r="V27" s="14" t="n">
        <v>-0.96</v>
      </c>
      <c r="W27" s="14" t="n">
        <v>2.77</v>
      </c>
      <c r="X27" s="14" t="n">
        <v>0.38</v>
      </c>
      <c r="Y27" s="13" t="n">
        <v>0</v>
      </c>
      <c r="Z27" s="25" t="s">
        <v>3836</v>
      </c>
      <c r="AA27" s="12" t="s">
        <v>3832</v>
      </c>
      <c r="AB27" s="25" t="s">
        <v>86</v>
      </c>
      <c r="AC27" s="22" t="s">
        <v>1517</v>
      </c>
    </row>
    <row r="28" customFormat="false" ht="19.5" hidden="false" customHeight="true" outlineLevel="0" collapsed="false">
      <c r="A28" s="27" t="s">
        <v>3853</v>
      </c>
      <c r="B28" s="27" t="s">
        <v>473</v>
      </c>
      <c r="C28" s="9" t="s">
        <v>474</v>
      </c>
      <c r="D28" s="9" t="s">
        <v>475</v>
      </c>
      <c r="E28" s="9" t="s">
        <v>462</v>
      </c>
      <c r="F28" s="27" t="s">
        <v>1555</v>
      </c>
      <c r="G28" s="27" t="n">
        <v>2026</v>
      </c>
      <c r="H28" s="27" t="n">
        <v>10</v>
      </c>
      <c r="I28" s="27" t="s">
        <v>3827</v>
      </c>
      <c r="J28" s="20" t="n">
        <v>1</v>
      </c>
      <c r="K28" s="11" t="n">
        <v>0</v>
      </c>
      <c r="L28" s="11" t="n">
        <v>0</v>
      </c>
      <c r="M28" s="11" t="n">
        <v>0</v>
      </c>
      <c r="N28" s="11" t="n">
        <v>0</v>
      </c>
      <c r="O28" s="31" t="n">
        <v>0</v>
      </c>
      <c r="P28" s="30"/>
      <c r="Q28" s="27" t="n">
        <v>0</v>
      </c>
      <c r="R28" s="27" t="n">
        <v>0</v>
      </c>
      <c r="S28" s="27" t="n">
        <v>0</v>
      </c>
      <c r="T28" s="27" t="n">
        <v>0</v>
      </c>
      <c r="U28" s="11" t="n">
        <v>1.6</v>
      </c>
      <c r="V28" s="11" t="n">
        <v>1.6</v>
      </c>
      <c r="W28" s="11" t="n">
        <v>0</v>
      </c>
      <c r="X28" s="11" t="n">
        <v>0.48</v>
      </c>
      <c r="Y28" s="10" t="n">
        <v>0</v>
      </c>
      <c r="Z28" s="27" t="s">
        <v>3836</v>
      </c>
      <c r="AA28" s="9" t="s">
        <v>3832</v>
      </c>
      <c r="AB28" s="27" t="s">
        <v>86</v>
      </c>
      <c r="AC28" s="23" t="s">
        <v>93</v>
      </c>
    </row>
    <row r="29" customFormat="false" ht="19.5" hidden="false" customHeight="true" outlineLevel="0" collapsed="false">
      <c r="A29" s="25" t="s">
        <v>3854</v>
      </c>
      <c r="B29" s="25" t="s">
        <v>459</v>
      </c>
      <c r="C29" s="12" t="s">
        <v>460</v>
      </c>
      <c r="D29" s="12" t="s">
        <v>461</v>
      </c>
      <c r="E29" s="12" t="s">
        <v>462</v>
      </c>
      <c r="F29" s="25" t="s">
        <v>1374</v>
      </c>
      <c r="G29" s="25" t="n">
        <v>2026</v>
      </c>
      <c r="H29" s="25" t="n">
        <v>9</v>
      </c>
      <c r="I29" s="25" t="s">
        <v>3827</v>
      </c>
      <c r="J29" s="18" t="n">
        <v>1</v>
      </c>
      <c r="K29" s="14" t="n">
        <v>0</v>
      </c>
      <c r="L29" s="14" t="n">
        <v>0</v>
      </c>
      <c r="M29" s="29"/>
      <c r="N29" s="29"/>
      <c r="O29" s="29"/>
      <c r="P29" s="14" t="n">
        <v>0</v>
      </c>
      <c r="Q29" s="25" t="n">
        <v>0</v>
      </c>
      <c r="R29" s="25" t="n">
        <v>0</v>
      </c>
      <c r="S29" s="25" t="n">
        <v>0</v>
      </c>
      <c r="T29" s="25" t="n">
        <v>0</v>
      </c>
      <c r="U29" s="14" t="n">
        <v>0.96</v>
      </c>
      <c r="V29" s="14" t="n">
        <v>-1.01</v>
      </c>
      <c r="W29" s="14" t="n">
        <v>1.97</v>
      </c>
      <c r="X29" s="14" t="n">
        <v>0.06</v>
      </c>
      <c r="Y29" s="13" t="n">
        <v>48</v>
      </c>
      <c r="Z29" s="25" t="s">
        <v>2961</v>
      </c>
      <c r="AA29" s="12" t="s">
        <v>3828</v>
      </c>
      <c r="AB29" s="25" t="s">
        <v>86</v>
      </c>
      <c r="AC29" s="22" t="s">
        <v>1326</v>
      </c>
    </row>
    <row r="30" customFormat="false" ht="19.5" hidden="false" customHeight="true" outlineLevel="0" collapsed="false">
      <c r="A30" s="27" t="s">
        <v>3855</v>
      </c>
      <c r="B30" s="27" t="s">
        <v>459</v>
      </c>
      <c r="C30" s="9" t="s">
        <v>460</v>
      </c>
      <c r="D30" s="9" t="s">
        <v>461</v>
      </c>
      <c r="E30" s="9" t="s">
        <v>462</v>
      </c>
      <c r="F30" s="27" t="s">
        <v>1400</v>
      </c>
      <c r="G30" s="27" t="n">
        <v>2026</v>
      </c>
      <c r="H30" s="27" t="n">
        <v>9</v>
      </c>
      <c r="I30" s="27" t="s">
        <v>3827</v>
      </c>
      <c r="J30" s="20" t="n">
        <v>1</v>
      </c>
      <c r="K30" s="11" t="n">
        <v>0</v>
      </c>
      <c r="L30" s="11" t="n">
        <v>0</v>
      </c>
      <c r="M30" s="11" t="n">
        <v>0</v>
      </c>
      <c r="N30" s="30"/>
      <c r="O30" s="31" t="n">
        <v>0</v>
      </c>
      <c r="P30" s="11" t="n">
        <v>0</v>
      </c>
      <c r="Q30" s="27" t="n">
        <v>0</v>
      </c>
      <c r="R30" s="27" t="n">
        <v>0</v>
      </c>
      <c r="S30" s="27" t="n">
        <v>0</v>
      </c>
      <c r="T30" s="27" t="n">
        <v>0</v>
      </c>
      <c r="U30" s="11" t="n">
        <v>0.3</v>
      </c>
      <c r="V30" s="11" t="n">
        <v>-0.98</v>
      </c>
      <c r="W30" s="11" t="n">
        <v>1.28</v>
      </c>
      <c r="X30" s="11" t="n">
        <v>0.02</v>
      </c>
      <c r="Y30" s="10" t="n">
        <v>7.5</v>
      </c>
      <c r="Z30" s="27" t="s">
        <v>2908</v>
      </c>
      <c r="AA30" s="9" t="s">
        <v>3828</v>
      </c>
      <c r="AB30" s="27" t="s">
        <v>86</v>
      </c>
      <c r="AC30" s="23" t="s">
        <v>1383</v>
      </c>
    </row>
    <row r="31" customFormat="false" ht="19.5" hidden="false" customHeight="true" outlineLevel="0" collapsed="false">
      <c r="A31" s="25" t="s">
        <v>3856</v>
      </c>
      <c r="B31" s="25" t="s">
        <v>459</v>
      </c>
      <c r="C31" s="12" t="s">
        <v>460</v>
      </c>
      <c r="D31" s="12" t="s">
        <v>461</v>
      </c>
      <c r="E31" s="12" t="s">
        <v>462</v>
      </c>
      <c r="F31" s="25" t="s">
        <v>1419</v>
      </c>
      <c r="G31" s="25" t="n">
        <v>2026</v>
      </c>
      <c r="H31" s="25" t="n">
        <v>9</v>
      </c>
      <c r="I31" s="25" t="s">
        <v>3827</v>
      </c>
      <c r="J31" s="18" t="n">
        <v>1</v>
      </c>
      <c r="K31" s="14" t="n">
        <v>0</v>
      </c>
      <c r="L31" s="14" t="n">
        <v>0</v>
      </c>
      <c r="M31" s="14" t="n">
        <v>0</v>
      </c>
      <c r="N31" s="14" t="n">
        <v>0</v>
      </c>
      <c r="O31" s="32" t="n">
        <v>0</v>
      </c>
      <c r="P31" s="29"/>
      <c r="Q31" s="25" t="n">
        <v>0</v>
      </c>
      <c r="R31" s="25" t="n">
        <v>0</v>
      </c>
      <c r="S31" s="25" t="n">
        <v>0</v>
      </c>
      <c r="T31" s="25" t="n">
        <v>0</v>
      </c>
      <c r="U31" s="14" t="n">
        <v>0.97</v>
      </c>
      <c r="V31" s="14" t="n">
        <v>0.97</v>
      </c>
      <c r="W31" s="14" t="n">
        <v>0</v>
      </c>
      <c r="X31" s="14" t="n">
        <v>0.76</v>
      </c>
      <c r="Y31" s="13" t="n">
        <v>7.5</v>
      </c>
      <c r="Z31" s="25" t="s">
        <v>2961</v>
      </c>
      <c r="AA31" s="12" t="s">
        <v>3828</v>
      </c>
      <c r="AB31" s="25" t="s">
        <v>86</v>
      </c>
      <c r="AC31" s="22" t="s">
        <v>1376</v>
      </c>
    </row>
    <row r="32" customFormat="false" ht="19.5" hidden="false" customHeight="true" outlineLevel="0" collapsed="false">
      <c r="A32" s="27" t="s">
        <v>3857</v>
      </c>
      <c r="B32" s="27" t="s">
        <v>459</v>
      </c>
      <c r="C32" s="9" t="s">
        <v>460</v>
      </c>
      <c r="D32" s="9" t="s">
        <v>461</v>
      </c>
      <c r="E32" s="9" t="s">
        <v>462</v>
      </c>
      <c r="F32" s="27" t="s">
        <v>1469</v>
      </c>
      <c r="G32" s="27" t="n">
        <v>2026</v>
      </c>
      <c r="H32" s="27" t="n">
        <v>10</v>
      </c>
      <c r="I32" s="27" t="s">
        <v>3827</v>
      </c>
      <c r="J32" s="20" t="n">
        <v>1</v>
      </c>
      <c r="K32" s="11" t="n">
        <v>0</v>
      </c>
      <c r="L32" s="11" t="n">
        <v>0</v>
      </c>
      <c r="M32" s="30"/>
      <c r="N32" s="30"/>
      <c r="O32" s="30"/>
      <c r="P32" s="11" t="n">
        <v>0</v>
      </c>
      <c r="Q32" s="27" t="n">
        <v>0</v>
      </c>
      <c r="R32" s="27" t="n">
        <v>0</v>
      </c>
      <c r="S32" s="27" t="n">
        <v>0</v>
      </c>
      <c r="T32" s="27" t="n">
        <v>0</v>
      </c>
      <c r="U32" s="11" t="n">
        <v>1.51</v>
      </c>
      <c r="V32" s="11" t="n">
        <v>-0.78</v>
      </c>
      <c r="W32" s="11" t="n">
        <v>2.29</v>
      </c>
      <c r="X32" s="11" t="n">
        <v>0.06</v>
      </c>
      <c r="Y32" s="10" t="n">
        <v>40</v>
      </c>
      <c r="Z32" s="27" t="s">
        <v>2961</v>
      </c>
      <c r="AA32" s="9" t="s">
        <v>3832</v>
      </c>
      <c r="AB32" s="27" t="s">
        <v>86</v>
      </c>
      <c r="AC32" s="23" t="s">
        <v>1437</v>
      </c>
    </row>
    <row r="33" customFormat="false" ht="19.5" hidden="false" customHeight="true" outlineLevel="0" collapsed="false">
      <c r="A33" s="25" t="s">
        <v>3858</v>
      </c>
      <c r="B33" s="25" t="s">
        <v>459</v>
      </c>
      <c r="C33" s="12" t="s">
        <v>460</v>
      </c>
      <c r="D33" s="12" t="s">
        <v>461</v>
      </c>
      <c r="E33" s="12" t="s">
        <v>462</v>
      </c>
      <c r="F33" s="25" t="s">
        <v>1490</v>
      </c>
      <c r="G33" s="25" t="n">
        <v>2026</v>
      </c>
      <c r="H33" s="25" t="n">
        <v>10</v>
      </c>
      <c r="I33" s="25" t="s">
        <v>3827</v>
      </c>
      <c r="J33" s="18" t="n">
        <v>1</v>
      </c>
      <c r="K33" s="14" t="n">
        <v>0</v>
      </c>
      <c r="L33" s="14" t="n">
        <v>0</v>
      </c>
      <c r="M33" s="14" t="n">
        <v>0</v>
      </c>
      <c r="N33" s="29"/>
      <c r="O33" s="32" t="n">
        <v>0</v>
      </c>
      <c r="P33" s="14" t="n">
        <v>0</v>
      </c>
      <c r="Q33" s="25" t="n">
        <v>0</v>
      </c>
      <c r="R33" s="25" t="n">
        <v>0</v>
      </c>
      <c r="S33" s="25" t="n">
        <v>0</v>
      </c>
      <c r="T33" s="25" t="n">
        <v>0</v>
      </c>
      <c r="U33" s="14" t="n">
        <v>1.85</v>
      </c>
      <c r="V33" s="14" t="n">
        <v>-0.59</v>
      </c>
      <c r="W33" s="14" t="n">
        <v>2.44</v>
      </c>
      <c r="X33" s="14" t="n">
        <v>0.08</v>
      </c>
      <c r="Y33" s="13" t="n">
        <v>0</v>
      </c>
      <c r="Z33" s="25" t="s">
        <v>3014</v>
      </c>
      <c r="AA33" s="12" t="s">
        <v>3832</v>
      </c>
      <c r="AB33" s="25" t="s">
        <v>86</v>
      </c>
      <c r="AC33" s="22" t="s">
        <v>1476</v>
      </c>
    </row>
    <row r="34" customFormat="false" ht="19.5" hidden="false" customHeight="true" outlineLevel="0" collapsed="false">
      <c r="A34" s="27" t="s">
        <v>3859</v>
      </c>
      <c r="B34" s="27" t="s">
        <v>459</v>
      </c>
      <c r="C34" s="9" t="s">
        <v>460</v>
      </c>
      <c r="D34" s="9" t="s">
        <v>461</v>
      </c>
      <c r="E34" s="9" t="s">
        <v>462</v>
      </c>
      <c r="F34" s="27" t="s">
        <v>1510</v>
      </c>
      <c r="G34" s="27" t="n">
        <v>2026</v>
      </c>
      <c r="H34" s="27" t="n">
        <v>10</v>
      </c>
      <c r="I34" s="27" t="s">
        <v>3827</v>
      </c>
      <c r="J34" s="20" t="n">
        <v>1</v>
      </c>
      <c r="K34" s="11" t="n">
        <v>0</v>
      </c>
      <c r="L34" s="11" t="n">
        <v>0</v>
      </c>
      <c r="M34" s="11" t="n">
        <v>0</v>
      </c>
      <c r="N34" s="11" t="n">
        <v>0</v>
      </c>
      <c r="O34" s="31" t="n">
        <v>0</v>
      </c>
      <c r="P34" s="11" t="n">
        <v>0</v>
      </c>
      <c r="Q34" s="27" t="n">
        <v>0</v>
      </c>
      <c r="R34" s="27" t="n">
        <v>0</v>
      </c>
      <c r="S34" s="27" t="n">
        <v>0</v>
      </c>
      <c r="T34" s="27" t="n">
        <v>0</v>
      </c>
      <c r="U34" s="11" t="n">
        <v>1.87</v>
      </c>
      <c r="V34" s="11" t="n">
        <v>-0.82</v>
      </c>
      <c r="W34" s="11" t="n">
        <v>2.69</v>
      </c>
      <c r="X34" s="11" t="n">
        <v>0.62</v>
      </c>
      <c r="Y34" s="10" t="n">
        <v>0</v>
      </c>
      <c r="Z34" s="27" t="s">
        <v>2908</v>
      </c>
      <c r="AA34" s="9" t="s">
        <v>3832</v>
      </c>
      <c r="AB34" s="27" t="s">
        <v>86</v>
      </c>
      <c r="AC34" s="23" t="s">
        <v>1497</v>
      </c>
    </row>
    <row r="35" customFormat="false" ht="19.5" hidden="false" customHeight="true" outlineLevel="0" collapsed="false">
      <c r="A35" s="25" t="s">
        <v>3860</v>
      </c>
      <c r="B35" s="25" t="s">
        <v>459</v>
      </c>
      <c r="C35" s="12" t="s">
        <v>460</v>
      </c>
      <c r="D35" s="12" t="s">
        <v>461</v>
      </c>
      <c r="E35" s="12" t="s">
        <v>462</v>
      </c>
      <c r="F35" s="25" t="s">
        <v>1532</v>
      </c>
      <c r="G35" s="25" t="n">
        <v>2026</v>
      </c>
      <c r="H35" s="25" t="n">
        <v>10</v>
      </c>
      <c r="I35" s="25" t="s">
        <v>3827</v>
      </c>
      <c r="J35" s="18" t="n">
        <v>1</v>
      </c>
      <c r="K35" s="14" t="n">
        <v>0</v>
      </c>
      <c r="L35" s="14" t="n">
        <v>0</v>
      </c>
      <c r="M35" s="14" t="n">
        <v>0</v>
      </c>
      <c r="N35" s="14" t="n">
        <v>0</v>
      </c>
      <c r="O35" s="32" t="n">
        <v>0</v>
      </c>
      <c r="P35" s="14" t="n">
        <v>0</v>
      </c>
      <c r="Q35" s="25" t="n">
        <v>0</v>
      </c>
      <c r="R35" s="25" t="n">
        <v>0</v>
      </c>
      <c r="S35" s="25" t="n">
        <v>0</v>
      </c>
      <c r="T35" s="25" t="n">
        <v>0</v>
      </c>
      <c r="U35" s="14" t="n">
        <v>1.81</v>
      </c>
      <c r="V35" s="14" t="n">
        <v>-0.96</v>
      </c>
      <c r="W35" s="14" t="n">
        <v>2.77</v>
      </c>
      <c r="X35" s="14" t="n">
        <v>0.65</v>
      </c>
      <c r="Y35" s="13" t="n">
        <v>0</v>
      </c>
      <c r="Z35" s="25" t="s">
        <v>3836</v>
      </c>
      <c r="AA35" s="12" t="s">
        <v>3832</v>
      </c>
      <c r="AB35" s="25" t="s">
        <v>86</v>
      </c>
      <c r="AC35" s="22" t="s">
        <v>1517</v>
      </c>
    </row>
    <row r="36" customFormat="false" ht="19.5" hidden="false" customHeight="true" outlineLevel="0" collapsed="false">
      <c r="A36" s="27" t="s">
        <v>3861</v>
      </c>
      <c r="B36" s="27" t="s">
        <v>459</v>
      </c>
      <c r="C36" s="9" t="s">
        <v>460</v>
      </c>
      <c r="D36" s="9" t="s">
        <v>461</v>
      </c>
      <c r="E36" s="9" t="s">
        <v>462</v>
      </c>
      <c r="F36" s="27" t="s">
        <v>1555</v>
      </c>
      <c r="G36" s="27" t="n">
        <v>2026</v>
      </c>
      <c r="H36" s="27" t="n">
        <v>10</v>
      </c>
      <c r="I36" s="27" t="s">
        <v>3827</v>
      </c>
      <c r="J36" s="20" t="n">
        <v>1</v>
      </c>
      <c r="K36" s="11" t="n">
        <v>0</v>
      </c>
      <c r="L36" s="11" t="n">
        <v>0</v>
      </c>
      <c r="M36" s="11" t="n">
        <v>0</v>
      </c>
      <c r="N36" s="11" t="n">
        <v>0</v>
      </c>
      <c r="O36" s="31" t="n">
        <v>0</v>
      </c>
      <c r="P36" s="30"/>
      <c r="Q36" s="27" t="n">
        <v>0</v>
      </c>
      <c r="R36" s="27" t="n">
        <v>0</v>
      </c>
      <c r="S36" s="27" t="n">
        <v>0</v>
      </c>
      <c r="T36" s="27" t="n">
        <v>0</v>
      </c>
      <c r="U36" s="11" t="n">
        <v>1.6</v>
      </c>
      <c r="V36" s="11" t="n">
        <v>1.6</v>
      </c>
      <c r="W36" s="11" t="n">
        <v>0</v>
      </c>
      <c r="X36" s="11" t="n">
        <v>0.68</v>
      </c>
      <c r="Y36" s="10" t="n">
        <v>4</v>
      </c>
      <c r="Z36" s="27" t="s">
        <v>3836</v>
      </c>
      <c r="AA36" s="9" t="s">
        <v>3832</v>
      </c>
      <c r="AB36" s="27" t="s">
        <v>86</v>
      </c>
      <c r="AC36" s="23" t="s">
        <v>93</v>
      </c>
    </row>
    <row r="37" customFormat="false" ht="19.5" hidden="false" customHeight="true" outlineLevel="0" collapsed="false">
      <c r="A37" s="25" t="s">
        <v>3862</v>
      </c>
      <c r="B37" s="25" t="s">
        <v>486</v>
      </c>
      <c r="C37" s="12" t="s">
        <v>487</v>
      </c>
      <c r="D37" s="12" t="s">
        <v>488</v>
      </c>
      <c r="E37" s="12" t="s">
        <v>462</v>
      </c>
      <c r="F37" s="25" t="s">
        <v>1374</v>
      </c>
      <c r="G37" s="25" t="n">
        <v>2026</v>
      </c>
      <c r="H37" s="25" t="n">
        <v>9</v>
      </c>
      <c r="I37" s="25" t="s">
        <v>3827</v>
      </c>
      <c r="J37" s="18" t="n">
        <v>1</v>
      </c>
      <c r="K37" s="14" t="n">
        <v>0</v>
      </c>
      <c r="L37" s="14" t="n">
        <v>0</v>
      </c>
      <c r="M37" s="29"/>
      <c r="N37" s="29"/>
      <c r="O37" s="29"/>
      <c r="P37" s="14" t="n">
        <v>0</v>
      </c>
      <c r="Q37" s="25" t="n">
        <v>0</v>
      </c>
      <c r="R37" s="25" t="n">
        <v>0</v>
      </c>
      <c r="S37" s="25" t="n">
        <v>0</v>
      </c>
      <c r="T37" s="25" t="n">
        <v>0</v>
      </c>
      <c r="U37" s="14" t="n">
        <v>0.96</v>
      </c>
      <c r="V37" s="14" t="n">
        <v>-1.01</v>
      </c>
      <c r="W37" s="14" t="n">
        <v>1.97</v>
      </c>
      <c r="X37" s="14" t="n">
        <v>0.62</v>
      </c>
      <c r="Y37" s="13" t="n">
        <v>10</v>
      </c>
      <c r="Z37" s="25" t="s">
        <v>2961</v>
      </c>
      <c r="AA37" s="12" t="s">
        <v>3828</v>
      </c>
      <c r="AB37" s="25" t="s">
        <v>86</v>
      </c>
      <c r="AC37" s="22" t="s">
        <v>1326</v>
      </c>
    </row>
    <row r="38" customFormat="false" ht="19.5" hidden="false" customHeight="true" outlineLevel="0" collapsed="false">
      <c r="A38" s="27" t="s">
        <v>3863</v>
      </c>
      <c r="B38" s="27" t="s">
        <v>486</v>
      </c>
      <c r="C38" s="9" t="s">
        <v>487</v>
      </c>
      <c r="D38" s="9" t="s">
        <v>488</v>
      </c>
      <c r="E38" s="9" t="s">
        <v>462</v>
      </c>
      <c r="F38" s="27" t="s">
        <v>1400</v>
      </c>
      <c r="G38" s="27" t="n">
        <v>2026</v>
      </c>
      <c r="H38" s="27" t="n">
        <v>9</v>
      </c>
      <c r="I38" s="27" t="s">
        <v>3827</v>
      </c>
      <c r="J38" s="20" t="n">
        <v>1</v>
      </c>
      <c r="K38" s="11" t="n">
        <v>0</v>
      </c>
      <c r="L38" s="11" t="n">
        <v>0</v>
      </c>
      <c r="M38" s="11" t="n">
        <v>0</v>
      </c>
      <c r="N38" s="30"/>
      <c r="O38" s="31" t="n">
        <v>0</v>
      </c>
      <c r="P38" s="11" t="n">
        <v>0</v>
      </c>
      <c r="Q38" s="27" t="n">
        <v>0</v>
      </c>
      <c r="R38" s="27" t="n">
        <v>0</v>
      </c>
      <c r="S38" s="27" t="n">
        <v>0</v>
      </c>
      <c r="T38" s="27" t="n">
        <v>0</v>
      </c>
      <c r="U38" s="11" t="n">
        <v>0.3</v>
      </c>
      <c r="V38" s="11" t="n">
        <v>-0.98</v>
      </c>
      <c r="W38" s="11" t="n">
        <v>1.28</v>
      </c>
      <c r="X38" s="11" t="n">
        <v>0.64</v>
      </c>
      <c r="Y38" s="10" t="n">
        <v>5</v>
      </c>
      <c r="Z38" s="27" t="s">
        <v>2908</v>
      </c>
      <c r="AA38" s="9" t="s">
        <v>3828</v>
      </c>
      <c r="AB38" s="27" t="s">
        <v>86</v>
      </c>
      <c r="AC38" s="23" t="s">
        <v>1383</v>
      </c>
    </row>
    <row r="39" customFormat="false" ht="19.5" hidden="false" customHeight="true" outlineLevel="0" collapsed="false">
      <c r="A39" s="25" t="s">
        <v>3864</v>
      </c>
      <c r="B39" s="25" t="s">
        <v>486</v>
      </c>
      <c r="C39" s="12" t="s">
        <v>487</v>
      </c>
      <c r="D39" s="12" t="s">
        <v>488</v>
      </c>
      <c r="E39" s="12" t="s">
        <v>462</v>
      </c>
      <c r="F39" s="25" t="s">
        <v>1419</v>
      </c>
      <c r="G39" s="25" t="n">
        <v>2026</v>
      </c>
      <c r="H39" s="25" t="n">
        <v>9</v>
      </c>
      <c r="I39" s="25" t="s">
        <v>3827</v>
      </c>
      <c r="J39" s="18" t="n">
        <v>1</v>
      </c>
      <c r="K39" s="14" t="n">
        <v>0</v>
      </c>
      <c r="L39" s="14" t="n">
        <v>0</v>
      </c>
      <c r="M39" s="14" t="n">
        <v>0</v>
      </c>
      <c r="N39" s="14" t="n">
        <v>0</v>
      </c>
      <c r="O39" s="32" t="n">
        <v>0</v>
      </c>
      <c r="P39" s="29"/>
      <c r="Q39" s="25" t="n">
        <v>0</v>
      </c>
      <c r="R39" s="25" t="n">
        <v>0</v>
      </c>
      <c r="S39" s="25" t="n">
        <v>0</v>
      </c>
      <c r="T39" s="25" t="n">
        <v>0</v>
      </c>
      <c r="U39" s="14" t="n">
        <v>0.97</v>
      </c>
      <c r="V39" s="14" t="n">
        <v>0.97</v>
      </c>
      <c r="W39" s="14" t="n">
        <v>0</v>
      </c>
      <c r="X39" s="14" t="n">
        <v>0.7</v>
      </c>
      <c r="Y39" s="13" t="n">
        <v>5</v>
      </c>
      <c r="Z39" s="25" t="s">
        <v>2961</v>
      </c>
      <c r="AA39" s="12" t="s">
        <v>3828</v>
      </c>
      <c r="AB39" s="25" t="s">
        <v>86</v>
      </c>
      <c r="AC39" s="22" t="s">
        <v>1376</v>
      </c>
    </row>
    <row r="40" customFormat="false" ht="19.5" hidden="false" customHeight="true" outlineLevel="0" collapsed="false">
      <c r="A40" s="27" t="s">
        <v>3865</v>
      </c>
      <c r="B40" s="27" t="s">
        <v>486</v>
      </c>
      <c r="C40" s="9" t="s">
        <v>487</v>
      </c>
      <c r="D40" s="9" t="s">
        <v>488</v>
      </c>
      <c r="E40" s="9" t="s">
        <v>462</v>
      </c>
      <c r="F40" s="27" t="s">
        <v>1469</v>
      </c>
      <c r="G40" s="27" t="n">
        <v>2026</v>
      </c>
      <c r="H40" s="27" t="n">
        <v>10</v>
      </c>
      <c r="I40" s="27" t="s">
        <v>3827</v>
      </c>
      <c r="J40" s="20" t="n">
        <v>1</v>
      </c>
      <c r="K40" s="11" t="n">
        <v>0</v>
      </c>
      <c r="L40" s="11" t="n">
        <v>0</v>
      </c>
      <c r="M40" s="30"/>
      <c r="N40" s="30"/>
      <c r="O40" s="30"/>
      <c r="P40" s="11" t="n">
        <v>0</v>
      </c>
      <c r="Q40" s="27" t="n">
        <v>0</v>
      </c>
      <c r="R40" s="27" t="n">
        <v>0</v>
      </c>
      <c r="S40" s="27" t="n">
        <v>0</v>
      </c>
      <c r="T40" s="27" t="n">
        <v>0</v>
      </c>
      <c r="U40" s="11" t="n">
        <v>1.51</v>
      </c>
      <c r="V40" s="11" t="n">
        <v>-0.78</v>
      </c>
      <c r="W40" s="11" t="n">
        <v>2.29</v>
      </c>
      <c r="X40" s="11" t="n">
        <v>0.64</v>
      </c>
      <c r="Y40" s="10" t="n">
        <v>5</v>
      </c>
      <c r="Z40" s="27" t="s">
        <v>2961</v>
      </c>
      <c r="AA40" s="9" t="s">
        <v>3832</v>
      </c>
      <c r="AB40" s="27" t="s">
        <v>86</v>
      </c>
      <c r="AC40" s="23" t="s">
        <v>1437</v>
      </c>
    </row>
    <row r="41" customFormat="false" ht="19.5" hidden="false" customHeight="true" outlineLevel="0" collapsed="false">
      <c r="A41" s="25" t="s">
        <v>3866</v>
      </c>
      <c r="B41" s="25" t="s">
        <v>486</v>
      </c>
      <c r="C41" s="12" t="s">
        <v>487</v>
      </c>
      <c r="D41" s="12" t="s">
        <v>488</v>
      </c>
      <c r="E41" s="12" t="s">
        <v>462</v>
      </c>
      <c r="F41" s="25" t="s">
        <v>1490</v>
      </c>
      <c r="G41" s="25" t="n">
        <v>2026</v>
      </c>
      <c r="H41" s="25" t="n">
        <v>10</v>
      </c>
      <c r="I41" s="25" t="s">
        <v>3827</v>
      </c>
      <c r="J41" s="18" t="n">
        <v>1</v>
      </c>
      <c r="K41" s="14" t="n">
        <v>0</v>
      </c>
      <c r="L41" s="14" t="n">
        <v>0</v>
      </c>
      <c r="M41" s="14" t="n">
        <v>0</v>
      </c>
      <c r="N41" s="29"/>
      <c r="O41" s="32" t="n">
        <v>0</v>
      </c>
      <c r="P41" s="14" t="n">
        <v>0</v>
      </c>
      <c r="Q41" s="25" t="n">
        <v>0</v>
      </c>
      <c r="R41" s="25" t="n">
        <v>0</v>
      </c>
      <c r="S41" s="25" t="n">
        <v>0</v>
      </c>
      <c r="T41" s="25" t="n">
        <v>0</v>
      </c>
      <c r="U41" s="14" t="n">
        <v>1.85</v>
      </c>
      <c r="V41" s="14" t="n">
        <v>-0.59</v>
      </c>
      <c r="W41" s="14" t="n">
        <v>2.44</v>
      </c>
      <c r="X41" s="14" t="n">
        <v>0.66</v>
      </c>
      <c r="Y41" s="13" t="n">
        <v>3</v>
      </c>
      <c r="Z41" s="25" t="s">
        <v>3014</v>
      </c>
      <c r="AA41" s="12" t="s">
        <v>3832</v>
      </c>
      <c r="AB41" s="25" t="s">
        <v>86</v>
      </c>
      <c r="AC41" s="22" t="s">
        <v>1476</v>
      </c>
    </row>
    <row r="42" customFormat="false" ht="19.5" hidden="false" customHeight="true" outlineLevel="0" collapsed="false">
      <c r="A42" s="27" t="s">
        <v>3867</v>
      </c>
      <c r="B42" s="27" t="s">
        <v>486</v>
      </c>
      <c r="C42" s="9" t="s">
        <v>487</v>
      </c>
      <c r="D42" s="9" t="s">
        <v>488</v>
      </c>
      <c r="E42" s="9" t="s">
        <v>462</v>
      </c>
      <c r="F42" s="27" t="s">
        <v>1510</v>
      </c>
      <c r="G42" s="27" t="n">
        <v>2026</v>
      </c>
      <c r="H42" s="27" t="n">
        <v>10</v>
      </c>
      <c r="I42" s="27" t="s">
        <v>3827</v>
      </c>
      <c r="J42" s="20" t="n">
        <v>1</v>
      </c>
      <c r="K42" s="11" t="n">
        <v>0</v>
      </c>
      <c r="L42" s="11" t="n">
        <v>0</v>
      </c>
      <c r="M42" s="11" t="n">
        <v>0</v>
      </c>
      <c r="N42" s="11" t="n">
        <v>0</v>
      </c>
      <c r="O42" s="31" t="n">
        <v>0</v>
      </c>
      <c r="P42" s="11" t="n">
        <v>0</v>
      </c>
      <c r="Q42" s="27" t="n">
        <v>0</v>
      </c>
      <c r="R42" s="27" t="n">
        <v>0</v>
      </c>
      <c r="S42" s="27" t="n">
        <v>0</v>
      </c>
      <c r="T42" s="27" t="n">
        <v>0</v>
      </c>
      <c r="U42" s="11" t="n">
        <v>1.87</v>
      </c>
      <c r="V42" s="11" t="n">
        <v>-0.82</v>
      </c>
      <c r="W42" s="11" t="n">
        <v>2.69</v>
      </c>
      <c r="X42" s="11" t="n">
        <v>0.64</v>
      </c>
      <c r="Y42" s="10" t="n">
        <v>0</v>
      </c>
      <c r="Z42" s="27" t="s">
        <v>2908</v>
      </c>
      <c r="AA42" s="9" t="s">
        <v>3832</v>
      </c>
      <c r="AB42" s="27" t="s">
        <v>86</v>
      </c>
      <c r="AC42" s="23" t="s">
        <v>1497</v>
      </c>
    </row>
    <row r="43" customFormat="false" ht="19.5" hidden="false" customHeight="true" outlineLevel="0" collapsed="false">
      <c r="A43" s="25" t="s">
        <v>3868</v>
      </c>
      <c r="B43" s="25" t="s">
        <v>486</v>
      </c>
      <c r="C43" s="12" t="s">
        <v>487</v>
      </c>
      <c r="D43" s="12" t="s">
        <v>488</v>
      </c>
      <c r="E43" s="12" t="s">
        <v>462</v>
      </c>
      <c r="F43" s="25" t="s">
        <v>1532</v>
      </c>
      <c r="G43" s="25" t="n">
        <v>2026</v>
      </c>
      <c r="H43" s="25" t="n">
        <v>10</v>
      </c>
      <c r="I43" s="25" t="s">
        <v>3827</v>
      </c>
      <c r="J43" s="18" t="n">
        <v>1</v>
      </c>
      <c r="K43" s="14" t="n">
        <v>0</v>
      </c>
      <c r="L43" s="14" t="n">
        <v>0</v>
      </c>
      <c r="M43" s="14" t="n">
        <v>0</v>
      </c>
      <c r="N43" s="14" t="n">
        <v>0</v>
      </c>
      <c r="O43" s="32" t="n">
        <v>0</v>
      </c>
      <c r="P43" s="14" t="n">
        <v>0</v>
      </c>
      <c r="Q43" s="25" t="n">
        <v>0</v>
      </c>
      <c r="R43" s="25" t="n">
        <v>0</v>
      </c>
      <c r="S43" s="25" t="n">
        <v>0</v>
      </c>
      <c r="T43" s="25" t="n">
        <v>0</v>
      </c>
      <c r="U43" s="14" t="n">
        <v>1.81</v>
      </c>
      <c r="V43" s="14" t="n">
        <v>-0.96</v>
      </c>
      <c r="W43" s="14" t="n">
        <v>2.77</v>
      </c>
      <c r="X43" s="14" t="n">
        <v>0.64</v>
      </c>
      <c r="Y43" s="13" t="n">
        <v>0</v>
      </c>
      <c r="Z43" s="25" t="s">
        <v>3836</v>
      </c>
      <c r="AA43" s="12" t="s">
        <v>3832</v>
      </c>
      <c r="AB43" s="25" t="s">
        <v>86</v>
      </c>
      <c r="AC43" s="22" t="s">
        <v>1517</v>
      </c>
    </row>
    <row r="44" customFormat="false" ht="19.5" hidden="false" customHeight="true" outlineLevel="0" collapsed="false">
      <c r="A44" s="27" t="s">
        <v>3869</v>
      </c>
      <c r="B44" s="27" t="s">
        <v>486</v>
      </c>
      <c r="C44" s="9" t="s">
        <v>487</v>
      </c>
      <c r="D44" s="9" t="s">
        <v>488</v>
      </c>
      <c r="E44" s="9" t="s">
        <v>462</v>
      </c>
      <c r="F44" s="27" t="s">
        <v>1555</v>
      </c>
      <c r="G44" s="27" t="n">
        <v>2026</v>
      </c>
      <c r="H44" s="27" t="n">
        <v>10</v>
      </c>
      <c r="I44" s="27" t="s">
        <v>3827</v>
      </c>
      <c r="J44" s="20" t="n">
        <v>1</v>
      </c>
      <c r="K44" s="11" t="n">
        <v>0</v>
      </c>
      <c r="L44" s="11" t="n">
        <v>0</v>
      </c>
      <c r="M44" s="11" t="n">
        <v>0</v>
      </c>
      <c r="N44" s="11" t="n">
        <v>0</v>
      </c>
      <c r="O44" s="31" t="n">
        <v>0</v>
      </c>
      <c r="P44" s="30"/>
      <c r="Q44" s="27" t="n">
        <v>0</v>
      </c>
      <c r="R44" s="27" t="n">
        <v>0</v>
      </c>
      <c r="S44" s="27" t="n">
        <v>0</v>
      </c>
      <c r="T44" s="27" t="n">
        <v>0</v>
      </c>
      <c r="U44" s="11" t="n">
        <v>1.6</v>
      </c>
      <c r="V44" s="11" t="n">
        <v>1.6</v>
      </c>
      <c r="W44" s="11" t="n">
        <v>0</v>
      </c>
      <c r="X44" s="11" t="n">
        <v>0.64</v>
      </c>
      <c r="Y44" s="10" t="n">
        <v>0</v>
      </c>
      <c r="Z44" s="27" t="s">
        <v>3836</v>
      </c>
      <c r="AA44" s="9" t="s">
        <v>3832</v>
      </c>
      <c r="AB44" s="27" t="s">
        <v>86</v>
      </c>
      <c r="AC44" s="23" t="s">
        <v>93</v>
      </c>
    </row>
    <row r="45" customFormat="false" ht="19.5" hidden="false" customHeight="true" outlineLevel="0" collapsed="false">
      <c r="A45" s="25" t="s">
        <v>3870</v>
      </c>
      <c r="B45" s="25" t="s">
        <v>479</v>
      </c>
      <c r="C45" s="12" t="s">
        <v>480</v>
      </c>
      <c r="D45" s="12" t="s">
        <v>481</v>
      </c>
      <c r="E45" s="12" t="s">
        <v>462</v>
      </c>
      <c r="F45" s="25" t="s">
        <v>1374</v>
      </c>
      <c r="G45" s="25" t="n">
        <v>2026</v>
      </c>
      <c r="H45" s="25" t="n">
        <v>9</v>
      </c>
      <c r="I45" s="25" t="s">
        <v>3827</v>
      </c>
      <c r="J45" s="18" t="n">
        <v>1</v>
      </c>
      <c r="K45" s="14" t="n">
        <v>0</v>
      </c>
      <c r="L45" s="14" t="n">
        <v>0</v>
      </c>
      <c r="M45" s="29"/>
      <c r="N45" s="29"/>
      <c r="O45" s="29"/>
      <c r="P45" s="14" t="n">
        <v>0</v>
      </c>
      <c r="Q45" s="25" t="n">
        <v>0</v>
      </c>
      <c r="R45" s="25" t="n">
        <v>0</v>
      </c>
      <c r="S45" s="25" t="n">
        <v>0</v>
      </c>
      <c r="T45" s="25" t="n">
        <v>0</v>
      </c>
      <c r="U45" s="14" t="n">
        <v>0.96</v>
      </c>
      <c r="V45" s="14" t="n">
        <v>-1.01</v>
      </c>
      <c r="W45" s="14" t="n">
        <v>1.97</v>
      </c>
      <c r="X45" s="14" t="n">
        <v>0.54</v>
      </c>
      <c r="Y45" s="13" t="n">
        <v>5.6</v>
      </c>
      <c r="Z45" s="25" t="s">
        <v>2961</v>
      </c>
      <c r="AA45" s="12" t="s">
        <v>3828</v>
      </c>
      <c r="AB45" s="25" t="s">
        <v>86</v>
      </c>
      <c r="AC45" s="22" t="s">
        <v>1326</v>
      </c>
    </row>
    <row r="46" customFormat="false" ht="19.5" hidden="false" customHeight="true" outlineLevel="0" collapsed="false">
      <c r="A46" s="27" t="s">
        <v>3871</v>
      </c>
      <c r="B46" s="27" t="s">
        <v>479</v>
      </c>
      <c r="C46" s="9" t="s">
        <v>480</v>
      </c>
      <c r="D46" s="9" t="s">
        <v>481</v>
      </c>
      <c r="E46" s="9" t="s">
        <v>462</v>
      </c>
      <c r="F46" s="27" t="s">
        <v>1400</v>
      </c>
      <c r="G46" s="27" t="n">
        <v>2026</v>
      </c>
      <c r="H46" s="27" t="n">
        <v>9</v>
      </c>
      <c r="I46" s="27" t="s">
        <v>3827</v>
      </c>
      <c r="J46" s="20" t="n">
        <v>1</v>
      </c>
      <c r="K46" s="11" t="n">
        <v>0</v>
      </c>
      <c r="L46" s="11" t="n">
        <v>0</v>
      </c>
      <c r="M46" s="11" t="n">
        <v>0</v>
      </c>
      <c r="N46" s="30"/>
      <c r="O46" s="31" t="n">
        <v>0</v>
      </c>
      <c r="P46" s="11" t="n">
        <v>0</v>
      </c>
      <c r="Q46" s="27" t="n">
        <v>0</v>
      </c>
      <c r="R46" s="27" t="n">
        <v>0</v>
      </c>
      <c r="S46" s="27" t="n">
        <v>0</v>
      </c>
      <c r="T46" s="27" t="n">
        <v>0</v>
      </c>
      <c r="U46" s="11" t="n">
        <v>0.3</v>
      </c>
      <c r="V46" s="11" t="n">
        <v>-0.98</v>
      </c>
      <c r="W46" s="11" t="n">
        <v>1.28</v>
      </c>
      <c r="X46" s="11" t="n">
        <v>0.54</v>
      </c>
      <c r="Y46" s="10" t="n">
        <v>15.2</v>
      </c>
      <c r="Z46" s="27" t="s">
        <v>2908</v>
      </c>
      <c r="AA46" s="9" t="s">
        <v>3828</v>
      </c>
      <c r="AB46" s="27" t="s">
        <v>86</v>
      </c>
      <c r="AC46" s="23" t="s">
        <v>1383</v>
      </c>
    </row>
    <row r="47" customFormat="false" ht="19.5" hidden="false" customHeight="true" outlineLevel="0" collapsed="false">
      <c r="A47" s="25" t="s">
        <v>3872</v>
      </c>
      <c r="B47" s="25" t="s">
        <v>479</v>
      </c>
      <c r="C47" s="12" t="s">
        <v>480</v>
      </c>
      <c r="D47" s="12" t="s">
        <v>481</v>
      </c>
      <c r="E47" s="12" t="s">
        <v>462</v>
      </c>
      <c r="F47" s="25" t="s">
        <v>1419</v>
      </c>
      <c r="G47" s="25" t="n">
        <v>2026</v>
      </c>
      <c r="H47" s="25" t="n">
        <v>9</v>
      </c>
      <c r="I47" s="25" t="s">
        <v>3827</v>
      </c>
      <c r="J47" s="18" t="n">
        <v>1</v>
      </c>
      <c r="K47" s="14" t="n">
        <v>0</v>
      </c>
      <c r="L47" s="14" t="n">
        <v>0</v>
      </c>
      <c r="M47" s="14" t="n">
        <v>0</v>
      </c>
      <c r="N47" s="14" t="n">
        <v>0</v>
      </c>
      <c r="O47" s="32" t="n">
        <v>0</v>
      </c>
      <c r="P47" s="29"/>
      <c r="Q47" s="25" t="n">
        <v>0</v>
      </c>
      <c r="R47" s="25" t="n">
        <v>0</v>
      </c>
      <c r="S47" s="25" t="n">
        <v>0</v>
      </c>
      <c r="T47" s="25" t="n">
        <v>0</v>
      </c>
      <c r="U47" s="14" t="n">
        <v>0.97</v>
      </c>
      <c r="V47" s="14" t="n">
        <v>0.97</v>
      </c>
      <c r="W47" s="14" t="n">
        <v>0</v>
      </c>
      <c r="X47" s="14" t="n">
        <v>0.73</v>
      </c>
      <c r="Y47" s="13" t="n">
        <v>56.2</v>
      </c>
      <c r="Z47" s="25" t="s">
        <v>2961</v>
      </c>
      <c r="AA47" s="12" t="s">
        <v>3828</v>
      </c>
      <c r="AB47" s="25" t="s">
        <v>86</v>
      </c>
      <c r="AC47" s="22" t="s">
        <v>1376</v>
      </c>
    </row>
    <row r="48" customFormat="false" ht="19.5" hidden="false" customHeight="true" outlineLevel="0" collapsed="false">
      <c r="A48" s="27" t="s">
        <v>3873</v>
      </c>
      <c r="B48" s="27" t="s">
        <v>479</v>
      </c>
      <c r="C48" s="9" t="s">
        <v>480</v>
      </c>
      <c r="D48" s="9" t="s">
        <v>481</v>
      </c>
      <c r="E48" s="9" t="s">
        <v>462</v>
      </c>
      <c r="F48" s="27" t="s">
        <v>1469</v>
      </c>
      <c r="G48" s="27" t="n">
        <v>2026</v>
      </c>
      <c r="H48" s="27" t="n">
        <v>10</v>
      </c>
      <c r="I48" s="27" t="s">
        <v>3827</v>
      </c>
      <c r="J48" s="20" t="n">
        <v>1</v>
      </c>
      <c r="K48" s="11" t="n">
        <v>0</v>
      </c>
      <c r="L48" s="11" t="n">
        <v>0</v>
      </c>
      <c r="M48" s="30"/>
      <c r="N48" s="30"/>
      <c r="O48" s="30"/>
      <c r="P48" s="11" t="n">
        <v>0</v>
      </c>
      <c r="Q48" s="27" t="n">
        <v>0</v>
      </c>
      <c r="R48" s="27" t="n">
        <v>0</v>
      </c>
      <c r="S48" s="27" t="n">
        <v>0</v>
      </c>
      <c r="T48" s="27" t="n">
        <v>0</v>
      </c>
      <c r="U48" s="11" t="n">
        <v>1.51</v>
      </c>
      <c r="V48" s="11" t="n">
        <v>-0.78</v>
      </c>
      <c r="W48" s="11" t="n">
        <v>2.29</v>
      </c>
      <c r="X48" s="11" t="n">
        <v>-0.17</v>
      </c>
      <c r="Y48" s="10" t="n">
        <v>12.6</v>
      </c>
      <c r="Z48" s="27" t="s">
        <v>2961</v>
      </c>
      <c r="AA48" s="9" t="s">
        <v>3832</v>
      </c>
      <c r="AB48" s="27" t="s">
        <v>86</v>
      </c>
      <c r="AC48" s="23" t="s">
        <v>1437</v>
      </c>
    </row>
    <row r="49" customFormat="false" ht="19.5" hidden="false" customHeight="true" outlineLevel="0" collapsed="false">
      <c r="A49" s="25" t="s">
        <v>3874</v>
      </c>
      <c r="B49" s="25" t="s">
        <v>479</v>
      </c>
      <c r="C49" s="12" t="s">
        <v>480</v>
      </c>
      <c r="D49" s="12" t="s">
        <v>481</v>
      </c>
      <c r="E49" s="12" t="s">
        <v>462</v>
      </c>
      <c r="F49" s="25" t="s">
        <v>1490</v>
      </c>
      <c r="G49" s="25" t="n">
        <v>2026</v>
      </c>
      <c r="H49" s="25" t="n">
        <v>10</v>
      </c>
      <c r="I49" s="25" t="s">
        <v>3827</v>
      </c>
      <c r="J49" s="18" t="n">
        <v>1</v>
      </c>
      <c r="K49" s="14" t="n">
        <v>0</v>
      </c>
      <c r="L49" s="14" t="n">
        <v>0</v>
      </c>
      <c r="M49" s="14" t="n">
        <v>0</v>
      </c>
      <c r="N49" s="29"/>
      <c r="O49" s="32" t="n">
        <v>0</v>
      </c>
      <c r="P49" s="14" t="n">
        <v>0</v>
      </c>
      <c r="Q49" s="25" t="n">
        <v>0</v>
      </c>
      <c r="R49" s="25" t="n">
        <v>0</v>
      </c>
      <c r="S49" s="25" t="n">
        <v>0</v>
      </c>
      <c r="T49" s="25" t="n">
        <v>0</v>
      </c>
      <c r="U49" s="14" t="n">
        <v>1.85</v>
      </c>
      <c r="V49" s="14" t="n">
        <v>-0.59</v>
      </c>
      <c r="W49" s="14" t="n">
        <v>2.44</v>
      </c>
      <c r="X49" s="14" t="n">
        <v>0.31</v>
      </c>
      <c r="Y49" s="13" t="n">
        <v>0</v>
      </c>
      <c r="Z49" s="25" t="s">
        <v>3014</v>
      </c>
      <c r="AA49" s="12" t="s">
        <v>3832</v>
      </c>
      <c r="AB49" s="25" t="s">
        <v>86</v>
      </c>
      <c r="AC49" s="22" t="s">
        <v>1476</v>
      </c>
    </row>
    <row r="50" customFormat="false" ht="19.5" hidden="false" customHeight="true" outlineLevel="0" collapsed="false">
      <c r="A50" s="27" t="s">
        <v>3875</v>
      </c>
      <c r="B50" s="27" t="s">
        <v>479</v>
      </c>
      <c r="C50" s="9" t="s">
        <v>480</v>
      </c>
      <c r="D50" s="9" t="s">
        <v>481</v>
      </c>
      <c r="E50" s="9" t="s">
        <v>462</v>
      </c>
      <c r="F50" s="27" t="s">
        <v>1510</v>
      </c>
      <c r="G50" s="27" t="n">
        <v>2026</v>
      </c>
      <c r="H50" s="27" t="n">
        <v>10</v>
      </c>
      <c r="I50" s="27" t="s">
        <v>3827</v>
      </c>
      <c r="J50" s="20" t="n">
        <v>1</v>
      </c>
      <c r="K50" s="11" t="n">
        <v>0</v>
      </c>
      <c r="L50" s="11" t="n">
        <v>0</v>
      </c>
      <c r="M50" s="11" t="n">
        <v>0</v>
      </c>
      <c r="N50" s="11" t="n">
        <v>0</v>
      </c>
      <c r="O50" s="31" t="n">
        <v>0</v>
      </c>
      <c r="P50" s="11" t="n">
        <v>0</v>
      </c>
      <c r="Q50" s="27" t="n">
        <v>0</v>
      </c>
      <c r="R50" s="27" t="n">
        <v>0</v>
      </c>
      <c r="S50" s="27" t="n">
        <v>0</v>
      </c>
      <c r="T50" s="27" t="n">
        <v>0</v>
      </c>
      <c r="U50" s="11" t="n">
        <v>1.87</v>
      </c>
      <c r="V50" s="11" t="n">
        <v>-0.82</v>
      </c>
      <c r="W50" s="11" t="n">
        <v>2.69</v>
      </c>
      <c r="X50" s="11" t="n">
        <v>0.2</v>
      </c>
      <c r="Y50" s="10" t="n">
        <v>0</v>
      </c>
      <c r="Z50" s="27" t="s">
        <v>2908</v>
      </c>
      <c r="AA50" s="9" t="s">
        <v>3832</v>
      </c>
      <c r="AB50" s="27" t="s">
        <v>86</v>
      </c>
      <c r="AC50" s="23" t="s">
        <v>1497</v>
      </c>
    </row>
    <row r="51" customFormat="false" ht="19.5" hidden="false" customHeight="true" outlineLevel="0" collapsed="false">
      <c r="A51" s="25" t="s">
        <v>3876</v>
      </c>
      <c r="B51" s="25" t="s">
        <v>479</v>
      </c>
      <c r="C51" s="12" t="s">
        <v>480</v>
      </c>
      <c r="D51" s="12" t="s">
        <v>481</v>
      </c>
      <c r="E51" s="12" t="s">
        <v>462</v>
      </c>
      <c r="F51" s="25" t="s">
        <v>1532</v>
      </c>
      <c r="G51" s="25" t="n">
        <v>2026</v>
      </c>
      <c r="H51" s="25" t="n">
        <v>10</v>
      </c>
      <c r="I51" s="25" t="s">
        <v>3827</v>
      </c>
      <c r="J51" s="18" t="n">
        <v>1</v>
      </c>
      <c r="K51" s="14" t="n">
        <v>0</v>
      </c>
      <c r="L51" s="14" t="n">
        <v>0</v>
      </c>
      <c r="M51" s="14" t="n">
        <v>0</v>
      </c>
      <c r="N51" s="14" t="n">
        <v>0</v>
      </c>
      <c r="O51" s="32" t="n">
        <v>0</v>
      </c>
      <c r="P51" s="14" t="n">
        <v>0</v>
      </c>
      <c r="Q51" s="25" t="n">
        <v>0</v>
      </c>
      <c r="R51" s="25" t="n">
        <v>0</v>
      </c>
      <c r="S51" s="25" t="n">
        <v>0</v>
      </c>
      <c r="T51" s="25" t="n">
        <v>0</v>
      </c>
      <c r="U51" s="14" t="n">
        <v>1.81</v>
      </c>
      <c r="V51" s="14" t="n">
        <v>-0.96</v>
      </c>
      <c r="W51" s="14" t="n">
        <v>2.77</v>
      </c>
      <c r="X51" s="14" t="n">
        <v>0.36</v>
      </c>
      <c r="Y51" s="13" t="n">
        <v>0</v>
      </c>
      <c r="Z51" s="25" t="s">
        <v>3836</v>
      </c>
      <c r="AA51" s="12" t="s">
        <v>3832</v>
      </c>
      <c r="AB51" s="25" t="s">
        <v>86</v>
      </c>
      <c r="AC51" s="22" t="s">
        <v>1517</v>
      </c>
    </row>
    <row r="52" customFormat="false" ht="19.5" hidden="false" customHeight="true" outlineLevel="0" collapsed="false">
      <c r="A52" s="27" t="s">
        <v>3877</v>
      </c>
      <c r="B52" s="27" t="s">
        <v>479</v>
      </c>
      <c r="C52" s="9" t="s">
        <v>480</v>
      </c>
      <c r="D52" s="9" t="s">
        <v>481</v>
      </c>
      <c r="E52" s="9" t="s">
        <v>462</v>
      </c>
      <c r="F52" s="27" t="s">
        <v>1555</v>
      </c>
      <c r="G52" s="27" t="n">
        <v>2026</v>
      </c>
      <c r="H52" s="27" t="n">
        <v>10</v>
      </c>
      <c r="I52" s="27" t="s">
        <v>3827</v>
      </c>
      <c r="J52" s="20" t="n">
        <v>1</v>
      </c>
      <c r="K52" s="11" t="n">
        <v>0</v>
      </c>
      <c r="L52" s="11" t="n">
        <v>0</v>
      </c>
      <c r="M52" s="11" t="n">
        <v>0</v>
      </c>
      <c r="N52" s="11" t="n">
        <v>0</v>
      </c>
      <c r="O52" s="31" t="n">
        <v>0</v>
      </c>
      <c r="P52" s="30"/>
      <c r="Q52" s="27" t="n">
        <v>0</v>
      </c>
      <c r="R52" s="27" t="n">
        <v>0</v>
      </c>
      <c r="S52" s="27" t="n">
        <v>0</v>
      </c>
      <c r="T52" s="27" t="n">
        <v>0</v>
      </c>
      <c r="U52" s="11" t="n">
        <v>1.6</v>
      </c>
      <c r="V52" s="11" t="n">
        <v>1.6</v>
      </c>
      <c r="W52" s="11" t="n">
        <v>0</v>
      </c>
      <c r="X52" s="11" t="n">
        <v>0.48</v>
      </c>
      <c r="Y52" s="10" t="n">
        <v>0</v>
      </c>
      <c r="Z52" s="27" t="s">
        <v>3836</v>
      </c>
      <c r="AA52" s="9" t="s">
        <v>3832</v>
      </c>
      <c r="AB52" s="27" t="s">
        <v>86</v>
      </c>
      <c r="AC52" s="23" t="s">
        <v>93</v>
      </c>
    </row>
    <row r="53" customFormat="false" ht="19.5" hidden="false" customHeight="true" outlineLevel="0" collapsed="false">
      <c r="A53" s="25" t="s">
        <v>3878</v>
      </c>
      <c r="B53" s="25" t="s">
        <v>557</v>
      </c>
      <c r="C53" s="12" t="s">
        <v>558</v>
      </c>
      <c r="D53" s="12" t="s">
        <v>559</v>
      </c>
      <c r="E53" s="12" t="s">
        <v>535</v>
      </c>
      <c r="F53" s="25" t="s">
        <v>625</v>
      </c>
      <c r="G53" s="25" t="n">
        <v>2016</v>
      </c>
      <c r="H53" s="25" t="n">
        <v>2</v>
      </c>
      <c r="I53" s="25" t="s">
        <v>3879</v>
      </c>
      <c r="J53" s="18" t="n">
        <v>1</v>
      </c>
      <c r="K53" s="14" t="n">
        <v>1.4</v>
      </c>
      <c r="L53" s="29"/>
      <c r="M53" s="29"/>
      <c r="N53" s="29"/>
      <c r="O53" s="29"/>
      <c r="P53" s="29"/>
      <c r="Q53" s="25" t="n">
        <v>1</v>
      </c>
      <c r="R53" s="25" t="n">
        <v>1</v>
      </c>
      <c r="S53" s="25" t="n">
        <v>1</v>
      </c>
      <c r="T53" s="25" t="n">
        <v>0</v>
      </c>
      <c r="U53" s="29"/>
      <c r="V53" s="29"/>
      <c r="W53" s="29"/>
      <c r="X53" s="29"/>
      <c r="Y53" s="29"/>
      <c r="Z53" s="25" t="s">
        <v>3836</v>
      </c>
      <c r="AA53" s="12" t="s">
        <v>3880</v>
      </c>
      <c r="AB53" s="25" t="s">
        <v>86</v>
      </c>
      <c r="AC53" s="22" t="s">
        <v>197</v>
      </c>
    </row>
    <row r="54" customFormat="false" ht="19.5" hidden="false" customHeight="true" outlineLevel="0" collapsed="false">
      <c r="A54" s="27" t="s">
        <v>3881</v>
      </c>
      <c r="B54" s="27" t="s">
        <v>557</v>
      </c>
      <c r="C54" s="9" t="s">
        <v>558</v>
      </c>
      <c r="D54" s="9" t="s">
        <v>559</v>
      </c>
      <c r="E54" s="9" t="s">
        <v>535</v>
      </c>
      <c r="F54" s="27" t="s">
        <v>663</v>
      </c>
      <c r="G54" s="27" t="n">
        <v>2016</v>
      </c>
      <c r="H54" s="27" t="n">
        <v>5</v>
      </c>
      <c r="I54" s="27" t="s">
        <v>3879</v>
      </c>
      <c r="J54" s="20" t="n">
        <v>1</v>
      </c>
      <c r="K54" s="11" t="n">
        <v>3</v>
      </c>
      <c r="L54" s="30"/>
      <c r="M54" s="30"/>
      <c r="N54" s="30"/>
      <c r="O54" s="30"/>
      <c r="P54" s="11" t="n">
        <v>3.2</v>
      </c>
      <c r="Q54" s="27" t="n">
        <v>1</v>
      </c>
      <c r="R54" s="27" t="n">
        <v>1</v>
      </c>
      <c r="S54" s="27" t="n">
        <v>1</v>
      </c>
      <c r="T54" s="27" t="n">
        <v>1</v>
      </c>
      <c r="U54" s="30"/>
      <c r="V54" s="30"/>
      <c r="W54" s="30"/>
      <c r="X54" s="30"/>
      <c r="Y54" s="30"/>
      <c r="Z54" s="27" t="s">
        <v>3836</v>
      </c>
      <c r="AA54" s="9" t="s">
        <v>3880</v>
      </c>
      <c r="AB54" s="27" t="s">
        <v>86</v>
      </c>
      <c r="AC54" s="23" t="s">
        <v>664</v>
      </c>
    </row>
    <row r="55" customFormat="false" ht="19.5" hidden="false" customHeight="true" outlineLevel="0" collapsed="false">
      <c r="A55" s="25" t="s">
        <v>3882</v>
      </c>
      <c r="B55" s="25" t="s">
        <v>557</v>
      </c>
      <c r="C55" s="12" t="s">
        <v>558</v>
      </c>
      <c r="D55" s="12" t="s">
        <v>559</v>
      </c>
      <c r="E55" s="12" t="s">
        <v>535</v>
      </c>
      <c r="F55" s="25" t="s">
        <v>680</v>
      </c>
      <c r="G55" s="25" t="n">
        <v>2016</v>
      </c>
      <c r="H55" s="25" t="n">
        <v>5</v>
      </c>
      <c r="I55" s="25" t="s">
        <v>3879</v>
      </c>
      <c r="J55" s="18" t="n">
        <v>1</v>
      </c>
      <c r="K55" s="14" t="n">
        <v>3.2</v>
      </c>
      <c r="L55" s="29"/>
      <c r="M55" s="14" t="n">
        <v>3</v>
      </c>
      <c r="N55" s="29"/>
      <c r="O55" s="32" t="n">
        <v>0.2</v>
      </c>
      <c r="P55" s="14" t="n">
        <v>3.3</v>
      </c>
      <c r="Q55" s="25" t="n">
        <v>1</v>
      </c>
      <c r="R55" s="25" t="n">
        <v>1</v>
      </c>
      <c r="S55" s="25" t="n">
        <v>1</v>
      </c>
      <c r="T55" s="25" t="n">
        <v>1</v>
      </c>
      <c r="U55" s="29"/>
      <c r="V55" s="29"/>
      <c r="W55" s="29"/>
      <c r="X55" s="29"/>
      <c r="Y55" s="29"/>
      <c r="Z55" s="25" t="s">
        <v>3836</v>
      </c>
      <c r="AA55" s="12" t="s">
        <v>3880</v>
      </c>
      <c r="AB55" s="25" t="s">
        <v>86</v>
      </c>
      <c r="AC55" s="22" t="s">
        <v>681</v>
      </c>
    </row>
    <row r="56" customFormat="false" ht="19.5" hidden="false" customHeight="true" outlineLevel="0" collapsed="false">
      <c r="A56" s="27" t="s">
        <v>3883</v>
      </c>
      <c r="B56" s="27" t="s">
        <v>557</v>
      </c>
      <c r="C56" s="9" t="s">
        <v>558</v>
      </c>
      <c r="D56" s="9" t="s">
        <v>559</v>
      </c>
      <c r="E56" s="9" t="s">
        <v>535</v>
      </c>
      <c r="F56" s="27" t="s">
        <v>696</v>
      </c>
      <c r="G56" s="27" t="n">
        <v>2016</v>
      </c>
      <c r="H56" s="27" t="n">
        <v>5</v>
      </c>
      <c r="I56" s="27" t="s">
        <v>3879</v>
      </c>
      <c r="J56" s="20" t="n">
        <v>1</v>
      </c>
      <c r="K56" s="11" t="n">
        <v>3.3</v>
      </c>
      <c r="L56" s="30"/>
      <c r="M56" s="11" t="n">
        <v>3.2</v>
      </c>
      <c r="N56" s="11" t="n">
        <v>3</v>
      </c>
      <c r="O56" s="31" t="n">
        <v>0.1</v>
      </c>
      <c r="P56" s="11" t="n">
        <v>3.4</v>
      </c>
      <c r="Q56" s="27" t="n">
        <v>1</v>
      </c>
      <c r="R56" s="27" t="n">
        <v>1</v>
      </c>
      <c r="S56" s="27" t="n">
        <v>1</v>
      </c>
      <c r="T56" s="27" t="n">
        <v>1</v>
      </c>
      <c r="U56" s="30"/>
      <c r="V56" s="30"/>
      <c r="W56" s="30"/>
      <c r="X56" s="30"/>
      <c r="Y56" s="30"/>
      <c r="Z56" s="27" t="s">
        <v>3836</v>
      </c>
      <c r="AA56" s="9" t="s">
        <v>3880</v>
      </c>
      <c r="AB56" s="27" t="s">
        <v>86</v>
      </c>
      <c r="AC56" s="23" t="s">
        <v>697</v>
      </c>
    </row>
    <row r="57" customFormat="false" ht="19.5" hidden="false" customHeight="true" outlineLevel="0" collapsed="false">
      <c r="A57" s="25" t="s">
        <v>3884</v>
      </c>
      <c r="B57" s="25" t="s">
        <v>557</v>
      </c>
      <c r="C57" s="12" t="s">
        <v>558</v>
      </c>
      <c r="D57" s="12" t="s">
        <v>559</v>
      </c>
      <c r="E57" s="12" t="s">
        <v>535</v>
      </c>
      <c r="F57" s="25" t="s">
        <v>712</v>
      </c>
      <c r="G57" s="25" t="n">
        <v>2016</v>
      </c>
      <c r="H57" s="25" t="n">
        <v>5</v>
      </c>
      <c r="I57" s="25" t="s">
        <v>3879</v>
      </c>
      <c r="J57" s="18" t="n">
        <v>1</v>
      </c>
      <c r="K57" s="14" t="n">
        <v>3.4</v>
      </c>
      <c r="L57" s="29"/>
      <c r="M57" s="14" t="n">
        <v>3.3</v>
      </c>
      <c r="N57" s="14" t="n">
        <v>3.2</v>
      </c>
      <c r="O57" s="32" t="n">
        <v>0.1</v>
      </c>
      <c r="P57" s="14" t="n">
        <v>3.5</v>
      </c>
      <c r="Q57" s="25" t="n">
        <v>1</v>
      </c>
      <c r="R57" s="25" t="n">
        <v>1</v>
      </c>
      <c r="S57" s="25" t="n">
        <v>1</v>
      </c>
      <c r="T57" s="25" t="n">
        <v>1</v>
      </c>
      <c r="U57" s="29"/>
      <c r="V57" s="29"/>
      <c r="W57" s="29"/>
      <c r="X57" s="29"/>
      <c r="Y57" s="29"/>
      <c r="Z57" s="25" t="s">
        <v>3836</v>
      </c>
      <c r="AA57" s="12" t="s">
        <v>3880</v>
      </c>
      <c r="AB57" s="25" t="s">
        <v>86</v>
      </c>
      <c r="AC57" s="22" t="s">
        <v>713</v>
      </c>
    </row>
    <row r="58" customFormat="false" ht="19.5" hidden="false" customHeight="true" outlineLevel="0" collapsed="false">
      <c r="A58" s="27" t="s">
        <v>3885</v>
      </c>
      <c r="B58" s="27" t="s">
        <v>557</v>
      </c>
      <c r="C58" s="9" t="s">
        <v>558</v>
      </c>
      <c r="D58" s="9" t="s">
        <v>559</v>
      </c>
      <c r="E58" s="9" t="s">
        <v>535</v>
      </c>
      <c r="F58" s="27" t="s">
        <v>728</v>
      </c>
      <c r="G58" s="27" t="n">
        <v>2016</v>
      </c>
      <c r="H58" s="27" t="n">
        <v>5</v>
      </c>
      <c r="I58" s="27" t="s">
        <v>3879</v>
      </c>
      <c r="J58" s="20" t="n">
        <v>1</v>
      </c>
      <c r="K58" s="11" t="n">
        <v>3.5</v>
      </c>
      <c r="L58" s="30"/>
      <c r="M58" s="11" t="n">
        <v>3.4</v>
      </c>
      <c r="N58" s="11" t="n">
        <v>3.3</v>
      </c>
      <c r="O58" s="31" t="n">
        <v>0.1</v>
      </c>
      <c r="P58" s="30"/>
      <c r="Q58" s="27" t="n">
        <v>1</v>
      </c>
      <c r="R58" s="27" t="n">
        <v>1</v>
      </c>
      <c r="S58" s="27" t="n">
        <v>1</v>
      </c>
      <c r="T58" s="27" t="n">
        <v>1</v>
      </c>
      <c r="U58" s="30"/>
      <c r="V58" s="30"/>
      <c r="W58" s="30"/>
      <c r="X58" s="30"/>
      <c r="Y58" s="30"/>
      <c r="Z58" s="27" t="s">
        <v>3836</v>
      </c>
      <c r="AA58" s="9" t="s">
        <v>3880</v>
      </c>
      <c r="AB58" s="27" t="s">
        <v>86</v>
      </c>
      <c r="AC58" s="23" t="s">
        <v>729</v>
      </c>
    </row>
    <row r="59" customFormat="false" ht="19.5" hidden="false" customHeight="true" outlineLevel="0" collapsed="false">
      <c r="A59" s="25" t="s">
        <v>3886</v>
      </c>
      <c r="B59" s="25" t="s">
        <v>557</v>
      </c>
      <c r="C59" s="12" t="s">
        <v>558</v>
      </c>
      <c r="D59" s="12" t="s">
        <v>559</v>
      </c>
      <c r="E59" s="12" t="s">
        <v>535</v>
      </c>
      <c r="F59" s="25" t="s">
        <v>975</v>
      </c>
      <c r="G59" s="25" t="n">
        <v>2025</v>
      </c>
      <c r="H59" s="25" t="n">
        <v>2</v>
      </c>
      <c r="I59" s="25" t="s">
        <v>3879</v>
      </c>
      <c r="J59" s="18" t="n">
        <v>1</v>
      </c>
      <c r="K59" s="14" t="n">
        <v>1.4</v>
      </c>
      <c r="L59" s="29"/>
      <c r="M59" s="29"/>
      <c r="N59" s="29"/>
      <c r="O59" s="29"/>
      <c r="P59" s="29"/>
      <c r="Q59" s="25" t="n">
        <v>1</v>
      </c>
      <c r="R59" s="25" t="n">
        <v>1</v>
      </c>
      <c r="S59" s="25" t="n">
        <v>1</v>
      </c>
      <c r="T59" s="25" t="n">
        <v>0</v>
      </c>
      <c r="U59" s="29"/>
      <c r="V59" s="29"/>
      <c r="W59" s="29"/>
      <c r="X59" s="29"/>
      <c r="Y59" s="29"/>
      <c r="Z59" s="25" t="s">
        <v>3836</v>
      </c>
      <c r="AA59" s="12" t="s">
        <v>3887</v>
      </c>
      <c r="AB59" s="25" t="s">
        <v>86</v>
      </c>
      <c r="AC59" s="22" t="s">
        <v>197</v>
      </c>
    </row>
    <row r="60" customFormat="false" ht="19.5" hidden="false" customHeight="true" outlineLevel="0" collapsed="false">
      <c r="A60" s="27" t="s">
        <v>3888</v>
      </c>
      <c r="B60" s="27" t="s">
        <v>557</v>
      </c>
      <c r="C60" s="9" t="s">
        <v>558</v>
      </c>
      <c r="D60" s="9" t="s">
        <v>559</v>
      </c>
      <c r="E60" s="9" t="s">
        <v>535</v>
      </c>
      <c r="F60" s="27" t="s">
        <v>1102</v>
      </c>
      <c r="G60" s="27" t="n">
        <v>2025</v>
      </c>
      <c r="H60" s="27" t="n">
        <v>5</v>
      </c>
      <c r="I60" s="27" t="s">
        <v>3879</v>
      </c>
      <c r="J60" s="20" t="n">
        <v>1</v>
      </c>
      <c r="K60" s="11" t="n">
        <v>1.5</v>
      </c>
      <c r="L60" s="30"/>
      <c r="M60" s="30"/>
      <c r="N60" s="30"/>
      <c r="O60" s="30"/>
      <c r="P60" s="11" t="n">
        <v>1.3</v>
      </c>
      <c r="Q60" s="27" t="n">
        <v>1</v>
      </c>
      <c r="R60" s="27" t="n">
        <v>1</v>
      </c>
      <c r="S60" s="27" t="n">
        <v>1</v>
      </c>
      <c r="T60" s="27" t="n">
        <v>0</v>
      </c>
      <c r="U60" s="30"/>
      <c r="V60" s="30"/>
      <c r="W60" s="30"/>
      <c r="X60" s="30"/>
      <c r="Y60" s="30"/>
      <c r="Z60" s="27" t="s">
        <v>3836</v>
      </c>
      <c r="AA60" s="9" t="s">
        <v>3887</v>
      </c>
      <c r="AB60" s="27" t="s">
        <v>86</v>
      </c>
      <c r="AC60" s="23" t="s">
        <v>664</v>
      </c>
    </row>
    <row r="61" customFormat="false" ht="19.5" hidden="false" customHeight="true" outlineLevel="0" collapsed="false">
      <c r="A61" s="25" t="s">
        <v>3889</v>
      </c>
      <c r="B61" s="25" t="s">
        <v>557</v>
      </c>
      <c r="C61" s="12" t="s">
        <v>558</v>
      </c>
      <c r="D61" s="12" t="s">
        <v>559</v>
      </c>
      <c r="E61" s="12" t="s">
        <v>535</v>
      </c>
      <c r="F61" s="25" t="s">
        <v>1117</v>
      </c>
      <c r="G61" s="25" t="n">
        <v>2025</v>
      </c>
      <c r="H61" s="25" t="n">
        <v>5</v>
      </c>
      <c r="I61" s="25" t="s">
        <v>3879</v>
      </c>
      <c r="J61" s="18" t="n">
        <v>1</v>
      </c>
      <c r="K61" s="14" t="n">
        <v>1.3</v>
      </c>
      <c r="L61" s="29"/>
      <c r="M61" s="14" t="n">
        <v>1.5</v>
      </c>
      <c r="N61" s="29"/>
      <c r="O61" s="32" t="n">
        <v>-0.2</v>
      </c>
      <c r="P61" s="14" t="n">
        <v>1.1</v>
      </c>
      <c r="Q61" s="25" t="n">
        <v>1</v>
      </c>
      <c r="R61" s="25" t="n">
        <v>1</v>
      </c>
      <c r="S61" s="25" t="n">
        <v>1</v>
      </c>
      <c r="T61" s="25" t="n">
        <v>0</v>
      </c>
      <c r="U61" s="29"/>
      <c r="V61" s="29"/>
      <c r="W61" s="29"/>
      <c r="X61" s="29"/>
      <c r="Y61" s="29"/>
      <c r="Z61" s="25" t="s">
        <v>3836</v>
      </c>
      <c r="AA61" s="12" t="s">
        <v>3887</v>
      </c>
      <c r="AB61" s="25" t="s">
        <v>86</v>
      </c>
      <c r="AC61" s="22" t="s">
        <v>681</v>
      </c>
    </row>
    <row r="62" customFormat="false" ht="19.5" hidden="false" customHeight="true" outlineLevel="0" collapsed="false">
      <c r="A62" s="27" t="s">
        <v>3890</v>
      </c>
      <c r="B62" s="27" t="s">
        <v>557</v>
      </c>
      <c r="C62" s="9" t="s">
        <v>558</v>
      </c>
      <c r="D62" s="9" t="s">
        <v>559</v>
      </c>
      <c r="E62" s="9" t="s">
        <v>535</v>
      </c>
      <c r="F62" s="27" t="s">
        <v>1132</v>
      </c>
      <c r="G62" s="27" t="n">
        <v>2025</v>
      </c>
      <c r="H62" s="27" t="n">
        <v>5</v>
      </c>
      <c r="I62" s="27" t="s">
        <v>3879</v>
      </c>
      <c r="J62" s="20" t="n">
        <v>1</v>
      </c>
      <c r="K62" s="11" t="n">
        <v>1.1</v>
      </c>
      <c r="L62" s="30"/>
      <c r="M62" s="11" t="n">
        <v>1.3</v>
      </c>
      <c r="N62" s="11" t="n">
        <v>1.5</v>
      </c>
      <c r="O62" s="31" t="n">
        <v>-0.2</v>
      </c>
      <c r="P62" s="11" t="n">
        <v>1.1</v>
      </c>
      <c r="Q62" s="27" t="n">
        <v>1</v>
      </c>
      <c r="R62" s="27" t="n">
        <v>1</v>
      </c>
      <c r="S62" s="27" t="n">
        <v>1</v>
      </c>
      <c r="T62" s="27" t="n">
        <v>0</v>
      </c>
      <c r="U62" s="30"/>
      <c r="V62" s="30"/>
      <c r="W62" s="30"/>
      <c r="X62" s="30"/>
      <c r="Y62" s="30"/>
      <c r="Z62" s="27" t="s">
        <v>3836</v>
      </c>
      <c r="AA62" s="9" t="s">
        <v>3887</v>
      </c>
      <c r="AB62" s="27" t="s">
        <v>86</v>
      </c>
      <c r="AC62" s="23" t="s">
        <v>697</v>
      </c>
    </row>
    <row r="63" customFormat="false" ht="19.5" hidden="false" customHeight="true" outlineLevel="0" collapsed="false">
      <c r="A63" s="25" t="s">
        <v>3891</v>
      </c>
      <c r="B63" s="25" t="s">
        <v>557</v>
      </c>
      <c r="C63" s="12" t="s">
        <v>558</v>
      </c>
      <c r="D63" s="12" t="s">
        <v>559</v>
      </c>
      <c r="E63" s="12" t="s">
        <v>535</v>
      </c>
      <c r="F63" s="25" t="s">
        <v>1147</v>
      </c>
      <c r="G63" s="25" t="n">
        <v>2025</v>
      </c>
      <c r="H63" s="25" t="n">
        <v>5</v>
      </c>
      <c r="I63" s="25" t="s">
        <v>3879</v>
      </c>
      <c r="J63" s="18" t="n">
        <v>1</v>
      </c>
      <c r="K63" s="14" t="n">
        <v>1.1</v>
      </c>
      <c r="L63" s="29"/>
      <c r="M63" s="14" t="n">
        <v>1.1</v>
      </c>
      <c r="N63" s="14" t="n">
        <v>1.3</v>
      </c>
      <c r="O63" s="32" t="n">
        <v>0</v>
      </c>
      <c r="P63" s="14" t="n">
        <v>1</v>
      </c>
      <c r="Q63" s="25" t="n">
        <v>1</v>
      </c>
      <c r="R63" s="25" t="n">
        <v>1</v>
      </c>
      <c r="S63" s="25" t="n">
        <v>1</v>
      </c>
      <c r="T63" s="25" t="n">
        <v>0</v>
      </c>
      <c r="U63" s="29"/>
      <c r="V63" s="29"/>
      <c r="W63" s="29"/>
      <c r="X63" s="29"/>
      <c r="Y63" s="29"/>
      <c r="Z63" s="25" t="s">
        <v>3836</v>
      </c>
      <c r="AA63" s="12" t="s">
        <v>3887</v>
      </c>
      <c r="AB63" s="25" t="s">
        <v>86</v>
      </c>
      <c r="AC63" s="22" t="s">
        <v>713</v>
      </c>
    </row>
    <row r="64" customFormat="false" ht="19.5" hidden="false" customHeight="true" outlineLevel="0" collapsed="false">
      <c r="A64" s="27" t="s">
        <v>3892</v>
      </c>
      <c r="B64" s="27" t="s">
        <v>557</v>
      </c>
      <c r="C64" s="9" t="s">
        <v>558</v>
      </c>
      <c r="D64" s="9" t="s">
        <v>559</v>
      </c>
      <c r="E64" s="9" t="s">
        <v>535</v>
      </c>
      <c r="F64" s="27" t="s">
        <v>1162</v>
      </c>
      <c r="G64" s="27" t="n">
        <v>2025</v>
      </c>
      <c r="H64" s="27" t="n">
        <v>5</v>
      </c>
      <c r="I64" s="27" t="s">
        <v>3879</v>
      </c>
      <c r="J64" s="20" t="n">
        <v>1</v>
      </c>
      <c r="K64" s="11" t="n">
        <v>1</v>
      </c>
      <c r="L64" s="30"/>
      <c r="M64" s="11" t="n">
        <v>1.1</v>
      </c>
      <c r="N64" s="11" t="n">
        <v>1.1</v>
      </c>
      <c r="O64" s="31" t="n">
        <v>-0.1</v>
      </c>
      <c r="P64" s="30"/>
      <c r="Q64" s="27" t="n">
        <v>1</v>
      </c>
      <c r="R64" s="27" t="n">
        <v>1</v>
      </c>
      <c r="S64" s="27" t="n">
        <v>0</v>
      </c>
      <c r="T64" s="27" t="n">
        <v>0</v>
      </c>
      <c r="U64" s="30"/>
      <c r="V64" s="30"/>
      <c r="W64" s="30"/>
      <c r="X64" s="30"/>
      <c r="Y64" s="30"/>
      <c r="Z64" s="27" t="s">
        <v>3836</v>
      </c>
      <c r="AA64" s="9" t="s">
        <v>3887</v>
      </c>
      <c r="AB64" s="27" t="s">
        <v>86</v>
      </c>
      <c r="AC64" s="23" t="s">
        <v>729</v>
      </c>
    </row>
    <row r="65" customFormat="false" ht="19.5" hidden="false" customHeight="true" outlineLevel="0" collapsed="false">
      <c r="A65" s="25" t="s">
        <v>3893</v>
      </c>
      <c r="B65" s="25" t="s">
        <v>557</v>
      </c>
      <c r="C65" s="12" t="s">
        <v>558</v>
      </c>
      <c r="D65" s="12" t="s">
        <v>559</v>
      </c>
      <c r="E65" s="12" t="s">
        <v>535</v>
      </c>
      <c r="F65" s="25" t="s">
        <v>1177</v>
      </c>
      <c r="G65" s="25" t="n">
        <v>2026</v>
      </c>
      <c r="H65" s="25" t="n">
        <v>2</v>
      </c>
      <c r="I65" s="25" t="s">
        <v>3879</v>
      </c>
      <c r="J65" s="18" t="n">
        <v>1</v>
      </c>
      <c r="K65" s="14" t="n">
        <v>0.9</v>
      </c>
      <c r="L65" s="29"/>
      <c r="M65" s="29"/>
      <c r="N65" s="29"/>
      <c r="O65" s="29"/>
      <c r="P65" s="14" t="n">
        <v>1.2</v>
      </c>
      <c r="Q65" s="25" t="n">
        <v>1</v>
      </c>
      <c r="R65" s="25" t="n">
        <v>1</v>
      </c>
      <c r="S65" s="25" t="n">
        <v>0</v>
      </c>
      <c r="T65" s="25" t="n">
        <v>0</v>
      </c>
      <c r="U65" s="29"/>
      <c r="V65" s="29"/>
      <c r="W65" s="29"/>
      <c r="X65" s="14" t="n">
        <v>0.51</v>
      </c>
      <c r="Y65" s="29"/>
      <c r="Z65" s="25" t="s">
        <v>3836</v>
      </c>
      <c r="AA65" s="12" t="s">
        <v>3894</v>
      </c>
      <c r="AB65" s="25" t="s">
        <v>86</v>
      </c>
      <c r="AC65" s="22" t="s">
        <v>197</v>
      </c>
    </row>
    <row r="66" customFormat="false" ht="19.5" hidden="false" customHeight="true" outlineLevel="0" collapsed="false">
      <c r="A66" s="27" t="s">
        <v>3895</v>
      </c>
      <c r="B66" s="27" t="s">
        <v>557</v>
      </c>
      <c r="C66" s="9" t="s">
        <v>558</v>
      </c>
      <c r="D66" s="9" t="s">
        <v>559</v>
      </c>
      <c r="E66" s="9" t="s">
        <v>535</v>
      </c>
      <c r="F66" s="27" t="s">
        <v>1194</v>
      </c>
      <c r="G66" s="27" t="n">
        <v>2026</v>
      </c>
      <c r="H66" s="27" t="n">
        <v>2</v>
      </c>
      <c r="I66" s="27" t="s">
        <v>3879</v>
      </c>
      <c r="J66" s="20" t="n">
        <v>1</v>
      </c>
      <c r="K66" s="11" t="n">
        <v>1.2</v>
      </c>
      <c r="L66" s="30"/>
      <c r="M66" s="11" t="n">
        <v>0.9</v>
      </c>
      <c r="N66" s="30"/>
      <c r="O66" s="31" t="n">
        <v>0.3</v>
      </c>
      <c r="P66" s="30"/>
      <c r="Q66" s="27" t="n">
        <v>1</v>
      </c>
      <c r="R66" s="27" t="n">
        <v>1</v>
      </c>
      <c r="S66" s="27" t="n">
        <v>1</v>
      </c>
      <c r="T66" s="27" t="n">
        <v>0</v>
      </c>
      <c r="U66" s="11" t="n">
        <v>1.55</v>
      </c>
      <c r="V66" s="30"/>
      <c r="W66" s="30"/>
      <c r="X66" s="11" t="n">
        <v>0.485</v>
      </c>
      <c r="Y66" s="30"/>
      <c r="Z66" s="27" t="s">
        <v>2931</v>
      </c>
      <c r="AA66" s="9" t="s">
        <v>3894</v>
      </c>
      <c r="AB66" s="27" t="s">
        <v>86</v>
      </c>
      <c r="AC66" s="23" t="s">
        <v>197</v>
      </c>
    </row>
    <row r="67" customFormat="false" ht="19.5" hidden="false" customHeight="true" outlineLevel="0" collapsed="false">
      <c r="A67" s="25" t="s">
        <v>3896</v>
      </c>
      <c r="B67" s="25" t="s">
        <v>557</v>
      </c>
      <c r="C67" s="12" t="s">
        <v>558</v>
      </c>
      <c r="D67" s="12" t="s">
        <v>559</v>
      </c>
      <c r="E67" s="12" t="s">
        <v>535</v>
      </c>
      <c r="F67" s="25" t="s">
        <v>1231</v>
      </c>
      <c r="G67" s="25" t="n">
        <v>2026</v>
      </c>
      <c r="H67" s="25" t="n">
        <v>5</v>
      </c>
      <c r="I67" s="25" t="s">
        <v>3879</v>
      </c>
      <c r="J67" s="18" t="n">
        <v>1</v>
      </c>
      <c r="K67" s="14" t="n">
        <v>5.8</v>
      </c>
      <c r="L67" s="29"/>
      <c r="M67" s="29"/>
      <c r="N67" s="29"/>
      <c r="O67" s="29"/>
      <c r="P67" s="14" t="n">
        <v>1.1</v>
      </c>
      <c r="Q67" s="25" t="n">
        <v>1</v>
      </c>
      <c r="R67" s="25" t="n">
        <v>1</v>
      </c>
      <c r="S67" s="25" t="n">
        <v>1</v>
      </c>
      <c r="T67" s="25" t="n">
        <v>1</v>
      </c>
      <c r="U67" s="29"/>
      <c r="V67" s="29"/>
      <c r="W67" s="29"/>
      <c r="X67" s="14" t="n">
        <v>0.12</v>
      </c>
      <c r="Y67" s="29"/>
      <c r="Z67" s="25" t="s">
        <v>2939</v>
      </c>
      <c r="AA67" s="12" t="s">
        <v>3894</v>
      </c>
      <c r="AB67" s="25" t="s">
        <v>86</v>
      </c>
      <c r="AC67" s="22" t="s">
        <v>664</v>
      </c>
    </row>
    <row r="68" customFormat="false" ht="19.5" hidden="false" customHeight="true" outlineLevel="0" collapsed="false">
      <c r="A68" s="27" t="s">
        <v>3897</v>
      </c>
      <c r="B68" s="27" t="s">
        <v>557</v>
      </c>
      <c r="C68" s="9" t="s">
        <v>558</v>
      </c>
      <c r="D68" s="9" t="s">
        <v>559</v>
      </c>
      <c r="E68" s="9" t="s">
        <v>535</v>
      </c>
      <c r="F68" s="27" t="s">
        <v>1246</v>
      </c>
      <c r="G68" s="27" t="n">
        <v>2026</v>
      </c>
      <c r="H68" s="27" t="n">
        <v>5</v>
      </c>
      <c r="I68" s="27" t="s">
        <v>3879</v>
      </c>
      <c r="J68" s="20" t="n">
        <v>1</v>
      </c>
      <c r="K68" s="11" t="n">
        <v>1.1</v>
      </c>
      <c r="L68" s="30"/>
      <c r="M68" s="11" t="n">
        <v>5.8</v>
      </c>
      <c r="N68" s="30"/>
      <c r="O68" s="31" t="n">
        <v>-4.7</v>
      </c>
      <c r="P68" s="11" t="n">
        <v>1.1</v>
      </c>
      <c r="Q68" s="27" t="n">
        <v>1</v>
      </c>
      <c r="R68" s="27" t="n">
        <v>1</v>
      </c>
      <c r="S68" s="27" t="n">
        <v>1</v>
      </c>
      <c r="T68" s="27" t="n">
        <v>0</v>
      </c>
      <c r="U68" s="30"/>
      <c r="V68" s="30"/>
      <c r="W68" s="30"/>
      <c r="X68" s="11" t="n">
        <v>0.13</v>
      </c>
      <c r="Y68" s="30"/>
      <c r="Z68" s="27" t="s">
        <v>2939</v>
      </c>
      <c r="AA68" s="9" t="s">
        <v>3894</v>
      </c>
      <c r="AB68" s="27" t="s">
        <v>86</v>
      </c>
      <c r="AC68" s="23" t="s">
        <v>664</v>
      </c>
    </row>
    <row r="69" customFormat="false" ht="19.5" hidden="false" customHeight="true" outlineLevel="0" collapsed="false">
      <c r="A69" s="25" t="s">
        <v>3898</v>
      </c>
      <c r="B69" s="25" t="s">
        <v>557</v>
      </c>
      <c r="C69" s="12" t="s">
        <v>558</v>
      </c>
      <c r="D69" s="12" t="s">
        <v>559</v>
      </c>
      <c r="E69" s="12" t="s">
        <v>535</v>
      </c>
      <c r="F69" s="25" t="s">
        <v>1261</v>
      </c>
      <c r="G69" s="25" t="n">
        <v>2026</v>
      </c>
      <c r="H69" s="25" t="n">
        <v>5</v>
      </c>
      <c r="I69" s="25" t="s">
        <v>3879</v>
      </c>
      <c r="J69" s="18" t="n">
        <v>1</v>
      </c>
      <c r="K69" s="14" t="n">
        <v>1.1</v>
      </c>
      <c r="L69" s="29"/>
      <c r="M69" s="14" t="n">
        <v>1.1</v>
      </c>
      <c r="N69" s="14" t="n">
        <v>5.8</v>
      </c>
      <c r="O69" s="32" t="n">
        <v>0</v>
      </c>
      <c r="P69" s="14" t="n">
        <v>1.2</v>
      </c>
      <c r="Q69" s="25" t="n">
        <v>1</v>
      </c>
      <c r="R69" s="25" t="n">
        <v>1</v>
      </c>
      <c r="S69" s="25" t="n">
        <v>1</v>
      </c>
      <c r="T69" s="25" t="n">
        <v>0</v>
      </c>
      <c r="U69" s="29"/>
      <c r="V69" s="29"/>
      <c r="W69" s="29"/>
      <c r="X69" s="14" t="n">
        <v>0.145</v>
      </c>
      <c r="Y69" s="29"/>
      <c r="Z69" s="25" t="s">
        <v>2939</v>
      </c>
      <c r="AA69" s="12" t="s">
        <v>3894</v>
      </c>
      <c r="AB69" s="25" t="s">
        <v>86</v>
      </c>
      <c r="AC69" s="22" t="s">
        <v>681</v>
      </c>
    </row>
    <row r="70" customFormat="false" ht="19.5" hidden="false" customHeight="true" outlineLevel="0" collapsed="false">
      <c r="A70" s="27" t="s">
        <v>3899</v>
      </c>
      <c r="B70" s="27" t="s">
        <v>557</v>
      </c>
      <c r="C70" s="9" t="s">
        <v>558</v>
      </c>
      <c r="D70" s="9" t="s">
        <v>559</v>
      </c>
      <c r="E70" s="9" t="s">
        <v>535</v>
      </c>
      <c r="F70" s="27" t="s">
        <v>1276</v>
      </c>
      <c r="G70" s="27" t="n">
        <v>2026</v>
      </c>
      <c r="H70" s="27" t="n">
        <v>5</v>
      </c>
      <c r="I70" s="27" t="s">
        <v>3879</v>
      </c>
      <c r="J70" s="20" t="n">
        <v>1</v>
      </c>
      <c r="K70" s="11" t="n">
        <v>1.2</v>
      </c>
      <c r="L70" s="30"/>
      <c r="M70" s="11" t="n">
        <v>1.1</v>
      </c>
      <c r="N70" s="11" t="n">
        <v>1.1</v>
      </c>
      <c r="O70" s="31" t="n">
        <v>0.1</v>
      </c>
      <c r="P70" s="11" t="n">
        <v>1.2</v>
      </c>
      <c r="Q70" s="27" t="n">
        <v>1</v>
      </c>
      <c r="R70" s="27" t="n">
        <v>1</v>
      </c>
      <c r="S70" s="27" t="n">
        <v>1</v>
      </c>
      <c r="T70" s="27" t="n">
        <v>0</v>
      </c>
      <c r="U70" s="30"/>
      <c r="V70" s="30"/>
      <c r="W70" s="30"/>
      <c r="X70" s="11" t="n">
        <v>0.16</v>
      </c>
      <c r="Y70" s="30"/>
      <c r="Z70" s="27" t="s">
        <v>2939</v>
      </c>
      <c r="AA70" s="9" t="s">
        <v>3894</v>
      </c>
      <c r="AB70" s="27" t="s">
        <v>86</v>
      </c>
      <c r="AC70" s="23" t="s">
        <v>697</v>
      </c>
    </row>
    <row r="71" customFormat="false" ht="19.5" hidden="false" customHeight="true" outlineLevel="0" collapsed="false">
      <c r="A71" s="25" t="s">
        <v>3900</v>
      </c>
      <c r="B71" s="25" t="s">
        <v>557</v>
      </c>
      <c r="C71" s="12" t="s">
        <v>558</v>
      </c>
      <c r="D71" s="12" t="s">
        <v>559</v>
      </c>
      <c r="E71" s="12" t="s">
        <v>535</v>
      </c>
      <c r="F71" s="25" t="s">
        <v>1291</v>
      </c>
      <c r="G71" s="25" t="n">
        <v>2026</v>
      </c>
      <c r="H71" s="25" t="n">
        <v>5</v>
      </c>
      <c r="I71" s="25" t="s">
        <v>3879</v>
      </c>
      <c r="J71" s="18" t="n">
        <v>1</v>
      </c>
      <c r="K71" s="14" t="n">
        <v>1.2</v>
      </c>
      <c r="L71" s="29"/>
      <c r="M71" s="14" t="n">
        <v>1.2</v>
      </c>
      <c r="N71" s="14" t="n">
        <v>1.1</v>
      </c>
      <c r="O71" s="32" t="n">
        <v>0</v>
      </c>
      <c r="P71" s="14" t="n">
        <v>1.1</v>
      </c>
      <c r="Q71" s="25" t="n">
        <v>1</v>
      </c>
      <c r="R71" s="25" t="n">
        <v>1</v>
      </c>
      <c r="S71" s="25" t="n">
        <v>1</v>
      </c>
      <c r="T71" s="25" t="n">
        <v>0</v>
      </c>
      <c r="U71" s="29"/>
      <c r="V71" s="29"/>
      <c r="W71" s="29"/>
      <c r="X71" s="14" t="n">
        <v>0.18</v>
      </c>
      <c r="Y71" s="29"/>
      <c r="Z71" s="25" t="s">
        <v>2939</v>
      </c>
      <c r="AA71" s="12" t="s">
        <v>3894</v>
      </c>
      <c r="AB71" s="25" t="s">
        <v>86</v>
      </c>
      <c r="AC71" s="22" t="s">
        <v>713</v>
      </c>
    </row>
    <row r="72" customFormat="false" ht="19.5" hidden="false" customHeight="true" outlineLevel="0" collapsed="false">
      <c r="A72" s="27" t="s">
        <v>3901</v>
      </c>
      <c r="B72" s="27" t="s">
        <v>557</v>
      </c>
      <c r="C72" s="9" t="s">
        <v>558</v>
      </c>
      <c r="D72" s="9" t="s">
        <v>559</v>
      </c>
      <c r="E72" s="9" t="s">
        <v>535</v>
      </c>
      <c r="F72" s="27" t="s">
        <v>1306</v>
      </c>
      <c r="G72" s="27" t="n">
        <v>2026</v>
      </c>
      <c r="H72" s="27" t="n">
        <v>5</v>
      </c>
      <c r="I72" s="27" t="s">
        <v>3879</v>
      </c>
      <c r="J72" s="20" t="n">
        <v>1</v>
      </c>
      <c r="K72" s="11" t="n">
        <v>1.1</v>
      </c>
      <c r="L72" s="30"/>
      <c r="M72" s="11" t="n">
        <v>1.2</v>
      </c>
      <c r="N72" s="11" t="n">
        <v>1.2</v>
      </c>
      <c r="O72" s="31" t="n">
        <v>-0.1</v>
      </c>
      <c r="P72" s="30"/>
      <c r="Q72" s="27" t="n">
        <v>1</v>
      </c>
      <c r="R72" s="27" t="n">
        <v>1</v>
      </c>
      <c r="S72" s="27" t="n">
        <v>1</v>
      </c>
      <c r="T72" s="27" t="n">
        <v>0</v>
      </c>
      <c r="U72" s="30"/>
      <c r="V72" s="30"/>
      <c r="W72" s="30"/>
      <c r="X72" s="11" t="n">
        <v>0.205</v>
      </c>
      <c r="Y72" s="30"/>
      <c r="Z72" s="27" t="s">
        <v>2939</v>
      </c>
      <c r="AA72" s="9" t="s">
        <v>3894</v>
      </c>
      <c r="AB72" s="27" t="s">
        <v>86</v>
      </c>
      <c r="AC72" s="23" t="s">
        <v>729</v>
      </c>
    </row>
    <row r="73" customFormat="false" ht="19.5" hidden="false" customHeight="true" outlineLevel="0" collapsed="false">
      <c r="A73" s="25" t="s">
        <v>3902</v>
      </c>
      <c r="B73" s="25" t="s">
        <v>564</v>
      </c>
      <c r="C73" s="12" t="s">
        <v>565</v>
      </c>
      <c r="D73" s="12" t="s">
        <v>566</v>
      </c>
      <c r="E73" s="12" t="s">
        <v>219</v>
      </c>
      <c r="F73" s="25" t="s">
        <v>625</v>
      </c>
      <c r="G73" s="25" t="n">
        <v>2016</v>
      </c>
      <c r="H73" s="25" t="n">
        <v>2</v>
      </c>
      <c r="I73" s="25" t="s">
        <v>3879</v>
      </c>
      <c r="J73" s="18" t="n">
        <v>1</v>
      </c>
      <c r="K73" s="14" t="n">
        <v>1.5</v>
      </c>
      <c r="L73" s="29"/>
      <c r="M73" s="29"/>
      <c r="N73" s="29"/>
      <c r="O73" s="29"/>
      <c r="P73" s="29"/>
      <c r="Q73" s="25" t="n">
        <v>1</v>
      </c>
      <c r="R73" s="25" t="n">
        <v>1</v>
      </c>
      <c r="S73" s="25" t="n">
        <v>1</v>
      </c>
      <c r="T73" s="25" t="n">
        <v>0</v>
      </c>
      <c r="U73" s="29"/>
      <c r="V73" s="29"/>
      <c r="W73" s="29"/>
      <c r="X73" s="29"/>
      <c r="Y73" s="29"/>
      <c r="Z73" s="25" t="s">
        <v>3836</v>
      </c>
      <c r="AA73" s="12" t="s">
        <v>3880</v>
      </c>
      <c r="AB73" s="25" t="s">
        <v>86</v>
      </c>
      <c r="AC73" s="22" t="s">
        <v>197</v>
      </c>
    </row>
    <row r="74" customFormat="false" ht="19.5" hidden="false" customHeight="true" outlineLevel="0" collapsed="false">
      <c r="A74" s="27" t="s">
        <v>3903</v>
      </c>
      <c r="B74" s="27" t="s">
        <v>564</v>
      </c>
      <c r="C74" s="9" t="s">
        <v>565</v>
      </c>
      <c r="D74" s="9" t="s">
        <v>566</v>
      </c>
      <c r="E74" s="9" t="s">
        <v>219</v>
      </c>
      <c r="F74" s="27" t="s">
        <v>663</v>
      </c>
      <c r="G74" s="27" t="n">
        <v>2016</v>
      </c>
      <c r="H74" s="27" t="n">
        <v>5</v>
      </c>
      <c r="I74" s="27" t="s">
        <v>3879</v>
      </c>
      <c r="J74" s="20" t="n">
        <v>1</v>
      </c>
      <c r="K74" s="11" t="n">
        <v>2.6</v>
      </c>
      <c r="L74" s="30"/>
      <c r="M74" s="30"/>
      <c r="N74" s="30"/>
      <c r="O74" s="30"/>
      <c r="P74" s="11" t="n">
        <v>2.4</v>
      </c>
      <c r="Q74" s="27" t="n">
        <v>1</v>
      </c>
      <c r="R74" s="27" t="n">
        <v>1</v>
      </c>
      <c r="S74" s="27" t="n">
        <v>1</v>
      </c>
      <c r="T74" s="27" t="n">
        <v>1</v>
      </c>
      <c r="U74" s="30"/>
      <c r="V74" s="30"/>
      <c r="W74" s="30"/>
      <c r="X74" s="30"/>
      <c r="Y74" s="30"/>
      <c r="Z74" s="27" t="s">
        <v>3836</v>
      </c>
      <c r="AA74" s="9" t="s">
        <v>3880</v>
      </c>
      <c r="AB74" s="27" t="s">
        <v>86</v>
      </c>
      <c r="AC74" s="23" t="s">
        <v>664</v>
      </c>
    </row>
    <row r="75" customFormat="false" ht="19.5" hidden="false" customHeight="true" outlineLevel="0" collapsed="false">
      <c r="A75" s="25" t="s">
        <v>3904</v>
      </c>
      <c r="B75" s="25" t="s">
        <v>564</v>
      </c>
      <c r="C75" s="12" t="s">
        <v>565</v>
      </c>
      <c r="D75" s="12" t="s">
        <v>566</v>
      </c>
      <c r="E75" s="12" t="s">
        <v>219</v>
      </c>
      <c r="F75" s="25" t="s">
        <v>680</v>
      </c>
      <c r="G75" s="25" t="n">
        <v>2016</v>
      </c>
      <c r="H75" s="25" t="n">
        <v>5</v>
      </c>
      <c r="I75" s="25" t="s">
        <v>3879</v>
      </c>
      <c r="J75" s="18" t="n">
        <v>1</v>
      </c>
      <c r="K75" s="14" t="n">
        <v>2.4</v>
      </c>
      <c r="L75" s="29"/>
      <c r="M75" s="14" t="n">
        <v>2.6</v>
      </c>
      <c r="N75" s="29"/>
      <c r="O75" s="32" t="n">
        <v>-0.2</v>
      </c>
      <c r="P75" s="14" t="n">
        <v>2.2</v>
      </c>
      <c r="Q75" s="25" t="n">
        <v>1</v>
      </c>
      <c r="R75" s="25" t="n">
        <v>1</v>
      </c>
      <c r="S75" s="25" t="n">
        <v>1</v>
      </c>
      <c r="T75" s="25" t="n">
        <v>1</v>
      </c>
      <c r="U75" s="29"/>
      <c r="V75" s="29"/>
      <c r="W75" s="29"/>
      <c r="X75" s="29"/>
      <c r="Y75" s="29"/>
      <c r="Z75" s="25" t="s">
        <v>3836</v>
      </c>
      <c r="AA75" s="12" t="s">
        <v>3880</v>
      </c>
      <c r="AB75" s="25" t="s">
        <v>86</v>
      </c>
      <c r="AC75" s="22" t="s">
        <v>681</v>
      </c>
    </row>
    <row r="76" customFormat="false" ht="19.5" hidden="false" customHeight="true" outlineLevel="0" collapsed="false">
      <c r="A76" s="27" t="s">
        <v>3905</v>
      </c>
      <c r="B76" s="27" t="s">
        <v>564</v>
      </c>
      <c r="C76" s="9" t="s">
        <v>565</v>
      </c>
      <c r="D76" s="9" t="s">
        <v>566</v>
      </c>
      <c r="E76" s="9" t="s">
        <v>219</v>
      </c>
      <c r="F76" s="27" t="s">
        <v>696</v>
      </c>
      <c r="G76" s="27" t="n">
        <v>2016</v>
      </c>
      <c r="H76" s="27" t="n">
        <v>5</v>
      </c>
      <c r="I76" s="27" t="s">
        <v>3879</v>
      </c>
      <c r="J76" s="20" t="n">
        <v>1</v>
      </c>
      <c r="K76" s="11" t="n">
        <v>2.2</v>
      </c>
      <c r="L76" s="30"/>
      <c r="M76" s="11" t="n">
        <v>2.4</v>
      </c>
      <c r="N76" s="11" t="n">
        <v>2.6</v>
      </c>
      <c r="O76" s="31" t="n">
        <v>-0.2</v>
      </c>
      <c r="P76" s="11" t="n">
        <v>2</v>
      </c>
      <c r="Q76" s="27" t="n">
        <v>1</v>
      </c>
      <c r="R76" s="27" t="n">
        <v>1</v>
      </c>
      <c r="S76" s="27" t="n">
        <v>1</v>
      </c>
      <c r="T76" s="27" t="n">
        <v>1</v>
      </c>
      <c r="U76" s="30"/>
      <c r="V76" s="30"/>
      <c r="W76" s="30"/>
      <c r="X76" s="30"/>
      <c r="Y76" s="30"/>
      <c r="Z76" s="27" t="s">
        <v>3836</v>
      </c>
      <c r="AA76" s="9" t="s">
        <v>3880</v>
      </c>
      <c r="AB76" s="27" t="s">
        <v>86</v>
      </c>
      <c r="AC76" s="23" t="s">
        <v>697</v>
      </c>
    </row>
    <row r="77" customFormat="false" ht="19.5" hidden="false" customHeight="true" outlineLevel="0" collapsed="false">
      <c r="A77" s="25" t="s">
        <v>3906</v>
      </c>
      <c r="B77" s="25" t="s">
        <v>564</v>
      </c>
      <c r="C77" s="12" t="s">
        <v>565</v>
      </c>
      <c r="D77" s="12" t="s">
        <v>566</v>
      </c>
      <c r="E77" s="12" t="s">
        <v>219</v>
      </c>
      <c r="F77" s="25" t="s">
        <v>712</v>
      </c>
      <c r="G77" s="25" t="n">
        <v>2016</v>
      </c>
      <c r="H77" s="25" t="n">
        <v>5</v>
      </c>
      <c r="I77" s="25" t="s">
        <v>3879</v>
      </c>
      <c r="J77" s="18" t="n">
        <v>1</v>
      </c>
      <c r="K77" s="14" t="n">
        <v>2</v>
      </c>
      <c r="L77" s="29"/>
      <c r="M77" s="14" t="n">
        <v>2.2</v>
      </c>
      <c r="N77" s="14" t="n">
        <v>2.4</v>
      </c>
      <c r="O77" s="32" t="n">
        <v>-0.2</v>
      </c>
      <c r="P77" s="14" t="n">
        <v>1.8</v>
      </c>
      <c r="Q77" s="25" t="n">
        <v>1</v>
      </c>
      <c r="R77" s="25" t="n">
        <v>1</v>
      </c>
      <c r="S77" s="25" t="n">
        <v>1</v>
      </c>
      <c r="T77" s="25" t="n">
        <v>0</v>
      </c>
      <c r="U77" s="29"/>
      <c r="V77" s="29"/>
      <c r="W77" s="29"/>
      <c r="X77" s="29"/>
      <c r="Y77" s="29"/>
      <c r="Z77" s="25" t="s">
        <v>3836</v>
      </c>
      <c r="AA77" s="12" t="s">
        <v>3880</v>
      </c>
      <c r="AB77" s="25" t="s">
        <v>86</v>
      </c>
      <c r="AC77" s="22" t="s">
        <v>713</v>
      </c>
    </row>
    <row r="78" customFormat="false" ht="19.5" hidden="false" customHeight="true" outlineLevel="0" collapsed="false">
      <c r="A78" s="27" t="s">
        <v>3907</v>
      </c>
      <c r="B78" s="27" t="s">
        <v>564</v>
      </c>
      <c r="C78" s="9" t="s">
        <v>565</v>
      </c>
      <c r="D78" s="9" t="s">
        <v>566</v>
      </c>
      <c r="E78" s="9" t="s">
        <v>219</v>
      </c>
      <c r="F78" s="27" t="s">
        <v>728</v>
      </c>
      <c r="G78" s="27" t="n">
        <v>2016</v>
      </c>
      <c r="H78" s="27" t="n">
        <v>5</v>
      </c>
      <c r="I78" s="27" t="s">
        <v>3879</v>
      </c>
      <c r="J78" s="20" t="n">
        <v>1</v>
      </c>
      <c r="K78" s="11" t="n">
        <v>1.8</v>
      </c>
      <c r="L78" s="30"/>
      <c r="M78" s="11" t="n">
        <v>2</v>
      </c>
      <c r="N78" s="11" t="n">
        <v>2.2</v>
      </c>
      <c r="O78" s="31" t="n">
        <v>-0.2</v>
      </c>
      <c r="P78" s="30"/>
      <c r="Q78" s="27" t="n">
        <v>1</v>
      </c>
      <c r="R78" s="27" t="n">
        <v>1</v>
      </c>
      <c r="S78" s="27" t="n">
        <v>1</v>
      </c>
      <c r="T78" s="27" t="n">
        <v>0</v>
      </c>
      <c r="U78" s="30"/>
      <c r="V78" s="30"/>
      <c r="W78" s="30"/>
      <c r="X78" s="30"/>
      <c r="Y78" s="30"/>
      <c r="Z78" s="27" t="s">
        <v>3836</v>
      </c>
      <c r="AA78" s="9" t="s">
        <v>3880</v>
      </c>
      <c r="AB78" s="27" t="s">
        <v>86</v>
      </c>
      <c r="AC78" s="23" t="s">
        <v>729</v>
      </c>
    </row>
    <row r="79" customFormat="false" ht="19.5" hidden="false" customHeight="true" outlineLevel="0" collapsed="false">
      <c r="A79" s="25" t="s">
        <v>3908</v>
      </c>
      <c r="B79" s="25" t="s">
        <v>564</v>
      </c>
      <c r="C79" s="12" t="s">
        <v>565</v>
      </c>
      <c r="D79" s="12" t="s">
        <v>566</v>
      </c>
      <c r="E79" s="12" t="s">
        <v>219</v>
      </c>
      <c r="F79" s="25" t="s">
        <v>764</v>
      </c>
      <c r="G79" s="25" t="n">
        <v>2020</v>
      </c>
      <c r="H79" s="25" t="n">
        <v>5</v>
      </c>
      <c r="I79" s="25" t="s">
        <v>3879</v>
      </c>
      <c r="J79" s="18" t="n">
        <v>1</v>
      </c>
      <c r="K79" s="14" t="n">
        <v>6.6</v>
      </c>
      <c r="L79" s="29"/>
      <c r="M79" s="29"/>
      <c r="N79" s="29"/>
      <c r="O79" s="29"/>
      <c r="P79" s="14" t="n">
        <v>6</v>
      </c>
      <c r="Q79" s="25" t="n">
        <v>1</v>
      </c>
      <c r="R79" s="25" t="n">
        <v>1</v>
      </c>
      <c r="S79" s="25" t="n">
        <v>1</v>
      </c>
      <c r="T79" s="25" t="n">
        <v>1</v>
      </c>
      <c r="U79" s="29"/>
      <c r="V79" s="29"/>
      <c r="W79" s="29"/>
      <c r="X79" s="29"/>
      <c r="Y79" s="29"/>
      <c r="Z79" s="25" t="s">
        <v>3836</v>
      </c>
      <c r="AA79" s="12" t="s">
        <v>3880</v>
      </c>
      <c r="AB79" s="25" t="s">
        <v>86</v>
      </c>
      <c r="AC79" s="22" t="s">
        <v>664</v>
      </c>
    </row>
    <row r="80" customFormat="false" ht="19.5" hidden="false" customHeight="true" outlineLevel="0" collapsed="false">
      <c r="A80" s="27" t="s">
        <v>3909</v>
      </c>
      <c r="B80" s="27" t="s">
        <v>564</v>
      </c>
      <c r="C80" s="9" t="s">
        <v>565</v>
      </c>
      <c r="D80" s="9" t="s">
        <v>566</v>
      </c>
      <c r="E80" s="9" t="s">
        <v>219</v>
      </c>
      <c r="F80" s="27" t="s">
        <v>777</v>
      </c>
      <c r="G80" s="27" t="n">
        <v>2020</v>
      </c>
      <c r="H80" s="27" t="n">
        <v>5</v>
      </c>
      <c r="I80" s="27" t="s">
        <v>3879</v>
      </c>
      <c r="J80" s="20" t="n">
        <v>1</v>
      </c>
      <c r="K80" s="11" t="n">
        <v>6</v>
      </c>
      <c r="L80" s="30"/>
      <c r="M80" s="11" t="n">
        <v>6.6</v>
      </c>
      <c r="N80" s="30"/>
      <c r="O80" s="31" t="n">
        <v>-0.6</v>
      </c>
      <c r="P80" s="11" t="n">
        <v>5.5</v>
      </c>
      <c r="Q80" s="27" t="n">
        <v>1</v>
      </c>
      <c r="R80" s="27" t="n">
        <v>1</v>
      </c>
      <c r="S80" s="27" t="n">
        <v>1</v>
      </c>
      <c r="T80" s="27" t="n">
        <v>1</v>
      </c>
      <c r="U80" s="30"/>
      <c r="V80" s="30"/>
      <c r="W80" s="30"/>
      <c r="X80" s="30"/>
      <c r="Y80" s="30"/>
      <c r="Z80" s="27" t="s">
        <v>3836</v>
      </c>
      <c r="AA80" s="9" t="s">
        <v>3880</v>
      </c>
      <c r="AB80" s="27" t="s">
        <v>86</v>
      </c>
      <c r="AC80" s="23" t="s">
        <v>681</v>
      </c>
    </row>
    <row r="81" customFormat="false" ht="19.5" hidden="false" customHeight="true" outlineLevel="0" collapsed="false">
      <c r="A81" s="25" t="s">
        <v>3910</v>
      </c>
      <c r="B81" s="25" t="s">
        <v>564</v>
      </c>
      <c r="C81" s="12" t="s">
        <v>565</v>
      </c>
      <c r="D81" s="12" t="s">
        <v>566</v>
      </c>
      <c r="E81" s="12" t="s">
        <v>219</v>
      </c>
      <c r="F81" s="25" t="s">
        <v>790</v>
      </c>
      <c r="G81" s="25" t="n">
        <v>2020</v>
      </c>
      <c r="H81" s="25" t="n">
        <v>5</v>
      </c>
      <c r="I81" s="25" t="s">
        <v>3879</v>
      </c>
      <c r="J81" s="18" t="n">
        <v>1</v>
      </c>
      <c r="K81" s="14" t="n">
        <v>5.5</v>
      </c>
      <c r="L81" s="29"/>
      <c r="M81" s="14" t="n">
        <v>6</v>
      </c>
      <c r="N81" s="14" t="n">
        <v>6.6</v>
      </c>
      <c r="O81" s="32" t="n">
        <v>-0.5</v>
      </c>
      <c r="P81" s="14" t="n">
        <v>4.8</v>
      </c>
      <c r="Q81" s="25" t="n">
        <v>1</v>
      </c>
      <c r="R81" s="25" t="n">
        <v>1</v>
      </c>
      <c r="S81" s="25" t="n">
        <v>1</v>
      </c>
      <c r="T81" s="25" t="n">
        <v>1</v>
      </c>
      <c r="U81" s="29"/>
      <c r="V81" s="29"/>
      <c r="W81" s="29"/>
      <c r="X81" s="29"/>
      <c r="Y81" s="29"/>
      <c r="Z81" s="25" t="s">
        <v>3836</v>
      </c>
      <c r="AA81" s="12" t="s">
        <v>3880</v>
      </c>
      <c r="AB81" s="25" t="s">
        <v>86</v>
      </c>
      <c r="AC81" s="22" t="s">
        <v>697</v>
      </c>
    </row>
    <row r="82" customFormat="false" ht="19.5" hidden="false" customHeight="true" outlineLevel="0" collapsed="false">
      <c r="A82" s="27" t="s">
        <v>3911</v>
      </c>
      <c r="B82" s="27" t="s">
        <v>564</v>
      </c>
      <c r="C82" s="9" t="s">
        <v>565</v>
      </c>
      <c r="D82" s="9" t="s">
        <v>566</v>
      </c>
      <c r="E82" s="9" t="s">
        <v>219</v>
      </c>
      <c r="F82" s="27" t="s">
        <v>803</v>
      </c>
      <c r="G82" s="27" t="n">
        <v>2020</v>
      </c>
      <c r="H82" s="27" t="n">
        <v>5</v>
      </c>
      <c r="I82" s="27" t="s">
        <v>3879</v>
      </c>
      <c r="J82" s="20" t="n">
        <v>1</v>
      </c>
      <c r="K82" s="11" t="n">
        <v>4.8</v>
      </c>
      <c r="L82" s="30"/>
      <c r="M82" s="11" t="n">
        <v>5.5</v>
      </c>
      <c r="N82" s="11" t="n">
        <v>6</v>
      </c>
      <c r="O82" s="31" t="n">
        <v>-0.7</v>
      </c>
      <c r="P82" s="11" t="n">
        <v>4.5</v>
      </c>
      <c r="Q82" s="27" t="n">
        <v>1</v>
      </c>
      <c r="R82" s="27" t="n">
        <v>1</v>
      </c>
      <c r="S82" s="27" t="n">
        <v>1</v>
      </c>
      <c r="T82" s="27" t="n">
        <v>1</v>
      </c>
      <c r="U82" s="30"/>
      <c r="V82" s="30"/>
      <c r="W82" s="30"/>
      <c r="X82" s="30"/>
      <c r="Y82" s="30"/>
      <c r="Z82" s="27" t="s">
        <v>3836</v>
      </c>
      <c r="AA82" s="9" t="s">
        <v>3880</v>
      </c>
      <c r="AB82" s="27" t="s">
        <v>86</v>
      </c>
      <c r="AC82" s="23" t="s">
        <v>713</v>
      </c>
    </row>
    <row r="83" customFormat="false" ht="19.5" hidden="false" customHeight="true" outlineLevel="0" collapsed="false">
      <c r="A83" s="25" t="s">
        <v>3912</v>
      </c>
      <c r="B83" s="25" t="s">
        <v>564</v>
      </c>
      <c r="C83" s="12" t="s">
        <v>565</v>
      </c>
      <c r="D83" s="12" t="s">
        <v>566</v>
      </c>
      <c r="E83" s="12" t="s">
        <v>219</v>
      </c>
      <c r="F83" s="25" t="s">
        <v>816</v>
      </c>
      <c r="G83" s="25" t="n">
        <v>2020</v>
      </c>
      <c r="H83" s="25" t="n">
        <v>5</v>
      </c>
      <c r="I83" s="25" t="s">
        <v>3879</v>
      </c>
      <c r="J83" s="18" t="n">
        <v>1</v>
      </c>
      <c r="K83" s="14" t="n">
        <v>4.5</v>
      </c>
      <c r="L83" s="29"/>
      <c r="M83" s="14" t="n">
        <v>4.8</v>
      </c>
      <c r="N83" s="14" t="n">
        <v>5.5</v>
      </c>
      <c r="O83" s="32" t="n">
        <v>-0.3</v>
      </c>
      <c r="P83" s="29"/>
      <c r="Q83" s="25" t="n">
        <v>1</v>
      </c>
      <c r="R83" s="25" t="n">
        <v>1</v>
      </c>
      <c r="S83" s="25" t="n">
        <v>1</v>
      </c>
      <c r="T83" s="25" t="n">
        <v>1</v>
      </c>
      <c r="U83" s="29"/>
      <c r="V83" s="29"/>
      <c r="W83" s="29"/>
      <c r="X83" s="29"/>
      <c r="Y83" s="29"/>
      <c r="Z83" s="25" t="s">
        <v>3836</v>
      </c>
      <c r="AA83" s="12" t="s">
        <v>3880</v>
      </c>
      <c r="AB83" s="25" t="s">
        <v>86</v>
      </c>
      <c r="AC83" s="22" t="s">
        <v>729</v>
      </c>
    </row>
    <row r="84" customFormat="false" ht="19.5" hidden="false" customHeight="true" outlineLevel="0" collapsed="false">
      <c r="A84" s="27" t="s">
        <v>3913</v>
      </c>
      <c r="B84" s="27" t="s">
        <v>564</v>
      </c>
      <c r="C84" s="9" t="s">
        <v>565</v>
      </c>
      <c r="D84" s="9" t="s">
        <v>566</v>
      </c>
      <c r="E84" s="9" t="s">
        <v>219</v>
      </c>
      <c r="F84" s="27" t="s">
        <v>975</v>
      </c>
      <c r="G84" s="27" t="n">
        <v>2025</v>
      </c>
      <c r="H84" s="27" t="n">
        <v>2</v>
      </c>
      <c r="I84" s="27" t="s">
        <v>3879</v>
      </c>
      <c r="J84" s="20" t="n">
        <v>1</v>
      </c>
      <c r="K84" s="11" t="n">
        <v>2.27</v>
      </c>
      <c r="L84" s="30"/>
      <c r="M84" s="30"/>
      <c r="N84" s="30"/>
      <c r="O84" s="30"/>
      <c r="P84" s="30"/>
      <c r="Q84" s="27" t="n">
        <v>1</v>
      </c>
      <c r="R84" s="27" t="n">
        <v>1</v>
      </c>
      <c r="S84" s="27" t="n">
        <v>1</v>
      </c>
      <c r="T84" s="27" t="n">
        <v>1</v>
      </c>
      <c r="U84" s="30"/>
      <c r="V84" s="30"/>
      <c r="W84" s="30"/>
      <c r="X84" s="30"/>
      <c r="Y84" s="30"/>
      <c r="Z84" s="27" t="s">
        <v>3836</v>
      </c>
      <c r="AA84" s="9" t="s">
        <v>3887</v>
      </c>
      <c r="AB84" s="27" t="s">
        <v>86</v>
      </c>
      <c r="AC84" s="23" t="s">
        <v>197</v>
      </c>
    </row>
    <row r="85" customFormat="false" ht="19.5" hidden="false" customHeight="true" outlineLevel="0" collapsed="false">
      <c r="A85" s="25" t="s">
        <v>3914</v>
      </c>
      <c r="B85" s="25" t="s">
        <v>564</v>
      </c>
      <c r="C85" s="12" t="s">
        <v>565</v>
      </c>
      <c r="D85" s="12" t="s">
        <v>566</v>
      </c>
      <c r="E85" s="12" t="s">
        <v>219</v>
      </c>
      <c r="F85" s="25" t="s">
        <v>1102</v>
      </c>
      <c r="G85" s="25" t="n">
        <v>2025</v>
      </c>
      <c r="H85" s="25" t="n">
        <v>5</v>
      </c>
      <c r="I85" s="25" t="s">
        <v>3879</v>
      </c>
      <c r="J85" s="18" t="n">
        <v>1</v>
      </c>
      <c r="K85" s="14" t="n">
        <v>1.45</v>
      </c>
      <c r="L85" s="29"/>
      <c r="M85" s="29"/>
      <c r="N85" s="29"/>
      <c r="O85" s="29"/>
      <c r="P85" s="14" t="n">
        <v>1.3</v>
      </c>
      <c r="Q85" s="25" t="n">
        <v>1</v>
      </c>
      <c r="R85" s="25" t="n">
        <v>1</v>
      </c>
      <c r="S85" s="25" t="n">
        <v>1</v>
      </c>
      <c r="T85" s="25" t="n">
        <v>0</v>
      </c>
      <c r="U85" s="29"/>
      <c r="V85" s="29"/>
      <c r="W85" s="29"/>
      <c r="X85" s="29"/>
      <c r="Y85" s="29"/>
      <c r="Z85" s="25" t="s">
        <v>3836</v>
      </c>
      <c r="AA85" s="12" t="s">
        <v>3887</v>
      </c>
      <c r="AB85" s="25" t="s">
        <v>86</v>
      </c>
      <c r="AC85" s="22" t="s">
        <v>664</v>
      </c>
    </row>
    <row r="86" customFormat="false" ht="19.5" hidden="false" customHeight="true" outlineLevel="0" collapsed="false">
      <c r="A86" s="27" t="s">
        <v>3915</v>
      </c>
      <c r="B86" s="27" t="s">
        <v>564</v>
      </c>
      <c r="C86" s="9" t="s">
        <v>565</v>
      </c>
      <c r="D86" s="9" t="s">
        <v>566</v>
      </c>
      <c r="E86" s="9" t="s">
        <v>219</v>
      </c>
      <c r="F86" s="27" t="s">
        <v>1117</v>
      </c>
      <c r="G86" s="27" t="n">
        <v>2025</v>
      </c>
      <c r="H86" s="27" t="n">
        <v>5</v>
      </c>
      <c r="I86" s="27" t="s">
        <v>3879</v>
      </c>
      <c r="J86" s="20" t="n">
        <v>1</v>
      </c>
      <c r="K86" s="11" t="n">
        <v>1.3</v>
      </c>
      <c r="L86" s="30"/>
      <c r="M86" s="11" t="n">
        <v>1.45</v>
      </c>
      <c r="N86" s="30"/>
      <c r="O86" s="31" t="n">
        <v>-0.15</v>
      </c>
      <c r="P86" s="11" t="n">
        <v>1.2</v>
      </c>
      <c r="Q86" s="27" t="n">
        <v>1</v>
      </c>
      <c r="R86" s="27" t="n">
        <v>1</v>
      </c>
      <c r="S86" s="27" t="n">
        <v>1</v>
      </c>
      <c r="T86" s="27" t="n">
        <v>0</v>
      </c>
      <c r="U86" s="30"/>
      <c r="V86" s="30"/>
      <c r="W86" s="30"/>
      <c r="X86" s="30"/>
      <c r="Y86" s="30"/>
      <c r="Z86" s="27" t="s">
        <v>3836</v>
      </c>
      <c r="AA86" s="9" t="s">
        <v>3887</v>
      </c>
      <c r="AB86" s="27" t="s">
        <v>86</v>
      </c>
      <c r="AC86" s="23" t="s">
        <v>681</v>
      </c>
    </row>
    <row r="87" customFormat="false" ht="19.5" hidden="false" customHeight="true" outlineLevel="0" collapsed="false">
      <c r="A87" s="25" t="s">
        <v>3916</v>
      </c>
      <c r="B87" s="25" t="s">
        <v>564</v>
      </c>
      <c r="C87" s="12" t="s">
        <v>565</v>
      </c>
      <c r="D87" s="12" t="s">
        <v>566</v>
      </c>
      <c r="E87" s="12" t="s">
        <v>219</v>
      </c>
      <c r="F87" s="25" t="s">
        <v>1132</v>
      </c>
      <c r="G87" s="25" t="n">
        <v>2025</v>
      </c>
      <c r="H87" s="25" t="n">
        <v>5</v>
      </c>
      <c r="I87" s="25" t="s">
        <v>3879</v>
      </c>
      <c r="J87" s="18" t="n">
        <v>1</v>
      </c>
      <c r="K87" s="14" t="n">
        <v>1.2</v>
      </c>
      <c r="L87" s="29"/>
      <c r="M87" s="14" t="n">
        <v>1.3</v>
      </c>
      <c r="N87" s="14" t="n">
        <v>1.45</v>
      </c>
      <c r="O87" s="32" t="n">
        <v>-0.1</v>
      </c>
      <c r="P87" s="14" t="n">
        <v>1</v>
      </c>
      <c r="Q87" s="25" t="n">
        <v>1</v>
      </c>
      <c r="R87" s="25" t="n">
        <v>1</v>
      </c>
      <c r="S87" s="25" t="n">
        <v>1</v>
      </c>
      <c r="T87" s="25" t="n">
        <v>0</v>
      </c>
      <c r="U87" s="29"/>
      <c r="V87" s="29"/>
      <c r="W87" s="29"/>
      <c r="X87" s="29"/>
      <c r="Y87" s="29"/>
      <c r="Z87" s="25" t="s">
        <v>3836</v>
      </c>
      <c r="AA87" s="12" t="s">
        <v>3887</v>
      </c>
      <c r="AB87" s="25" t="s">
        <v>86</v>
      </c>
      <c r="AC87" s="22" t="s">
        <v>697</v>
      </c>
    </row>
    <row r="88" customFormat="false" ht="19.5" hidden="false" customHeight="true" outlineLevel="0" collapsed="false">
      <c r="A88" s="27" t="s">
        <v>3917</v>
      </c>
      <c r="B88" s="27" t="s">
        <v>564</v>
      </c>
      <c r="C88" s="9" t="s">
        <v>565</v>
      </c>
      <c r="D88" s="9" t="s">
        <v>566</v>
      </c>
      <c r="E88" s="9" t="s">
        <v>219</v>
      </c>
      <c r="F88" s="27" t="s">
        <v>1147</v>
      </c>
      <c r="G88" s="27" t="n">
        <v>2025</v>
      </c>
      <c r="H88" s="27" t="n">
        <v>5</v>
      </c>
      <c r="I88" s="27" t="s">
        <v>3879</v>
      </c>
      <c r="J88" s="20" t="n">
        <v>1</v>
      </c>
      <c r="K88" s="11" t="n">
        <v>1</v>
      </c>
      <c r="L88" s="30"/>
      <c r="M88" s="11" t="n">
        <v>1.2</v>
      </c>
      <c r="N88" s="11" t="n">
        <v>1.3</v>
      </c>
      <c r="O88" s="31" t="n">
        <v>-0.2</v>
      </c>
      <c r="P88" s="11" t="n">
        <v>0.9</v>
      </c>
      <c r="Q88" s="27" t="n">
        <v>1</v>
      </c>
      <c r="R88" s="27" t="n">
        <v>1</v>
      </c>
      <c r="S88" s="27" t="n">
        <v>0</v>
      </c>
      <c r="T88" s="27" t="n">
        <v>0</v>
      </c>
      <c r="U88" s="30"/>
      <c r="V88" s="30"/>
      <c r="W88" s="30"/>
      <c r="X88" s="30"/>
      <c r="Y88" s="30"/>
      <c r="Z88" s="27" t="s">
        <v>3836</v>
      </c>
      <c r="AA88" s="9" t="s">
        <v>3887</v>
      </c>
      <c r="AB88" s="27" t="s">
        <v>86</v>
      </c>
      <c r="AC88" s="23" t="s">
        <v>713</v>
      </c>
    </row>
    <row r="89" customFormat="false" ht="19.5" hidden="false" customHeight="true" outlineLevel="0" collapsed="false">
      <c r="A89" s="25" t="s">
        <v>3918</v>
      </c>
      <c r="B89" s="25" t="s">
        <v>564</v>
      </c>
      <c r="C89" s="12" t="s">
        <v>565</v>
      </c>
      <c r="D89" s="12" t="s">
        <v>566</v>
      </c>
      <c r="E89" s="12" t="s">
        <v>219</v>
      </c>
      <c r="F89" s="25" t="s">
        <v>1162</v>
      </c>
      <c r="G89" s="25" t="n">
        <v>2025</v>
      </c>
      <c r="H89" s="25" t="n">
        <v>5</v>
      </c>
      <c r="I89" s="25" t="s">
        <v>3879</v>
      </c>
      <c r="J89" s="18" t="n">
        <v>1</v>
      </c>
      <c r="K89" s="14" t="n">
        <v>0.9</v>
      </c>
      <c r="L89" s="29"/>
      <c r="M89" s="14" t="n">
        <v>1</v>
      </c>
      <c r="N89" s="14" t="n">
        <v>1.2</v>
      </c>
      <c r="O89" s="32" t="n">
        <v>-0.1</v>
      </c>
      <c r="P89" s="29"/>
      <c r="Q89" s="25" t="n">
        <v>1</v>
      </c>
      <c r="R89" s="25" t="n">
        <v>1</v>
      </c>
      <c r="S89" s="25" t="n">
        <v>0</v>
      </c>
      <c r="T89" s="25" t="n">
        <v>0</v>
      </c>
      <c r="U89" s="29"/>
      <c r="V89" s="29"/>
      <c r="W89" s="29"/>
      <c r="X89" s="29"/>
      <c r="Y89" s="29"/>
      <c r="Z89" s="25" t="s">
        <v>3836</v>
      </c>
      <c r="AA89" s="12" t="s">
        <v>3887</v>
      </c>
      <c r="AB89" s="25" t="s">
        <v>86</v>
      </c>
      <c r="AC89" s="22" t="s">
        <v>729</v>
      </c>
    </row>
    <row r="90" customFormat="false" ht="19.5" hidden="false" customHeight="true" outlineLevel="0" collapsed="false">
      <c r="A90" s="27" t="s">
        <v>3919</v>
      </c>
      <c r="B90" s="27" t="s">
        <v>564</v>
      </c>
      <c r="C90" s="9" t="s">
        <v>565</v>
      </c>
      <c r="D90" s="9" t="s">
        <v>566</v>
      </c>
      <c r="E90" s="9" t="s">
        <v>219</v>
      </c>
      <c r="F90" s="27" t="s">
        <v>1177</v>
      </c>
      <c r="G90" s="27" t="n">
        <v>2026</v>
      </c>
      <c r="H90" s="27" t="n">
        <v>2</v>
      </c>
      <c r="I90" s="27" t="s">
        <v>3879</v>
      </c>
      <c r="J90" s="20" t="n">
        <v>1</v>
      </c>
      <c r="K90" s="11" t="n">
        <v>0.73</v>
      </c>
      <c r="L90" s="30"/>
      <c r="M90" s="30"/>
      <c r="N90" s="30"/>
      <c r="O90" s="30"/>
      <c r="P90" s="11" t="n">
        <v>0.95</v>
      </c>
      <c r="Q90" s="27" t="n">
        <v>1</v>
      </c>
      <c r="R90" s="27" t="n">
        <v>1</v>
      </c>
      <c r="S90" s="27" t="n">
        <v>0</v>
      </c>
      <c r="T90" s="27" t="n">
        <v>0</v>
      </c>
      <c r="U90" s="30"/>
      <c r="V90" s="30"/>
      <c r="W90" s="30"/>
      <c r="X90" s="11" t="n">
        <v>0.51</v>
      </c>
      <c r="Y90" s="30"/>
      <c r="Z90" s="27" t="s">
        <v>3836</v>
      </c>
      <c r="AA90" s="9" t="s">
        <v>3894</v>
      </c>
      <c r="AB90" s="27" t="s">
        <v>86</v>
      </c>
      <c r="AC90" s="23" t="s">
        <v>197</v>
      </c>
    </row>
    <row r="91" customFormat="false" ht="19.5" hidden="false" customHeight="true" outlineLevel="0" collapsed="false">
      <c r="A91" s="25" t="s">
        <v>3920</v>
      </c>
      <c r="B91" s="25" t="s">
        <v>564</v>
      </c>
      <c r="C91" s="12" t="s">
        <v>565</v>
      </c>
      <c r="D91" s="12" t="s">
        <v>566</v>
      </c>
      <c r="E91" s="12" t="s">
        <v>219</v>
      </c>
      <c r="F91" s="25" t="s">
        <v>1194</v>
      </c>
      <c r="G91" s="25" t="n">
        <v>2026</v>
      </c>
      <c r="H91" s="25" t="n">
        <v>2</v>
      </c>
      <c r="I91" s="25" t="s">
        <v>3879</v>
      </c>
      <c r="J91" s="18" t="n">
        <v>1</v>
      </c>
      <c r="K91" s="14" t="n">
        <v>0.95</v>
      </c>
      <c r="L91" s="29"/>
      <c r="M91" s="14" t="n">
        <v>0.73</v>
      </c>
      <c r="N91" s="29"/>
      <c r="O91" s="32" t="n">
        <v>0.22</v>
      </c>
      <c r="P91" s="29"/>
      <c r="Q91" s="25" t="n">
        <v>1</v>
      </c>
      <c r="R91" s="25" t="n">
        <v>1</v>
      </c>
      <c r="S91" s="25" t="n">
        <v>0</v>
      </c>
      <c r="T91" s="25" t="n">
        <v>0</v>
      </c>
      <c r="U91" s="14" t="n">
        <v>1.55</v>
      </c>
      <c r="V91" s="29"/>
      <c r="W91" s="29"/>
      <c r="X91" s="14" t="n">
        <v>0.485</v>
      </c>
      <c r="Y91" s="29"/>
      <c r="Z91" s="25" t="s">
        <v>2931</v>
      </c>
      <c r="AA91" s="12" t="s">
        <v>3894</v>
      </c>
      <c r="AB91" s="25" t="s">
        <v>86</v>
      </c>
      <c r="AC91" s="22" t="s">
        <v>197</v>
      </c>
    </row>
    <row r="92" customFormat="false" ht="19.5" hidden="false" customHeight="true" outlineLevel="0" collapsed="false">
      <c r="A92" s="27" t="s">
        <v>3921</v>
      </c>
      <c r="B92" s="27" t="s">
        <v>564</v>
      </c>
      <c r="C92" s="9" t="s">
        <v>565</v>
      </c>
      <c r="D92" s="9" t="s">
        <v>566</v>
      </c>
      <c r="E92" s="9" t="s">
        <v>219</v>
      </c>
      <c r="F92" s="27" t="s">
        <v>1231</v>
      </c>
      <c r="G92" s="27" t="n">
        <v>2026</v>
      </c>
      <c r="H92" s="27" t="n">
        <v>5</v>
      </c>
      <c r="I92" s="27" t="s">
        <v>3879</v>
      </c>
      <c r="J92" s="20" t="n">
        <v>1</v>
      </c>
      <c r="K92" s="11" t="n">
        <v>0.7</v>
      </c>
      <c r="L92" s="30"/>
      <c r="M92" s="30"/>
      <c r="N92" s="30"/>
      <c r="O92" s="30"/>
      <c r="P92" s="11" t="n">
        <v>0.66</v>
      </c>
      <c r="Q92" s="27" t="n">
        <v>1</v>
      </c>
      <c r="R92" s="27" t="n">
        <v>0</v>
      </c>
      <c r="S92" s="27" t="n">
        <v>0</v>
      </c>
      <c r="T92" s="27" t="n">
        <v>0</v>
      </c>
      <c r="U92" s="30"/>
      <c r="V92" s="30"/>
      <c r="W92" s="30"/>
      <c r="X92" s="11" t="n">
        <v>0.12</v>
      </c>
      <c r="Y92" s="30"/>
      <c r="Z92" s="27" t="s">
        <v>2939</v>
      </c>
      <c r="AA92" s="9" t="s">
        <v>3894</v>
      </c>
      <c r="AB92" s="27" t="s">
        <v>86</v>
      </c>
      <c r="AC92" s="23" t="s">
        <v>664</v>
      </c>
    </row>
    <row r="93" customFormat="false" ht="19.5" hidden="false" customHeight="true" outlineLevel="0" collapsed="false">
      <c r="A93" s="25" t="s">
        <v>3922</v>
      </c>
      <c r="B93" s="25" t="s">
        <v>564</v>
      </c>
      <c r="C93" s="12" t="s">
        <v>565</v>
      </c>
      <c r="D93" s="12" t="s">
        <v>566</v>
      </c>
      <c r="E93" s="12" t="s">
        <v>219</v>
      </c>
      <c r="F93" s="25" t="s">
        <v>1246</v>
      </c>
      <c r="G93" s="25" t="n">
        <v>2026</v>
      </c>
      <c r="H93" s="25" t="n">
        <v>5</v>
      </c>
      <c r="I93" s="25" t="s">
        <v>3879</v>
      </c>
      <c r="J93" s="18" t="n">
        <v>1</v>
      </c>
      <c r="K93" s="14" t="n">
        <v>0.66</v>
      </c>
      <c r="L93" s="29"/>
      <c r="M93" s="14" t="n">
        <v>0.7</v>
      </c>
      <c r="N93" s="29"/>
      <c r="O93" s="32" t="n">
        <v>-0.04</v>
      </c>
      <c r="P93" s="14" t="n">
        <v>0.65</v>
      </c>
      <c r="Q93" s="25" t="n">
        <v>1</v>
      </c>
      <c r="R93" s="25" t="n">
        <v>0</v>
      </c>
      <c r="S93" s="25" t="n">
        <v>0</v>
      </c>
      <c r="T93" s="25" t="n">
        <v>0</v>
      </c>
      <c r="U93" s="29"/>
      <c r="V93" s="29"/>
      <c r="W93" s="29"/>
      <c r="X93" s="14" t="n">
        <v>0.13</v>
      </c>
      <c r="Y93" s="29"/>
      <c r="Z93" s="25" t="s">
        <v>2939</v>
      </c>
      <c r="AA93" s="12" t="s">
        <v>3894</v>
      </c>
      <c r="AB93" s="25" t="s">
        <v>86</v>
      </c>
      <c r="AC93" s="22" t="s">
        <v>664</v>
      </c>
    </row>
    <row r="94" customFormat="false" ht="19.5" hidden="false" customHeight="true" outlineLevel="0" collapsed="false">
      <c r="A94" s="27" t="s">
        <v>3923</v>
      </c>
      <c r="B94" s="27" t="s">
        <v>564</v>
      </c>
      <c r="C94" s="9" t="s">
        <v>565</v>
      </c>
      <c r="D94" s="9" t="s">
        <v>566</v>
      </c>
      <c r="E94" s="9" t="s">
        <v>219</v>
      </c>
      <c r="F94" s="27" t="s">
        <v>1261</v>
      </c>
      <c r="G94" s="27" t="n">
        <v>2026</v>
      </c>
      <c r="H94" s="27" t="n">
        <v>5</v>
      </c>
      <c r="I94" s="27" t="s">
        <v>3879</v>
      </c>
      <c r="J94" s="20" t="n">
        <v>1</v>
      </c>
      <c r="K94" s="11" t="n">
        <v>0.65</v>
      </c>
      <c r="L94" s="30"/>
      <c r="M94" s="11" t="n">
        <v>0.66</v>
      </c>
      <c r="N94" s="11" t="n">
        <v>0.7</v>
      </c>
      <c r="O94" s="31" t="n">
        <v>-0.01</v>
      </c>
      <c r="P94" s="11" t="n">
        <v>0.56</v>
      </c>
      <c r="Q94" s="27" t="n">
        <v>1</v>
      </c>
      <c r="R94" s="27" t="n">
        <v>0</v>
      </c>
      <c r="S94" s="27" t="n">
        <v>0</v>
      </c>
      <c r="T94" s="27" t="n">
        <v>0</v>
      </c>
      <c r="U94" s="30"/>
      <c r="V94" s="30"/>
      <c r="W94" s="30"/>
      <c r="X94" s="11" t="n">
        <v>0.145</v>
      </c>
      <c r="Y94" s="30"/>
      <c r="Z94" s="27" t="s">
        <v>2939</v>
      </c>
      <c r="AA94" s="9" t="s">
        <v>3894</v>
      </c>
      <c r="AB94" s="27" t="s">
        <v>86</v>
      </c>
      <c r="AC94" s="23" t="s">
        <v>681</v>
      </c>
    </row>
    <row r="95" customFormat="false" ht="19.5" hidden="false" customHeight="true" outlineLevel="0" collapsed="false">
      <c r="A95" s="25" t="s">
        <v>3924</v>
      </c>
      <c r="B95" s="25" t="s">
        <v>564</v>
      </c>
      <c r="C95" s="12" t="s">
        <v>565</v>
      </c>
      <c r="D95" s="12" t="s">
        <v>566</v>
      </c>
      <c r="E95" s="12" t="s">
        <v>219</v>
      </c>
      <c r="F95" s="25" t="s">
        <v>1276</v>
      </c>
      <c r="G95" s="25" t="n">
        <v>2026</v>
      </c>
      <c r="H95" s="25" t="n">
        <v>5</v>
      </c>
      <c r="I95" s="25" t="s">
        <v>3879</v>
      </c>
      <c r="J95" s="18" t="n">
        <v>1</v>
      </c>
      <c r="K95" s="14" t="n">
        <v>0.56</v>
      </c>
      <c r="L95" s="29"/>
      <c r="M95" s="14" t="n">
        <v>0.65</v>
      </c>
      <c r="N95" s="14" t="n">
        <v>0.66</v>
      </c>
      <c r="O95" s="32" t="n">
        <v>-0.09</v>
      </c>
      <c r="P95" s="14" t="n">
        <v>0.62</v>
      </c>
      <c r="Q95" s="25" t="n">
        <v>1</v>
      </c>
      <c r="R95" s="25" t="n">
        <v>0</v>
      </c>
      <c r="S95" s="25" t="n">
        <v>0</v>
      </c>
      <c r="T95" s="25" t="n">
        <v>0</v>
      </c>
      <c r="U95" s="29"/>
      <c r="V95" s="29"/>
      <c r="W95" s="29"/>
      <c r="X95" s="14" t="n">
        <v>0.16</v>
      </c>
      <c r="Y95" s="29"/>
      <c r="Z95" s="25" t="s">
        <v>2939</v>
      </c>
      <c r="AA95" s="12" t="s">
        <v>3894</v>
      </c>
      <c r="AB95" s="25" t="s">
        <v>86</v>
      </c>
      <c r="AC95" s="22" t="s">
        <v>697</v>
      </c>
    </row>
    <row r="96" customFormat="false" ht="19.5" hidden="false" customHeight="true" outlineLevel="0" collapsed="false">
      <c r="A96" s="27" t="s">
        <v>3925</v>
      </c>
      <c r="B96" s="27" t="s">
        <v>564</v>
      </c>
      <c r="C96" s="9" t="s">
        <v>565</v>
      </c>
      <c r="D96" s="9" t="s">
        <v>566</v>
      </c>
      <c r="E96" s="9" t="s">
        <v>219</v>
      </c>
      <c r="F96" s="27" t="s">
        <v>1291</v>
      </c>
      <c r="G96" s="27" t="n">
        <v>2026</v>
      </c>
      <c r="H96" s="27" t="n">
        <v>5</v>
      </c>
      <c r="I96" s="27" t="s">
        <v>3879</v>
      </c>
      <c r="J96" s="20" t="n">
        <v>1</v>
      </c>
      <c r="K96" s="11" t="n">
        <v>0.62</v>
      </c>
      <c r="L96" s="30"/>
      <c r="M96" s="11" t="n">
        <v>0.56</v>
      </c>
      <c r="N96" s="11" t="n">
        <v>0.65</v>
      </c>
      <c r="O96" s="31" t="n">
        <v>0.06</v>
      </c>
      <c r="P96" s="11" t="n">
        <v>0.56</v>
      </c>
      <c r="Q96" s="27" t="n">
        <v>1</v>
      </c>
      <c r="R96" s="27" t="n">
        <v>0</v>
      </c>
      <c r="S96" s="27" t="n">
        <v>0</v>
      </c>
      <c r="T96" s="27" t="n">
        <v>0</v>
      </c>
      <c r="U96" s="30"/>
      <c r="V96" s="30"/>
      <c r="W96" s="30"/>
      <c r="X96" s="11" t="n">
        <v>0.18</v>
      </c>
      <c r="Y96" s="30"/>
      <c r="Z96" s="27" t="s">
        <v>2939</v>
      </c>
      <c r="AA96" s="9" t="s">
        <v>3894</v>
      </c>
      <c r="AB96" s="27" t="s">
        <v>86</v>
      </c>
      <c r="AC96" s="23" t="s">
        <v>713</v>
      </c>
    </row>
    <row r="97" customFormat="false" ht="19.5" hidden="false" customHeight="true" outlineLevel="0" collapsed="false">
      <c r="A97" s="25" t="s">
        <v>3926</v>
      </c>
      <c r="B97" s="25" t="s">
        <v>564</v>
      </c>
      <c r="C97" s="12" t="s">
        <v>565</v>
      </c>
      <c r="D97" s="12" t="s">
        <v>566</v>
      </c>
      <c r="E97" s="12" t="s">
        <v>219</v>
      </c>
      <c r="F97" s="25" t="s">
        <v>1306</v>
      </c>
      <c r="G97" s="25" t="n">
        <v>2026</v>
      </c>
      <c r="H97" s="25" t="n">
        <v>5</v>
      </c>
      <c r="I97" s="25" t="s">
        <v>3879</v>
      </c>
      <c r="J97" s="18" t="n">
        <v>1</v>
      </c>
      <c r="K97" s="14" t="n">
        <v>0.56</v>
      </c>
      <c r="L97" s="29"/>
      <c r="M97" s="14" t="n">
        <v>0.62</v>
      </c>
      <c r="N97" s="14" t="n">
        <v>0.56</v>
      </c>
      <c r="O97" s="32" t="n">
        <v>-0.06</v>
      </c>
      <c r="P97" s="29"/>
      <c r="Q97" s="25" t="n">
        <v>1</v>
      </c>
      <c r="R97" s="25" t="n">
        <v>0</v>
      </c>
      <c r="S97" s="25" t="n">
        <v>0</v>
      </c>
      <c r="T97" s="25" t="n">
        <v>0</v>
      </c>
      <c r="U97" s="29"/>
      <c r="V97" s="29"/>
      <c r="W97" s="29"/>
      <c r="X97" s="14" t="n">
        <v>0.205</v>
      </c>
      <c r="Y97" s="29"/>
      <c r="Z97" s="25" t="s">
        <v>2939</v>
      </c>
      <c r="AA97" s="12" t="s">
        <v>3894</v>
      </c>
      <c r="AB97" s="25" t="s">
        <v>86</v>
      </c>
      <c r="AC97" s="22" t="s">
        <v>729</v>
      </c>
    </row>
    <row r="98" customFormat="false" ht="19.5" hidden="false" customHeight="true" outlineLevel="0" collapsed="false">
      <c r="A98" s="27" t="s">
        <v>3927</v>
      </c>
      <c r="B98" s="27" t="s">
        <v>233</v>
      </c>
      <c r="C98" s="9" t="s">
        <v>234</v>
      </c>
      <c r="D98" s="9" t="s">
        <v>235</v>
      </c>
      <c r="E98" s="9" t="s">
        <v>236</v>
      </c>
      <c r="F98" s="27" t="s">
        <v>1323</v>
      </c>
      <c r="G98" s="27" t="n">
        <v>2026</v>
      </c>
      <c r="H98" s="27" t="n">
        <v>9</v>
      </c>
      <c r="I98" s="27" t="s">
        <v>3827</v>
      </c>
      <c r="J98" s="20" t="n">
        <v>2</v>
      </c>
      <c r="K98" s="11" t="n">
        <v>1.1</v>
      </c>
      <c r="L98" s="30"/>
      <c r="M98" s="30"/>
      <c r="N98" s="30"/>
      <c r="O98" s="30"/>
      <c r="P98" s="11" t="n">
        <v>1</v>
      </c>
      <c r="Q98" s="27" t="n">
        <v>1</v>
      </c>
      <c r="R98" s="27" t="n">
        <v>1</v>
      </c>
      <c r="S98" s="27" t="n">
        <v>1</v>
      </c>
      <c r="T98" s="27" t="n">
        <v>0</v>
      </c>
      <c r="U98" s="30"/>
      <c r="V98" s="30"/>
      <c r="W98" s="30"/>
      <c r="X98" s="30"/>
      <c r="Y98" s="30"/>
      <c r="Z98" s="27" t="s">
        <v>3836</v>
      </c>
      <c r="AA98" s="9" t="s">
        <v>3828</v>
      </c>
      <c r="AB98" s="27" t="s">
        <v>86</v>
      </c>
      <c r="AC98" s="23" t="s">
        <v>1326</v>
      </c>
    </row>
    <row r="99" customFormat="false" ht="19.5" hidden="false" customHeight="true" outlineLevel="0" collapsed="false">
      <c r="A99" s="25" t="s">
        <v>3928</v>
      </c>
      <c r="B99" s="25" t="s">
        <v>233</v>
      </c>
      <c r="C99" s="12" t="s">
        <v>234</v>
      </c>
      <c r="D99" s="12" t="s">
        <v>235</v>
      </c>
      <c r="E99" s="12" t="s">
        <v>236</v>
      </c>
      <c r="F99" s="25" t="s">
        <v>1353</v>
      </c>
      <c r="G99" s="25" t="n">
        <v>2026</v>
      </c>
      <c r="H99" s="25" t="n">
        <v>9</v>
      </c>
      <c r="I99" s="25" t="s">
        <v>3827</v>
      </c>
      <c r="J99" s="18" t="n">
        <v>2</v>
      </c>
      <c r="K99" s="14" t="n">
        <v>1</v>
      </c>
      <c r="L99" s="29"/>
      <c r="M99" s="14" t="n">
        <v>1.1</v>
      </c>
      <c r="N99" s="29"/>
      <c r="O99" s="32" t="n">
        <v>-0.1</v>
      </c>
      <c r="P99" s="14" t="n">
        <v>0.9</v>
      </c>
      <c r="Q99" s="25" t="n">
        <v>1</v>
      </c>
      <c r="R99" s="25" t="n">
        <v>1</v>
      </c>
      <c r="S99" s="25" t="n">
        <v>0</v>
      </c>
      <c r="T99" s="25" t="n">
        <v>0</v>
      </c>
      <c r="U99" s="14" t="n">
        <v>1.02</v>
      </c>
      <c r="V99" s="14" t="n">
        <v>-1.04</v>
      </c>
      <c r="W99" s="14" t="n">
        <v>2.06</v>
      </c>
      <c r="X99" s="29"/>
      <c r="Y99" s="29"/>
      <c r="Z99" s="25" t="s">
        <v>3836</v>
      </c>
      <c r="AA99" s="12" t="s">
        <v>3828</v>
      </c>
      <c r="AB99" s="25" t="s">
        <v>86</v>
      </c>
      <c r="AC99" s="22" t="s">
        <v>1326</v>
      </c>
    </row>
    <row r="100" customFormat="false" ht="19.5" hidden="false" customHeight="true" outlineLevel="0" collapsed="false">
      <c r="A100" s="27" t="s">
        <v>3929</v>
      </c>
      <c r="B100" s="27" t="s">
        <v>233</v>
      </c>
      <c r="C100" s="9" t="s">
        <v>234</v>
      </c>
      <c r="D100" s="9" t="s">
        <v>235</v>
      </c>
      <c r="E100" s="9" t="s">
        <v>236</v>
      </c>
      <c r="F100" s="27" t="s">
        <v>1374</v>
      </c>
      <c r="G100" s="27" t="n">
        <v>2026</v>
      </c>
      <c r="H100" s="27" t="n">
        <v>9</v>
      </c>
      <c r="I100" s="27" t="s">
        <v>3827</v>
      </c>
      <c r="J100" s="20" t="n">
        <v>3</v>
      </c>
      <c r="K100" s="11" t="n">
        <v>0.9</v>
      </c>
      <c r="L100" s="11" t="n">
        <v>0.9</v>
      </c>
      <c r="M100" s="11" t="n">
        <v>1</v>
      </c>
      <c r="N100" s="11" t="n">
        <v>1.1</v>
      </c>
      <c r="O100" s="31" t="n">
        <v>-0.1</v>
      </c>
      <c r="P100" s="11" t="n">
        <v>0.7</v>
      </c>
      <c r="Q100" s="27" t="n">
        <v>1</v>
      </c>
      <c r="R100" s="27" t="n">
        <v>1</v>
      </c>
      <c r="S100" s="27" t="n">
        <v>0</v>
      </c>
      <c r="T100" s="27" t="n">
        <v>0</v>
      </c>
      <c r="U100" s="11" t="n">
        <v>0.96</v>
      </c>
      <c r="V100" s="11" t="n">
        <v>-1.01</v>
      </c>
      <c r="W100" s="11" t="n">
        <v>1.97</v>
      </c>
      <c r="X100" s="11" t="n">
        <v>0.34</v>
      </c>
      <c r="Y100" s="10" t="n">
        <v>1.4</v>
      </c>
      <c r="Z100" s="27" t="s">
        <v>3836</v>
      </c>
      <c r="AA100" s="9" t="s">
        <v>3828</v>
      </c>
      <c r="AB100" s="27" t="s">
        <v>86</v>
      </c>
      <c r="AC100" s="23" t="s">
        <v>1383</v>
      </c>
    </row>
    <row r="101" customFormat="false" ht="19.5" hidden="false" customHeight="true" outlineLevel="0" collapsed="false">
      <c r="A101" s="25" t="s">
        <v>3930</v>
      </c>
      <c r="B101" s="25" t="s">
        <v>233</v>
      </c>
      <c r="C101" s="12" t="s">
        <v>234</v>
      </c>
      <c r="D101" s="12" t="s">
        <v>235</v>
      </c>
      <c r="E101" s="12" t="s">
        <v>236</v>
      </c>
      <c r="F101" s="25" t="s">
        <v>1400</v>
      </c>
      <c r="G101" s="25" t="n">
        <v>2026</v>
      </c>
      <c r="H101" s="25" t="n">
        <v>9</v>
      </c>
      <c r="I101" s="25" t="s">
        <v>3827</v>
      </c>
      <c r="J101" s="18" t="n">
        <v>3</v>
      </c>
      <c r="K101" s="14" t="n">
        <v>0.7</v>
      </c>
      <c r="L101" s="14" t="n">
        <v>0.6</v>
      </c>
      <c r="M101" s="14" t="n">
        <v>0.9</v>
      </c>
      <c r="N101" s="14" t="n">
        <v>1</v>
      </c>
      <c r="O101" s="32" t="n">
        <v>-0.2</v>
      </c>
      <c r="P101" s="14" t="n">
        <v>0.7</v>
      </c>
      <c r="Q101" s="25" t="n">
        <v>1</v>
      </c>
      <c r="R101" s="25" t="n">
        <v>0</v>
      </c>
      <c r="S101" s="25" t="n">
        <v>0</v>
      </c>
      <c r="T101" s="25" t="n">
        <v>0</v>
      </c>
      <c r="U101" s="14" t="n">
        <v>0.3</v>
      </c>
      <c r="V101" s="14" t="n">
        <v>-0.98</v>
      </c>
      <c r="W101" s="14" t="n">
        <v>1.28</v>
      </c>
      <c r="X101" s="14" t="n">
        <v>0.3</v>
      </c>
      <c r="Y101" s="13" t="n">
        <v>0.6</v>
      </c>
      <c r="Z101" s="25" t="s">
        <v>3836</v>
      </c>
      <c r="AA101" s="12" t="s">
        <v>3828</v>
      </c>
      <c r="AB101" s="25" t="s">
        <v>86</v>
      </c>
      <c r="AC101" s="22" t="s">
        <v>1383</v>
      </c>
    </row>
    <row r="102" customFormat="false" ht="19.5" hidden="false" customHeight="true" outlineLevel="0" collapsed="false">
      <c r="A102" s="27" t="s">
        <v>3931</v>
      </c>
      <c r="B102" s="27" t="s">
        <v>233</v>
      </c>
      <c r="C102" s="9" t="s">
        <v>234</v>
      </c>
      <c r="D102" s="9" t="s">
        <v>235</v>
      </c>
      <c r="E102" s="9" t="s">
        <v>236</v>
      </c>
      <c r="F102" s="27" t="s">
        <v>1419</v>
      </c>
      <c r="G102" s="27" t="n">
        <v>2026</v>
      </c>
      <c r="H102" s="27" t="n">
        <v>9</v>
      </c>
      <c r="I102" s="27" t="s">
        <v>3827</v>
      </c>
      <c r="J102" s="20" t="n">
        <v>2</v>
      </c>
      <c r="K102" s="11" t="n">
        <v>0.7</v>
      </c>
      <c r="L102" s="11" t="n">
        <v>0.3</v>
      </c>
      <c r="M102" s="11" t="n">
        <v>0.7</v>
      </c>
      <c r="N102" s="11" t="n">
        <v>0.9</v>
      </c>
      <c r="O102" s="31" t="n">
        <v>0</v>
      </c>
      <c r="P102" s="30"/>
      <c r="Q102" s="27" t="n">
        <v>1</v>
      </c>
      <c r="R102" s="27" t="n">
        <v>0</v>
      </c>
      <c r="S102" s="27" t="n">
        <v>0</v>
      </c>
      <c r="T102" s="27" t="n">
        <v>0</v>
      </c>
      <c r="U102" s="11" t="n">
        <v>0.97</v>
      </c>
      <c r="V102" s="11" t="n">
        <v>0.97</v>
      </c>
      <c r="W102" s="11" t="n">
        <v>0</v>
      </c>
      <c r="X102" s="11" t="n">
        <v>0.37</v>
      </c>
      <c r="Y102" s="10" t="n">
        <v>0.6</v>
      </c>
      <c r="Z102" s="27" t="s">
        <v>3836</v>
      </c>
      <c r="AA102" s="9" t="s">
        <v>3828</v>
      </c>
      <c r="AB102" s="27" t="s">
        <v>86</v>
      </c>
      <c r="AC102" s="23" t="s">
        <v>1376</v>
      </c>
    </row>
    <row r="103" customFormat="false" ht="19.5" hidden="false" customHeight="true" outlineLevel="0" collapsed="false">
      <c r="A103" s="25" t="s">
        <v>3932</v>
      </c>
      <c r="B103" s="25" t="s">
        <v>233</v>
      </c>
      <c r="C103" s="12" t="s">
        <v>234</v>
      </c>
      <c r="D103" s="12" t="s">
        <v>235</v>
      </c>
      <c r="E103" s="12" t="s">
        <v>236</v>
      </c>
      <c r="F103" s="25" t="s">
        <v>1435</v>
      </c>
      <c r="G103" s="25" t="n">
        <v>2026</v>
      </c>
      <c r="H103" s="25" t="n">
        <v>10</v>
      </c>
      <c r="I103" s="25" t="s">
        <v>3827</v>
      </c>
      <c r="J103" s="18" t="n">
        <v>1</v>
      </c>
      <c r="K103" s="14" t="n">
        <v>0.8</v>
      </c>
      <c r="L103" s="29"/>
      <c r="M103" s="29"/>
      <c r="N103" s="29"/>
      <c r="O103" s="29"/>
      <c r="P103" s="14" t="n">
        <v>1.1</v>
      </c>
      <c r="Q103" s="25" t="n">
        <v>1</v>
      </c>
      <c r="R103" s="25" t="n">
        <v>1</v>
      </c>
      <c r="S103" s="25" t="n">
        <v>0</v>
      </c>
      <c r="T103" s="25" t="n">
        <v>0</v>
      </c>
      <c r="U103" s="29"/>
      <c r="V103" s="29"/>
      <c r="W103" s="29"/>
      <c r="X103" s="29"/>
      <c r="Y103" s="29"/>
      <c r="Z103" s="25" t="s">
        <v>3836</v>
      </c>
      <c r="AA103" s="12" t="s">
        <v>3832</v>
      </c>
      <c r="AB103" s="25" t="s">
        <v>86</v>
      </c>
      <c r="AC103" s="22" t="s">
        <v>1437</v>
      </c>
    </row>
    <row r="104" customFormat="false" ht="19.5" hidden="false" customHeight="true" outlineLevel="0" collapsed="false">
      <c r="A104" s="27" t="s">
        <v>3933</v>
      </c>
      <c r="B104" s="27" t="s">
        <v>233</v>
      </c>
      <c r="C104" s="9" t="s">
        <v>234</v>
      </c>
      <c r="D104" s="9" t="s">
        <v>235</v>
      </c>
      <c r="E104" s="9" t="s">
        <v>236</v>
      </c>
      <c r="F104" s="27" t="s">
        <v>1450</v>
      </c>
      <c r="G104" s="27" t="n">
        <v>2026</v>
      </c>
      <c r="H104" s="27" t="n">
        <v>10</v>
      </c>
      <c r="I104" s="27" t="s">
        <v>3827</v>
      </c>
      <c r="J104" s="20" t="n">
        <v>2</v>
      </c>
      <c r="K104" s="11" t="n">
        <v>1.1</v>
      </c>
      <c r="L104" s="30"/>
      <c r="M104" s="11" t="n">
        <v>0.8</v>
      </c>
      <c r="N104" s="30"/>
      <c r="O104" s="31" t="n">
        <v>0.3</v>
      </c>
      <c r="P104" s="11" t="n">
        <v>1.2</v>
      </c>
      <c r="Q104" s="27" t="n">
        <v>1</v>
      </c>
      <c r="R104" s="27" t="n">
        <v>1</v>
      </c>
      <c r="S104" s="27" t="n">
        <v>1</v>
      </c>
      <c r="T104" s="27" t="n">
        <v>0</v>
      </c>
      <c r="U104" s="11" t="n">
        <v>1.22</v>
      </c>
      <c r="V104" s="11" t="n">
        <v>-1.05</v>
      </c>
      <c r="W104" s="11" t="n">
        <v>2.27</v>
      </c>
      <c r="X104" s="30"/>
      <c r="Y104" s="30"/>
      <c r="Z104" s="27" t="s">
        <v>3836</v>
      </c>
      <c r="AA104" s="9" t="s">
        <v>3832</v>
      </c>
      <c r="AB104" s="27" t="s">
        <v>86</v>
      </c>
      <c r="AC104" s="23" t="s">
        <v>1437</v>
      </c>
    </row>
    <row r="105" customFormat="false" ht="19.5" hidden="false" customHeight="true" outlineLevel="0" collapsed="false">
      <c r="A105" s="25" t="s">
        <v>3934</v>
      </c>
      <c r="B105" s="25" t="s">
        <v>233</v>
      </c>
      <c r="C105" s="12" t="s">
        <v>234</v>
      </c>
      <c r="D105" s="12" t="s">
        <v>235</v>
      </c>
      <c r="E105" s="12" t="s">
        <v>236</v>
      </c>
      <c r="F105" s="25" t="s">
        <v>1469</v>
      </c>
      <c r="G105" s="25" t="n">
        <v>2026</v>
      </c>
      <c r="H105" s="25" t="n">
        <v>10</v>
      </c>
      <c r="I105" s="25" t="s">
        <v>3827</v>
      </c>
      <c r="J105" s="18" t="n">
        <v>3</v>
      </c>
      <c r="K105" s="14" t="n">
        <v>1.2</v>
      </c>
      <c r="L105" s="14" t="n">
        <v>0.3</v>
      </c>
      <c r="M105" s="14" t="n">
        <v>1.1</v>
      </c>
      <c r="N105" s="14" t="n">
        <v>0.8</v>
      </c>
      <c r="O105" s="32" t="n">
        <v>0.1</v>
      </c>
      <c r="P105" s="14" t="n">
        <v>1.3</v>
      </c>
      <c r="Q105" s="25" t="n">
        <v>1</v>
      </c>
      <c r="R105" s="25" t="n">
        <v>1</v>
      </c>
      <c r="S105" s="25" t="n">
        <v>1</v>
      </c>
      <c r="T105" s="25" t="n">
        <v>0</v>
      </c>
      <c r="U105" s="14" t="n">
        <v>1.51</v>
      </c>
      <c r="V105" s="14" t="n">
        <v>-0.78</v>
      </c>
      <c r="W105" s="14" t="n">
        <v>2.29</v>
      </c>
      <c r="X105" s="14" t="n">
        <v>0.04</v>
      </c>
      <c r="Y105" s="13" t="n">
        <v>16.2</v>
      </c>
      <c r="Z105" s="25" t="s">
        <v>2908</v>
      </c>
      <c r="AA105" s="12" t="s">
        <v>3832</v>
      </c>
      <c r="AB105" s="25" t="s">
        <v>86</v>
      </c>
      <c r="AC105" s="22" t="s">
        <v>1476</v>
      </c>
    </row>
    <row r="106" customFormat="false" ht="19.5" hidden="false" customHeight="true" outlineLevel="0" collapsed="false">
      <c r="A106" s="27" t="s">
        <v>3935</v>
      </c>
      <c r="B106" s="27" t="s">
        <v>233</v>
      </c>
      <c r="C106" s="9" t="s">
        <v>234</v>
      </c>
      <c r="D106" s="9" t="s">
        <v>235</v>
      </c>
      <c r="E106" s="9" t="s">
        <v>236</v>
      </c>
      <c r="F106" s="27" t="s">
        <v>1490</v>
      </c>
      <c r="G106" s="27" t="n">
        <v>2026</v>
      </c>
      <c r="H106" s="27" t="n">
        <v>10</v>
      </c>
      <c r="I106" s="27" t="s">
        <v>3827</v>
      </c>
      <c r="J106" s="20" t="n">
        <v>3</v>
      </c>
      <c r="K106" s="11" t="n">
        <v>1.3</v>
      </c>
      <c r="L106" s="11" t="n">
        <v>0.4</v>
      </c>
      <c r="M106" s="11" t="n">
        <v>1.2</v>
      </c>
      <c r="N106" s="11" t="n">
        <v>1.1</v>
      </c>
      <c r="O106" s="31" t="n">
        <v>0.1</v>
      </c>
      <c r="P106" s="11" t="n">
        <v>1.4</v>
      </c>
      <c r="Q106" s="27" t="n">
        <v>1</v>
      </c>
      <c r="R106" s="27" t="n">
        <v>1</v>
      </c>
      <c r="S106" s="27" t="n">
        <v>1</v>
      </c>
      <c r="T106" s="27" t="n">
        <v>0</v>
      </c>
      <c r="U106" s="11" t="n">
        <v>1.85</v>
      </c>
      <c r="V106" s="11" t="n">
        <v>-0.59</v>
      </c>
      <c r="W106" s="11" t="n">
        <v>2.44</v>
      </c>
      <c r="X106" s="11" t="n">
        <v>0.4</v>
      </c>
      <c r="Y106" s="10" t="n">
        <v>0</v>
      </c>
      <c r="Z106" s="27" t="s">
        <v>3836</v>
      </c>
      <c r="AA106" s="9" t="s">
        <v>3832</v>
      </c>
      <c r="AB106" s="27" t="s">
        <v>86</v>
      </c>
      <c r="AC106" s="23" t="s">
        <v>1497</v>
      </c>
    </row>
    <row r="107" customFormat="false" ht="19.5" hidden="false" customHeight="true" outlineLevel="0" collapsed="false">
      <c r="A107" s="25" t="s">
        <v>3936</v>
      </c>
      <c r="B107" s="25" t="s">
        <v>233</v>
      </c>
      <c r="C107" s="12" t="s">
        <v>234</v>
      </c>
      <c r="D107" s="12" t="s">
        <v>235</v>
      </c>
      <c r="E107" s="12" t="s">
        <v>236</v>
      </c>
      <c r="F107" s="25" t="s">
        <v>1510</v>
      </c>
      <c r="G107" s="25" t="n">
        <v>2026</v>
      </c>
      <c r="H107" s="25" t="n">
        <v>10</v>
      </c>
      <c r="I107" s="25" t="s">
        <v>3827</v>
      </c>
      <c r="J107" s="18" t="n">
        <v>3</v>
      </c>
      <c r="K107" s="14" t="n">
        <v>1.4</v>
      </c>
      <c r="L107" s="14" t="n">
        <v>0</v>
      </c>
      <c r="M107" s="14" t="n">
        <v>1.3</v>
      </c>
      <c r="N107" s="14" t="n">
        <v>1.2</v>
      </c>
      <c r="O107" s="32" t="n">
        <v>0.1</v>
      </c>
      <c r="P107" s="14" t="n">
        <v>1.2</v>
      </c>
      <c r="Q107" s="25" t="n">
        <v>1</v>
      </c>
      <c r="R107" s="25" t="n">
        <v>1</v>
      </c>
      <c r="S107" s="25" t="n">
        <v>1</v>
      </c>
      <c r="T107" s="25" t="n">
        <v>0</v>
      </c>
      <c r="U107" s="14" t="n">
        <v>1.87</v>
      </c>
      <c r="V107" s="14" t="n">
        <v>-0.82</v>
      </c>
      <c r="W107" s="14" t="n">
        <v>2.69</v>
      </c>
      <c r="X107" s="14" t="n">
        <v>0.4</v>
      </c>
      <c r="Y107" s="13" t="n">
        <v>0</v>
      </c>
      <c r="Z107" s="25" t="s">
        <v>3836</v>
      </c>
      <c r="AA107" s="12" t="s">
        <v>3832</v>
      </c>
      <c r="AB107" s="25" t="s">
        <v>86</v>
      </c>
      <c r="AC107" s="22" t="s">
        <v>1517</v>
      </c>
    </row>
    <row r="108" customFormat="false" ht="19.5" hidden="false" customHeight="true" outlineLevel="0" collapsed="false">
      <c r="A108" s="27" t="s">
        <v>3937</v>
      </c>
      <c r="B108" s="27" t="s">
        <v>233</v>
      </c>
      <c r="C108" s="9" t="s">
        <v>234</v>
      </c>
      <c r="D108" s="9" t="s">
        <v>235</v>
      </c>
      <c r="E108" s="9" t="s">
        <v>236</v>
      </c>
      <c r="F108" s="27" t="s">
        <v>1532</v>
      </c>
      <c r="G108" s="27" t="n">
        <v>2026</v>
      </c>
      <c r="H108" s="27" t="n">
        <v>10</v>
      </c>
      <c r="I108" s="27" t="s">
        <v>3827</v>
      </c>
      <c r="J108" s="20" t="n">
        <v>3</v>
      </c>
      <c r="K108" s="11" t="n">
        <v>1.2</v>
      </c>
      <c r="L108" s="11" t="n">
        <v>0.5</v>
      </c>
      <c r="M108" s="11" t="n">
        <v>1.4</v>
      </c>
      <c r="N108" s="11" t="n">
        <v>1.3</v>
      </c>
      <c r="O108" s="31" t="n">
        <v>-0.2</v>
      </c>
      <c r="P108" s="11" t="n">
        <v>1.1</v>
      </c>
      <c r="Q108" s="27" t="n">
        <v>1</v>
      </c>
      <c r="R108" s="27" t="n">
        <v>1</v>
      </c>
      <c r="S108" s="27" t="n">
        <v>1</v>
      </c>
      <c r="T108" s="27" t="n">
        <v>0</v>
      </c>
      <c r="U108" s="11" t="n">
        <v>1.81</v>
      </c>
      <c r="V108" s="11" t="n">
        <v>-0.96</v>
      </c>
      <c r="W108" s="11" t="n">
        <v>2.77</v>
      </c>
      <c r="X108" s="11" t="n">
        <v>0.4</v>
      </c>
      <c r="Y108" s="10" t="n">
        <v>4.4</v>
      </c>
      <c r="Z108" s="27" t="s">
        <v>3836</v>
      </c>
      <c r="AA108" s="9" t="s">
        <v>3832</v>
      </c>
      <c r="AB108" s="27" t="s">
        <v>86</v>
      </c>
      <c r="AC108" s="23" t="s">
        <v>93</v>
      </c>
    </row>
    <row r="109" customFormat="false" ht="19.5" hidden="false" customHeight="true" outlineLevel="0" collapsed="false">
      <c r="A109" s="25" t="s">
        <v>3938</v>
      </c>
      <c r="B109" s="25" t="s">
        <v>233</v>
      </c>
      <c r="C109" s="12" t="s">
        <v>234</v>
      </c>
      <c r="D109" s="12" t="s">
        <v>235</v>
      </c>
      <c r="E109" s="12" t="s">
        <v>236</v>
      </c>
      <c r="F109" s="25" t="s">
        <v>1555</v>
      </c>
      <c r="G109" s="25" t="n">
        <v>2026</v>
      </c>
      <c r="H109" s="25" t="n">
        <v>10</v>
      </c>
      <c r="I109" s="25" t="s">
        <v>3827</v>
      </c>
      <c r="J109" s="18" t="n">
        <v>2</v>
      </c>
      <c r="K109" s="14" t="n">
        <v>1.1</v>
      </c>
      <c r="L109" s="14" t="n">
        <v>0.4</v>
      </c>
      <c r="M109" s="14" t="n">
        <v>1.2</v>
      </c>
      <c r="N109" s="14" t="n">
        <v>1.4</v>
      </c>
      <c r="O109" s="32" t="n">
        <v>-0.1</v>
      </c>
      <c r="P109" s="29"/>
      <c r="Q109" s="25" t="n">
        <v>1</v>
      </c>
      <c r="R109" s="25" t="n">
        <v>1</v>
      </c>
      <c r="S109" s="25" t="n">
        <v>1</v>
      </c>
      <c r="T109" s="25" t="n">
        <v>0</v>
      </c>
      <c r="U109" s="14" t="n">
        <v>1.6</v>
      </c>
      <c r="V109" s="14" t="n">
        <v>1.6</v>
      </c>
      <c r="W109" s="14" t="n">
        <v>0</v>
      </c>
      <c r="X109" s="14" t="n">
        <v>0.39</v>
      </c>
      <c r="Y109" s="13" t="n">
        <v>4.4</v>
      </c>
      <c r="Z109" s="25" t="s">
        <v>3836</v>
      </c>
      <c r="AA109" s="12" t="s">
        <v>3832</v>
      </c>
      <c r="AB109" s="25" t="s">
        <v>86</v>
      </c>
      <c r="AC109" s="22" t="s">
        <v>93</v>
      </c>
    </row>
    <row r="110" customFormat="false" ht="19.5" hidden="false" customHeight="true" outlineLevel="0" collapsed="false">
      <c r="A110" s="27" t="s">
        <v>3939</v>
      </c>
      <c r="B110" s="27" t="s">
        <v>448</v>
      </c>
      <c r="C110" s="9" t="s">
        <v>449</v>
      </c>
      <c r="D110" s="9" t="s">
        <v>450</v>
      </c>
      <c r="E110" s="9" t="s">
        <v>219</v>
      </c>
      <c r="F110" s="27" t="s">
        <v>1374</v>
      </c>
      <c r="G110" s="27" t="n">
        <v>2026</v>
      </c>
      <c r="H110" s="27" t="n">
        <v>9</v>
      </c>
      <c r="I110" s="27" t="s">
        <v>3827</v>
      </c>
      <c r="J110" s="20" t="n">
        <v>1</v>
      </c>
      <c r="K110" s="11" t="n">
        <v>0</v>
      </c>
      <c r="L110" s="11" t="n">
        <v>0</v>
      </c>
      <c r="M110" s="30"/>
      <c r="N110" s="30"/>
      <c r="O110" s="30"/>
      <c r="P110" s="11" t="n">
        <v>0</v>
      </c>
      <c r="Q110" s="27" t="n">
        <v>0</v>
      </c>
      <c r="R110" s="27" t="n">
        <v>0</v>
      </c>
      <c r="S110" s="27" t="n">
        <v>0</v>
      </c>
      <c r="T110" s="27" t="n">
        <v>0</v>
      </c>
      <c r="U110" s="11" t="n">
        <v>0.96</v>
      </c>
      <c r="V110" s="11" t="n">
        <v>-1.01</v>
      </c>
      <c r="W110" s="11" t="n">
        <v>1.97</v>
      </c>
      <c r="X110" s="11" t="n">
        <v>0.2</v>
      </c>
      <c r="Y110" s="10" t="n">
        <v>0</v>
      </c>
      <c r="Z110" s="27" t="s">
        <v>2961</v>
      </c>
      <c r="AA110" s="9" t="s">
        <v>3828</v>
      </c>
      <c r="AB110" s="27" t="s">
        <v>86</v>
      </c>
      <c r="AC110" s="23" t="s">
        <v>1326</v>
      </c>
    </row>
    <row r="111" customFormat="false" ht="19.5" hidden="false" customHeight="true" outlineLevel="0" collapsed="false">
      <c r="A111" s="25" t="s">
        <v>3940</v>
      </c>
      <c r="B111" s="25" t="s">
        <v>448</v>
      </c>
      <c r="C111" s="12" t="s">
        <v>449</v>
      </c>
      <c r="D111" s="12" t="s">
        <v>450</v>
      </c>
      <c r="E111" s="12" t="s">
        <v>219</v>
      </c>
      <c r="F111" s="25" t="s">
        <v>1400</v>
      </c>
      <c r="G111" s="25" t="n">
        <v>2026</v>
      </c>
      <c r="H111" s="25" t="n">
        <v>9</v>
      </c>
      <c r="I111" s="25" t="s">
        <v>3827</v>
      </c>
      <c r="J111" s="18" t="n">
        <v>1</v>
      </c>
      <c r="K111" s="14" t="n">
        <v>0</v>
      </c>
      <c r="L111" s="14" t="n">
        <v>0</v>
      </c>
      <c r="M111" s="14" t="n">
        <v>0</v>
      </c>
      <c r="N111" s="29"/>
      <c r="O111" s="32" t="n">
        <v>0</v>
      </c>
      <c r="P111" s="14" t="n">
        <v>0</v>
      </c>
      <c r="Q111" s="25" t="n">
        <v>0</v>
      </c>
      <c r="R111" s="25" t="n">
        <v>0</v>
      </c>
      <c r="S111" s="25" t="n">
        <v>0</v>
      </c>
      <c r="T111" s="25" t="n">
        <v>0</v>
      </c>
      <c r="U111" s="14" t="n">
        <v>0.3</v>
      </c>
      <c r="V111" s="14" t="n">
        <v>-0.98</v>
      </c>
      <c r="W111" s="14" t="n">
        <v>1.28</v>
      </c>
      <c r="X111" s="14" t="n">
        <v>0.22</v>
      </c>
      <c r="Y111" s="13" t="n">
        <v>0</v>
      </c>
      <c r="Z111" s="25" t="s">
        <v>2961</v>
      </c>
      <c r="AA111" s="12" t="s">
        <v>3828</v>
      </c>
      <c r="AB111" s="25" t="s">
        <v>86</v>
      </c>
      <c r="AC111" s="22" t="s">
        <v>1383</v>
      </c>
    </row>
    <row r="112" customFormat="false" ht="19.5" hidden="false" customHeight="true" outlineLevel="0" collapsed="false">
      <c r="A112" s="27" t="s">
        <v>3941</v>
      </c>
      <c r="B112" s="27" t="s">
        <v>448</v>
      </c>
      <c r="C112" s="9" t="s">
        <v>449</v>
      </c>
      <c r="D112" s="9" t="s">
        <v>450</v>
      </c>
      <c r="E112" s="9" t="s">
        <v>219</v>
      </c>
      <c r="F112" s="27" t="s">
        <v>1419</v>
      </c>
      <c r="G112" s="27" t="n">
        <v>2026</v>
      </c>
      <c r="H112" s="27" t="n">
        <v>9</v>
      </c>
      <c r="I112" s="27" t="s">
        <v>3827</v>
      </c>
      <c r="J112" s="20" t="n">
        <v>1</v>
      </c>
      <c r="K112" s="11" t="n">
        <v>0</v>
      </c>
      <c r="L112" s="11" t="n">
        <v>0</v>
      </c>
      <c r="M112" s="11" t="n">
        <v>0</v>
      </c>
      <c r="N112" s="11" t="n">
        <v>0</v>
      </c>
      <c r="O112" s="31" t="n">
        <v>0</v>
      </c>
      <c r="P112" s="30"/>
      <c r="Q112" s="27" t="n">
        <v>0</v>
      </c>
      <c r="R112" s="27" t="n">
        <v>0</v>
      </c>
      <c r="S112" s="27" t="n">
        <v>0</v>
      </c>
      <c r="T112" s="27" t="n">
        <v>0</v>
      </c>
      <c r="U112" s="11" t="n">
        <v>0.97</v>
      </c>
      <c r="V112" s="11" t="n">
        <v>0.97</v>
      </c>
      <c r="W112" s="11" t="n">
        <v>0</v>
      </c>
      <c r="X112" s="11" t="n">
        <v>0.16</v>
      </c>
      <c r="Y112" s="10" t="n">
        <v>0</v>
      </c>
      <c r="Z112" s="27" t="s">
        <v>2961</v>
      </c>
      <c r="AA112" s="9" t="s">
        <v>3828</v>
      </c>
      <c r="AB112" s="27" t="s">
        <v>86</v>
      </c>
      <c r="AC112" s="23" t="s">
        <v>1376</v>
      </c>
    </row>
    <row r="113" customFormat="false" ht="19.5" hidden="false" customHeight="true" outlineLevel="0" collapsed="false">
      <c r="A113" s="25" t="s">
        <v>3942</v>
      </c>
      <c r="B113" s="25" t="s">
        <v>448</v>
      </c>
      <c r="C113" s="12" t="s">
        <v>449</v>
      </c>
      <c r="D113" s="12" t="s">
        <v>450</v>
      </c>
      <c r="E113" s="12" t="s">
        <v>219</v>
      </c>
      <c r="F113" s="25" t="s">
        <v>1469</v>
      </c>
      <c r="G113" s="25" t="n">
        <v>2026</v>
      </c>
      <c r="H113" s="25" t="n">
        <v>10</v>
      </c>
      <c r="I113" s="25" t="s">
        <v>3827</v>
      </c>
      <c r="J113" s="18" t="n">
        <v>1</v>
      </c>
      <c r="K113" s="14" t="n">
        <v>0</v>
      </c>
      <c r="L113" s="14" t="n">
        <v>0</v>
      </c>
      <c r="M113" s="29"/>
      <c r="N113" s="29"/>
      <c r="O113" s="29"/>
      <c r="P113" s="14" t="n">
        <v>0</v>
      </c>
      <c r="Q113" s="25" t="n">
        <v>0</v>
      </c>
      <c r="R113" s="25" t="n">
        <v>0</v>
      </c>
      <c r="S113" s="25" t="n">
        <v>0</v>
      </c>
      <c r="T113" s="25" t="n">
        <v>0</v>
      </c>
      <c r="U113" s="14" t="n">
        <v>1.51</v>
      </c>
      <c r="V113" s="14" t="n">
        <v>-0.78</v>
      </c>
      <c r="W113" s="14" t="n">
        <v>2.29</v>
      </c>
      <c r="X113" s="14" t="n">
        <v>0.22</v>
      </c>
      <c r="Y113" s="13" t="n">
        <v>0</v>
      </c>
      <c r="Z113" s="25" t="s">
        <v>3014</v>
      </c>
      <c r="AA113" s="12" t="s">
        <v>3832</v>
      </c>
      <c r="AB113" s="25" t="s">
        <v>86</v>
      </c>
      <c r="AC113" s="22" t="s">
        <v>1437</v>
      </c>
    </row>
    <row r="114" customFormat="false" ht="19.5" hidden="false" customHeight="true" outlineLevel="0" collapsed="false">
      <c r="A114" s="27" t="s">
        <v>3943</v>
      </c>
      <c r="B114" s="27" t="s">
        <v>448</v>
      </c>
      <c r="C114" s="9" t="s">
        <v>449</v>
      </c>
      <c r="D114" s="9" t="s">
        <v>450</v>
      </c>
      <c r="E114" s="9" t="s">
        <v>219</v>
      </c>
      <c r="F114" s="27" t="s">
        <v>1490</v>
      </c>
      <c r="G114" s="27" t="n">
        <v>2026</v>
      </c>
      <c r="H114" s="27" t="n">
        <v>10</v>
      </c>
      <c r="I114" s="27" t="s">
        <v>3827</v>
      </c>
      <c r="J114" s="20" t="n">
        <v>1</v>
      </c>
      <c r="K114" s="11" t="n">
        <v>0</v>
      </c>
      <c r="L114" s="11" t="n">
        <v>0</v>
      </c>
      <c r="M114" s="11" t="n">
        <v>0</v>
      </c>
      <c r="N114" s="30"/>
      <c r="O114" s="31" t="n">
        <v>0</v>
      </c>
      <c r="P114" s="30"/>
      <c r="Q114" s="27" t="n">
        <v>0</v>
      </c>
      <c r="R114" s="27" t="n">
        <v>0</v>
      </c>
      <c r="S114" s="27" t="n">
        <v>0</v>
      </c>
      <c r="T114" s="27" t="n">
        <v>0</v>
      </c>
      <c r="U114" s="11" t="n">
        <v>1.85</v>
      </c>
      <c r="V114" s="11" t="n">
        <v>-0.59</v>
      </c>
      <c r="W114" s="11" t="n">
        <v>2.44</v>
      </c>
      <c r="X114" s="11" t="n">
        <v>0.25</v>
      </c>
      <c r="Y114" s="10" t="n">
        <v>0</v>
      </c>
      <c r="Z114" s="27" t="s">
        <v>3014</v>
      </c>
      <c r="AA114" s="9" t="s">
        <v>3832</v>
      </c>
      <c r="AB114" s="27" t="s">
        <v>86</v>
      </c>
      <c r="AC114" s="23" t="s">
        <v>1476</v>
      </c>
    </row>
    <row r="115" customFormat="false" ht="19.5" hidden="false" customHeight="true" outlineLevel="0" collapsed="false">
      <c r="A115" s="25" t="s">
        <v>3944</v>
      </c>
      <c r="B115" s="25" t="s">
        <v>448</v>
      </c>
      <c r="C115" s="12" t="s">
        <v>449</v>
      </c>
      <c r="D115" s="12" t="s">
        <v>450</v>
      </c>
      <c r="E115" s="12" t="s">
        <v>219</v>
      </c>
      <c r="F115" s="25" t="s">
        <v>1532</v>
      </c>
      <c r="G115" s="25" t="n">
        <v>2026</v>
      </c>
      <c r="H115" s="25" t="n">
        <v>10</v>
      </c>
      <c r="I115" s="25" t="s">
        <v>3827</v>
      </c>
      <c r="J115" s="18" t="n">
        <v>1</v>
      </c>
      <c r="K115" s="14" t="n">
        <v>0</v>
      </c>
      <c r="L115" s="14" t="n">
        <v>0</v>
      </c>
      <c r="M115" s="29"/>
      <c r="N115" s="14" t="n">
        <v>0</v>
      </c>
      <c r="O115" s="29"/>
      <c r="P115" s="14" t="n">
        <v>0</v>
      </c>
      <c r="Q115" s="25" t="n">
        <v>0</v>
      </c>
      <c r="R115" s="25" t="n">
        <v>0</v>
      </c>
      <c r="S115" s="25" t="n">
        <v>0</v>
      </c>
      <c r="T115" s="25" t="n">
        <v>0</v>
      </c>
      <c r="U115" s="14" t="n">
        <v>1.81</v>
      </c>
      <c r="V115" s="14" t="n">
        <v>-0.96</v>
      </c>
      <c r="W115" s="14" t="n">
        <v>2.77</v>
      </c>
      <c r="X115" s="14" t="n">
        <v>0.33</v>
      </c>
      <c r="Y115" s="13" t="n">
        <v>0</v>
      </c>
      <c r="Z115" s="25" t="s">
        <v>2998</v>
      </c>
      <c r="AA115" s="12" t="s">
        <v>3832</v>
      </c>
      <c r="AB115" s="25" t="s">
        <v>86</v>
      </c>
      <c r="AC115" s="22" t="s">
        <v>1517</v>
      </c>
    </row>
    <row r="116" customFormat="false" ht="19.5" hidden="false" customHeight="true" outlineLevel="0" collapsed="false">
      <c r="A116" s="27" t="s">
        <v>3945</v>
      </c>
      <c r="B116" s="27" t="s">
        <v>448</v>
      </c>
      <c r="C116" s="9" t="s">
        <v>449</v>
      </c>
      <c r="D116" s="9" t="s">
        <v>450</v>
      </c>
      <c r="E116" s="9" t="s">
        <v>219</v>
      </c>
      <c r="F116" s="27" t="s">
        <v>1555</v>
      </c>
      <c r="G116" s="27" t="n">
        <v>2026</v>
      </c>
      <c r="H116" s="27" t="n">
        <v>10</v>
      </c>
      <c r="I116" s="27" t="s">
        <v>3827</v>
      </c>
      <c r="J116" s="20" t="n">
        <v>1</v>
      </c>
      <c r="K116" s="11" t="n">
        <v>0</v>
      </c>
      <c r="L116" s="11" t="n">
        <v>0</v>
      </c>
      <c r="M116" s="11" t="n">
        <v>0</v>
      </c>
      <c r="N116" s="30"/>
      <c r="O116" s="31" t="n">
        <v>0</v>
      </c>
      <c r="P116" s="30"/>
      <c r="Q116" s="27" t="n">
        <v>0</v>
      </c>
      <c r="R116" s="27" t="n">
        <v>0</v>
      </c>
      <c r="S116" s="27" t="n">
        <v>0</v>
      </c>
      <c r="T116" s="27" t="n">
        <v>0</v>
      </c>
      <c r="U116" s="11" t="n">
        <v>1.6</v>
      </c>
      <c r="V116" s="11" t="n">
        <v>1.6</v>
      </c>
      <c r="W116" s="11" t="n">
        <v>0</v>
      </c>
      <c r="X116" s="11" t="n">
        <v>0.33</v>
      </c>
      <c r="Y116" s="10" t="n">
        <v>0</v>
      </c>
      <c r="Z116" s="27" t="s">
        <v>2998</v>
      </c>
      <c r="AA116" s="9" t="s">
        <v>3832</v>
      </c>
      <c r="AB116" s="27" t="s">
        <v>86</v>
      </c>
      <c r="AC116" s="23" t="s">
        <v>93</v>
      </c>
    </row>
    <row r="117" customFormat="false" ht="19.5" hidden="false" customHeight="true" outlineLevel="0" collapsed="false">
      <c r="A117" s="25" t="s">
        <v>3946</v>
      </c>
      <c r="B117" s="25" t="s">
        <v>455</v>
      </c>
      <c r="C117" s="12" t="s">
        <v>456</v>
      </c>
      <c r="D117" s="12" t="s">
        <v>457</v>
      </c>
      <c r="E117" s="12" t="s">
        <v>219</v>
      </c>
      <c r="F117" s="25" t="s">
        <v>1374</v>
      </c>
      <c r="G117" s="25" t="n">
        <v>2026</v>
      </c>
      <c r="H117" s="25" t="n">
        <v>9</v>
      </c>
      <c r="I117" s="25" t="s">
        <v>3827</v>
      </c>
      <c r="J117" s="18" t="n">
        <v>1</v>
      </c>
      <c r="K117" s="14" t="n">
        <v>0.3</v>
      </c>
      <c r="L117" s="14" t="n">
        <v>0.3</v>
      </c>
      <c r="M117" s="29"/>
      <c r="N117" s="29"/>
      <c r="O117" s="29"/>
      <c r="P117" s="14" t="n">
        <v>0.3</v>
      </c>
      <c r="Q117" s="25" t="n">
        <v>0</v>
      </c>
      <c r="R117" s="25" t="n">
        <v>0</v>
      </c>
      <c r="S117" s="25" t="n">
        <v>0</v>
      </c>
      <c r="T117" s="25" t="n">
        <v>0</v>
      </c>
      <c r="U117" s="14" t="n">
        <v>0.96</v>
      </c>
      <c r="V117" s="14" t="n">
        <v>-1.01</v>
      </c>
      <c r="W117" s="14" t="n">
        <v>1.97</v>
      </c>
      <c r="X117" s="14" t="n">
        <v>0.34</v>
      </c>
      <c r="Y117" s="13" t="n">
        <v>0</v>
      </c>
      <c r="Z117" s="25" t="s">
        <v>2961</v>
      </c>
      <c r="AA117" s="12" t="s">
        <v>3828</v>
      </c>
      <c r="AB117" s="25" t="s">
        <v>86</v>
      </c>
      <c r="AC117" s="22" t="s">
        <v>1326</v>
      </c>
    </row>
    <row r="118" customFormat="false" ht="19.5" hidden="false" customHeight="true" outlineLevel="0" collapsed="false">
      <c r="A118" s="27" t="s">
        <v>3947</v>
      </c>
      <c r="B118" s="27" t="s">
        <v>455</v>
      </c>
      <c r="C118" s="9" t="s">
        <v>456</v>
      </c>
      <c r="D118" s="9" t="s">
        <v>457</v>
      </c>
      <c r="E118" s="9" t="s">
        <v>219</v>
      </c>
      <c r="F118" s="27" t="s">
        <v>1400</v>
      </c>
      <c r="G118" s="27" t="n">
        <v>2026</v>
      </c>
      <c r="H118" s="27" t="n">
        <v>9</v>
      </c>
      <c r="I118" s="27" t="s">
        <v>3827</v>
      </c>
      <c r="J118" s="20" t="n">
        <v>1</v>
      </c>
      <c r="K118" s="11" t="n">
        <v>0.3</v>
      </c>
      <c r="L118" s="11" t="n">
        <v>0.3</v>
      </c>
      <c r="M118" s="11" t="n">
        <v>0.3</v>
      </c>
      <c r="N118" s="30"/>
      <c r="O118" s="31" t="n">
        <v>0</v>
      </c>
      <c r="P118" s="11" t="n">
        <v>0.3</v>
      </c>
      <c r="Q118" s="27" t="n">
        <v>0</v>
      </c>
      <c r="R118" s="27" t="n">
        <v>0</v>
      </c>
      <c r="S118" s="27" t="n">
        <v>0</v>
      </c>
      <c r="T118" s="27" t="n">
        <v>0</v>
      </c>
      <c r="U118" s="11" t="n">
        <v>0.3</v>
      </c>
      <c r="V118" s="11" t="n">
        <v>-0.98</v>
      </c>
      <c r="W118" s="11" t="n">
        <v>1.28</v>
      </c>
      <c r="X118" s="11" t="n">
        <v>0.32</v>
      </c>
      <c r="Y118" s="10" t="n">
        <v>0</v>
      </c>
      <c r="Z118" s="27" t="s">
        <v>2961</v>
      </c>
      <c r="AA118" s="9" t="s">
        <v>3828</v>
      </c>
      <c r="AB118" s="27" t="s">
        <v>86</v>
      </c>
      <c r="AC118" s="23" t="s">
        <v>1383</v>
      </c>
    </row>
    <row r="119" customFormat="false" ht="19.5" hidden="false" customHeight="true" outlineLevel="0" collapsed="false">
      <c r="A119" s="25" t="s">
        <v>3948</v>
      </c>
      <c r="B119" s="25" t="s">
        <v>455</v>
      </c>
      <c r="C119" s="12" t="s">
        <v>456</v>
      </c>
      <c r="D119" s="12" t="s">
        <v>457</v>
      </c>
      <c r="E119" s="12" t="s">
        <v>219</v>
      </c>
      <c r="F119" s="25" t="s">
        <v>1419</v>
      </c>
      <c r="G119" s="25" t="n">
        <v>2026</v>
      </c>
      <c r="H119" s="25" t="n">
        <v>9</v>
      </c>
      <c r="I119" s="25" t="s">
        <v>3827</v>
      </c>
      <c r="J119" s="18" t="n">
        <v>1</v>
      </c>
      <c r="K119" s="14" t="n">
        <v>0.3</v>
      </c>
      <c r="L119" s="14" t="n">
        <v>0.3</v>
      </c>
      <c r="M119" s="14" t="n">
        <v>0.3</v>
      </c>
      <c r="N119" s="14" t="n">
        <v>0.3</v>
      </c>
      <c r="O119" s="32" t="n">
        <v>0</v>
      </c>
      <c r="P119" s="29"/>
      <c r="Q119" s="25" t="n">
        <v>0</v>
      </c>
      <c r="R119" s="25" t="n">
        <v>0</v>
      </c>
      <c r="S119" s="25" t="n">
        <v>0</v>
      </c>
      <c r="T119" s="25" t="n">
        <v>0</v>
      </c>
      <c r="U119" s="14" t="n">
        <v>0.97</v>
      </c>
      <c r="V119" s="14" t="n">
        <v>0.97</v>
      </c>
      <c r="W119" s="14" t="n">
        <v>0</v>
      </c>
      <c r="X119" s="14" t="n">
        <v>0.11</v>
      </c>
      <c r="Y119" s="13" t="n">
        <v>0</v>
      </c>
      <c r="Z119" s="25" t="s">
        <v>2961</v>
      </c>
      <c r="AA119" s="12" t="s">
        <v>3828</v>
      </c>
      <c r="AB119" s="25" t="s">
        <v>86</v>
      </c>
      <c r="AC119" s="22" t="s">
        <v>1376</v>
      </c>
    </row>
    <row r="120" customFormat="false" ht="19.5" hidden="false" customHeight="true" outlineLevel="0" collapsed="false">
      <c r="A120" s="27" t="s">
        <v>3949</v>
      </c>
      <c r="B120" s="27" t="s">
        <v>455</v>
      </c>
      <c r="C120" s="9" t="s">
        <v>456</v>
      </c>
      <c r="D120" s="9" t="s">
        <v>457</v>
      </c>
      <c r="E120" s="9" t="s">
        <v>219</v>
      </c>
      <c r="F120" s="27" t="s">
        <v>1469</v>
      </c>
      <c r="G120" s="27" t="n">
        <v>2026</v>
      </c>
      <c r="H120" s="27" t="n">
        <v>10</v>
      </c>
      <c r="I120" s="27" t="s">
        <v>3827</v>
      </c>
      <c r="J120" s="20" t="n">
        <v>1</v>
      </c>
      <c r="K120" s="11" t="n">
        <v>0.3</v>
      </c>
      <c r="L120" s="11" t="n">
        <v>0.3</v>
      </c>
      <c r="M120" s="30"/>
      <c r="N120" s="30"/>
      <c r="O120" s="30"/>
      <c r="P120" s="11" t="n">
        <v>0.3</v>
      </c>
      <c r="Q120" s="27" t="n">
        <v>0</v>
      </c>
      <c r="R120" s="27" t="n">
        <v>0</v>
      </c>
      <c r="S120" s="27" t="n">
        <v>0</v>
      </c>
      <c r="T120" s="27" t="n">
        <v>0</v>
      </c>
      <c r="U120" s="11" t="n">
        <v>1.51</v>
      </c>
      <c r="V120" s="11" t="n">
        <v>-0.78</v>
      </c>
      <c r="W120" s="11" t="n">
        <v>2.29</v>
      </c>
      <c r="X120" s="11" t="n">
        <v>0.4</v>
      </c>
      <c r="Y120" s="10" t="n">
        <v>0</v>
      </c>
      <c r="Z120" s="27" t="s">
        <v>3014</v>
      </c>
      <c r="AA120" s="9" t="s">
        <v>3832</v>
      </c>
      <c r="AB120" s="27" t="s">
        <v>86</v>
      </c>
      <c r="AC120" s="23" t="s">
        <v>1437</v>
      </c>
    </row>
    <row r="121" customFormat="false" ht="19.5" hidden="false" customHeight="true" outlineLevel="0" collapsed="false">
      <c r="A121" s="25" t="s">
        <v>3950</v>
      </c>
      <c r="B121" s="25" t="s">
        <v>455</v>
      </c>
      <c r="C121" s="12" t="s">
        <v>456</v>
      </c>
      <c r="D121" s="12" t="s">
        <v>457</v>
      </c>
      <c r="E121" s="12" t="s">
        <v>219</v>
      </c>
      <c r="F121" s="25" t="s">
        <v>1490</v>
      </c>
      <c r="G121" s="25" t="n">
        <v>2026</v>
      </c>
      <c r="H121" s="25" t="n">
        <v>10</v>
      </c>
      <c r="I121" s="25" t="s">
        <v>3827</v>
      </c>
      <c r="J121" s="18" t="n">
        <v>1</v>
      </c>
      <c r="K121" s="14" t="n">
        <v>0.3</v>
      </c>
      <c r="L121" s="14" t="n">
        <v>0.3</v>
      </c>
      <c r="M121" s="14" t="n">
        <v>0.3</v>
      </c>
      <c r="N121" s="29"/>
      <c r="O121" s="32" t="n">
        <v>0</v>
      </c>
      <c r="P121" s="29"/>
      <c r="Q121" s="25" t="n">
        <v>0</v>
      </c>
      <c r="R121" s="25" t="n">
        <v>0</v>
      </c>
      <c r="S121" s="25" t="n">
        <v>0</v>
      </c>
      <c r="T121" s="25" t="n">
        <v>0</v>
      </c>
      <c r="U121" s="14" t="n">
        <v>1.85</v>
      </c>
      <c r="V121" s="14" t="n">
        <v>-0.59</v>
      </c>
      <c r="W121" s="14" t="n">
        <v>2.44</v>
      </c>
      <c r="X121" s="14" t="n">
        <v>0.4</v>
      </c>
      <c r="Y121" s="13" t="n">
        <v>0</v>
      </c>
      <c r="Z121" s="25" t="s">
        <v>3014</v>
      </c>
      <c r="AA121" s="12" t="s">
        <v>3832</v>
      </c>
      <c r="AB121" s="25" t="s">
        <v>86</v>
      </c>
      <c r="AC121" s="22" t="s">
        <v>1476</v>
      </c>
    </row>
    <row r="122" customFormat="false" ht="19.5" hidden="false" customHeight="true" outlineLevel="0" collapsed="false">
      <c r="A122" s="27" t="s">
        <v>3951</v>
      </c>
      <c r="B122" s="27" t="s">
        <v>455</v>
      </c>
      <c r="C122" s="9" t="s">
        <v>456</v>
      </c>
      <c r="D122" s="9" t="s">
        <v>457</v>
      </c>
      <c r="E122" s="9" t="s">
        <v>219</v>
      </c>
      <c r="F122" s="27" t="s">
        <v>1532</v>
      </c>
      <c r="G122" s="27" t="n">
        <v>2026</v>
      </c>
      <c r="H122" s="27" t="n">
        <v>10</v>
      </c>
      <c r="I122" s="27" t="s">
        <v>3827</v>
      </c>
      <c r="J122" s="20" t="n">
        <v>1</v>
      </c>
      <c r="K122" s="11" t="n">
        <v>0.3</v>
      </c>
      <c r="L122" s="11" t="n">
        <v>0.3</v>
      </c>
      <c r="M122" s="30"/>
      <c r="N122" s="11" t="n">
        <v>0.3</v>
      </c>
      <c r="O122" s="30"/>
      <c r="P122" s="11" t="n">
        <v>0.3</v>
      </c>
      <c r="Q122" s="27" t="n">
        <v>0</v>
      </c>
      <c r="R122" s="27" t="n">
        <v>0</v>
      </c>
      <c r="S122" s="27" t="n">
        <v>0</v>
      </c>
      <c r="T122" s="27" t="n">
        <v>0</v>
      </c>
      <c r="U122" s="11" t="n">
        <v>1.81</v>
      </c>
      <c r="V122" s="11" t="n">
        <v>-0.96</v>
      </c>
      <c r="W122" s="11" t="n">
        <v>2.77</v>
      </c>
      <c r="X122" s="11" t="n">
        <v>0.34</v>
      </c>
      <c r="Y122" s="10" t="n">
        <v>0</v>
      </c>
      <c r="Z122" s="27" t="s">
        <v>2998</v>
      </c>
      <c r="AA122" s="9" t="s">
        <v>3832</v>
      </c>
      <c r="AB122" s="27" t="s">
        <v>86</v>
      </c>
      <c r="AC122" s="23" t="s">
        <v>1517</v>
      </c>
    </row>
    <row r="123" customFormat="false" ht="19.5" hidden="false" customHeight="true" outlineLevel="0" collapsed="false">
      <c r="A123" s="25" t="s">
        <v>3952</v>
      </c>
      <c r="B123" s="25" t="s">
        <v>455</v>
      </c>
      <c r="C123" s="12" t="s">
        <v>456</v>
      </c>
      <c r="D123" s="12" t="s">
        <v>457</v>
      </c>
      <c r="E123" s="12" t="s">
        <v>219</v>
      </c>
      <c r="F123" s="25" t="s">
        <v>1555</v>
      </c>
      <c r="G123" s="25" t="n">
        <v>2026</v>
      </c>
      <c r="H123" s="25" t="n">
        <v>10</v>
      </c>
      <c r="I123" s="25" t="s">
        <v>3827</v>
      </c>
      <c r="J123" s="18" t="n">
        <v>1</v>
      </c>
      <c r="K123" s="14" t="n">
        <v>0.3</v>
      </c>
      <c r="L123" s="14" t="n">
        <v>0.3</v>
      </c>
      <c r="M123" s="14" t="n">
        <v>0.3</v>
      </c>
      <c r="N123" s="29"/>
      <c r="O123" s="32" t="n">
        <v>0</v>
      </c>
      <c r="P123" s="29"/>
      <c r="Q123" s="25" t="n">
        <v>0</v>
      </c>
      <c r="R123" s="25" t="n">
        <v>0</v>
      </c>
      <c r="S123" s="25" t="n">
        <v>0</v>
      </c>
      <c r="T123" s="25" t="n">
        <v>0</v>
      </c>
      <c r="U123" s="14" t="n">
        <v>1.6</v>
      </c>
      <c r="V123" s="14" t="n">
        <v>1.6</v>
      </c>
      <c r="W123" s="14" t="n">
        <v>0</v>
      </c>
      <c r="X123" s="14" t="n">
        <v>0.35</v>
      </c>
      <c r="Y123" s="13" t="n">
        <v>0</v>
      </c>
      <c r="Z123" s="25" t="s">
        <v>2998</v>
      </c>
      <c r="AA123" s="12" t="s">
        <v>3832</v>
      </c>
      <c r="AB123" s="25" t="s">
        <v>86</v>
      </c>
      <c r="AC123" s="22" t="s">
        <v>93</v>
      </c>
    </row>
    <row r="124" customFormat="false" ht="19.5" hidden="false" customHeight="true" outlineLevel="0" collapsed="false">
      <c r="A124" s="27" t="s">
        <v>3953</v>
      </c>
      <c r="B124" s="27" t="s">
        <v>439</v>
      </c>
      <c r="C124" s="9" t="s">
        <v>440</v>
      </c>
      <c r="D124" s="9" t="s">
        <v>442</v>
      </c>
      <c r="E124" s="9" t="s">
        <v>219</v>
      </c>
      <c r="F124" s="27" t="s">
        <v>1374</v>
      </c>
      <c r="G124" s="27" t="n">
        <v>2026</v>
      </c>
      <c r="H124" s="27" t="n">
        <v>9</v>
      </c>
      <c r="I124" s="27" t="s">
        <v>3827</v>
      </c>
      <c r="J124" s="20" t="n">
        <v>1</v>
      </c>
      <c r="K124" s="11" t="n">
        <v>0</v>
      </c>
      <c r="L124" s="11" t="n">
        <v>0</v>
      </c>
      <c r="M124" s="30"/>
      <c r="N124" s="30"/>
      <c r="O124" s="30"/>
      <c r="P124" s="11" t="n">
        <v>0</v>
      </c>
      <c r="Q124" s="27" t="n">
        <v>0</v>
      </c>
      <c r="R124" s="27" t="n">
        <v>0</v>
      </c>
      <c r="S124" s="27" t="n">
        <v>0</v>
      </c>
      <c r="T124" s="27" t="n">
        <v>0</v>
      </c>
      <c r="U124" s="11" t="n">
        <v>0.96</v>
      </c>
      <c r="V124" s="11" t="n">
        <v>-1.01</v>
      </c>
      <c r="W124" s="11" t="n">
        <v>1.97</v>
      </c>
      <c r="X124" s="11" t="n">
        <v>0.42</v>
      </c>
      <c r="Y124" s="10" t="n">
        <v>26</v>
      </c>
      <c r="Z124" s="27" t="s">
        <v>2961</v>
      </c>
      <c r="AA124" s="9" t="s">
        <v>3828</v>
      </c>
      <c r="AB124" s="27" t="s">
        <v>86</v>
      </c>
      <c r="AC124" s="23" t="s">
        <v>1326</v>
      </c>
    </row>
    <row r="125" customFormat="false" ht="19.5" hidden="false" customHeight="true" outlineLevel="0" collapsed="false">
      <c r="A125" s="25" t="s">
        <v>3954</v>
      </c>
      <c r="B125" s="25" t="s">
        <v>439</v>
      </c>
      <c r="C125" s="12" t="s">
        <v>440</v>
      </c>
      <c r="D125" s="12" t="s">
        <v>442</v>
      </c>
      <c r="E125" s="12" t="s">
        <v>219</v>
      </c>
      <c r="F125" s="25" t="s">
        <v>1400</v>
      </c>
      <c r="G125" s="25" t="n">
        <v>2026</v>
      </c>
      <c r="H125" s="25" t="n">
        <v>9</v>
      </c>
      <c r="I125" s="25" t="s">
        <v>3827</v>
      </c>
      <c r="J125" s="18" t="n">
        <v>1</v>
      </c>
      <c r="K125" s="14" t="n">
        <v>0</v>
      </c>
      <c r="L125" s="14" t="n">
        <v>0</v>
      </c>
      <c r="M125" s="14" t="n">
        <v>0</v>
      </c>
      <c r="N125" s="29"/>
      <c r="O125" s="32" t="n">
        <v>0</v>
      </c>
      <c r="P125" s="14" t="n">
        <v>0</v>
      </c>
      <c r="Q125" s="25" t="n">
        <v>0</v>
      </c>
      <c r="R125" s="25" t="n">
        <v>0</v>
      </c>
      <c r="S125" s="25" t="n">
        <v>0</v>
      </c>
      <c r="T125" s="25" t="n">
        <v>0</v>
      </c>
      <c r="U125" s="14" t="n">
        <v>0.3</v>
      </c>
      <c r="V125" s="14" t="n">
        <v>-0.98</v>
      </c>
      <c r="W125" s="14" t="n">
        <v>1.28</v>
      </c>
      <c r="X125" s="14" t="n">
        <v>0.39</v>
      </c>
      <c r="Y125" s="13" t="n">
        <v>3.2</v>
      </c>
      <c r="Z125" s="25" t="s">
        <v>2961</v>
      </c>
      <c r="AA125" s="12" t="s">
        <v>3828</v>
      </c>
      <c r="AB125" s="25" t="s">
        <v>86</v>
      </c>
      <c r="AC125" s="22" t="s">
        <v>1383</v>
      </c>
    </row>
    <row r="126" customFormat="false" ht="19.5" hidden="false" customHeight="true" outlineLevel="0" collapsed="false">
      <c r="A126" s="27" t="s">
        <v>3955</v>
      </c>
      <c r="B126" s="27" t="s">
        <v>439</v>
      </c>
      <c r="C126" s="9" t="s">
        <v>440</v>
      </c>
      <c r="D126" s="9" t="s">
        <v>442</v>
      </c>
      <c r="E126" s="9" t="s">
        <v>219</v>
      </c>
      <c r="F126" s="27" t="s">
        <v>1419</v>
      </c>
      <c r="G126" s="27" t="n">
        <v>2026</v>
      </c>
      <c r="H126" s="27" t="n">
        <v>9</v>
      </c>
      <c r="I126" s="27" t="s">
        <v>3827</v>
      </c>
      <c r="J126" s="20" t="n">
        <v>1</v>
      </c>
      <c r="K126" s="11" t="n">
        <v>0</v>
      </c>
      <c r="L126" s="11" t="n">
        <v>0</v>
      </c>
      <c r="M126" s="11" t="n">
        <v>0</v>
      </c>
      <c r="N126" s="11" t="n">
        <v>0</v>
      </c>
      <c r="O126" s="31" t="n">
        <v>0</v>
      </c>
      <c r="P126" s="30"/>
      <c r="Q126" s="27" t="n">
        <v>0</v>
      </c>
      <c r="R126" s="27" t="n">
        <v>0</v>
      </c>
      <c r="S126" s="27" t="n">
        <v>0</v>
      </c>
      <c r="T126" s="27" t="n">
        <v>0</v>
      </c>
      <c r="U126" s="11" t="n">
        <v>0.97</v>
      </c>
      <c r="V126" s="11" t="n">
        <v>0.97</v>
      </c>
      <c r="W126" s="11" t="n">
        <v>0</v>
      </c>
      <c r="X126" s="11" t="n">
        <v>0.34</v>
      </c>
      <c r="Y126" s="10" t="n">
        <v>3.2</v>
      </c>
      <c r="Z126" s="27" t="s">
        <v>2961</v>
      </c>
      <c r="AA126" s="9" t="s">
        <v>3828</v>
      </c>
      <c r="AB126" s="27" t="s">
        <v>86</v>
      </c>
      <c r="AC126" s="23" t="s">
        <v>1376</v>
      </c>
    </row>
    <row r="127" customFormat="false" ht="19.5" hidden="false" customHeight="true" outlineLevel="0" collapsed="false">
      <c r="A127" s="25" t="s">
        <v>3956</v>
      </c>
      <c r="B127" s="25" t="s">
        <v>439</v>
      </c>
      <c r="C127" s="12" t="s">
        <v>440</v>
      </c>
      <c r="D127" s="12" t="s">
        <v>442</v>
      </c>
      <c r="E127" s="12" t="s">
        <v>219</v>
      </c>
      <c r="F127" s="25" t="s">
        <v>1469</v>
      </c>
      <c r="G127" s="25" t="n">
        <v>2026</v>
      </c>
      <c r="H127" s="25" t="n">
        <v>10</v>
      </c>
      <c r="I127" s="25" t="s">
        <v>3827</v>
      </c>
      <c r="J127" s="18" t="n">
        <v>1</v>
      </c>
      <c r="K127" s="14" t="n">
        <v>0</v>
      </c>
      <c r="L127" s="14" t="n">
        <v>0</v>
      </c>
      <c r="M127" s="29"/>
      <c r="N127" s="29"/>
      <c r="O127" s="29"/>
      <c r="P127" s="14" t="n">
        <v>0</v>
      </c>
      <c r="Q127" s="25" t="n">
        <v>0</v>
      </c>
      <c r="R127" s="25" t="n">
        <v>0</v>
      </c>
      <c r="S127" s="25" t="n">
        <v>0</v>
      </c>
      <c r="T127" s="25" t="n">
        <v>0</v>
      </c>
      <c r="U127" s="14" t="n">
        <v>1.51</v>
      </c>
      <c r="V127" s="14" t="n">
        <v>-0.78</v>
      </c>
      <c r="W127" s="14" t="n">
        <v>2.29</v>
      </c>
      <c r="X127" s="14" t="n">
        <v>0.41</v>
      </c>
      <c r="Y127" s="13" t="n">
        <v>0</v>
      </c>
      <c r="Z127" s="25" t="s">
        <v>3014</v>
      </c>
      <c r="AA127" s="12" t="s">
        <v>3832</v>
      </c>
      <c r="AB127" s="25" t="s">
        <v>86</v>
      </c>
      <c r="AC127" s="22" t="s">
        <v>1437</v>
      </c>
    </row>
    <row r="128" customFormat="false" ht="19.5" hidden="false" customHeight="true" outlineLevel="0" collapsed="false">
      <c r="A128" s="27" t="s">
        <v>3957</v>
      </c>
      <c r="B128" s="27" t="s">
        <v>439</v>
      </c>
      <c r="C128" s="9" t="s">
        <v>440</v>
      </c>
      <c r="D128" s="9" t="s">
        <v>442</v>
      </c>
      <c r="E128" s="9" t="s">
        <v>219</v>
      </c>
      <c r="F128" s="27" t="s">
        <v>1490</v>
      </c>
      <c r="G128" s="27" t="n">
        <v>2026</v>
      </c>
      <c r="H128" s="27" t="n">
        <v>10</v>
      </c>
      <c r="I128" s="27" t="s">
        <v>3827</v>
      </c>
      <c r="J128" s="20" t="n">
        <v>1</v>
      </c>
      <c r="K128" s="11" t="n">
        <v>0</v>
      </c>
      <c r="L128" s="11" t="n">
        <v>0</v>
      </c>
      <c r="M128" s="11" t="n">
        <v>0</v>
      </c>
      <c r="N128" s="30"/>
      <c r="O128" s="31" t="n">
        <v>0</v>
      </c>
      <c r="P128" s="30"/>
      <c r="Q128" s="27" t="n">
        <v>0</v>
      </c>
      <c r="R128" s="27" t="n">
        <v>0</v>
      </c>
      <c r="S128" s="27" t="n">
        <v>0</v>
      </c>
      <c r="T128" s="27" t="n">
        <v>0</v>
      </c>
      <c r="U128" s="11" t="n">
        <v>1.85</v>
      </c>
      <c r="V128" s="11" t="n">
        <v>-0.59</v>
      </c>
      <c r="W128" s="11" t="n">
        <v>2.44</v>
      </c>
      <c r="X128" s="11" t="n">
        <v>0.36</v>
      </c>
      <c r="Y128" s="10" t="n">
        <v>1.5</v>
      </c>
      <c r="Z128" s="27" t="s">
        <v>3014</v>
      </c>
      <c r="AA128" s="9" t="s">
        <v>3832</v>
      </c>
      <c r="AB128" s="27" t="s">
        <v>86</v>
      </c>
      <c r="AC128" s="23" t="s">
        <v>1476</v>
      </c>
    </row>
    <row r="129" customFormat="false" ht="19.5" hidden="false" customHeight="true" outlineLevel="0" collapsed="false">
      <c r="A129" s="25" t="s">
        <v>3958</v>
      </c>
      <c r="B129" s="25" t="s">
        <v>439</v>
      </c>
      <c r="C129" s="12" t="s">
        <v>440</v>
      </c>
      <c r="D129" s="12" t="s">
        <v>442</v>
      </c>
      <c r="E129" s="12" t="s">
        <v>219</v>
      </c>
      <c r="F129" s="25" t="s">
        <v>1532</v>
      </c>
      <c r="G129" s="25" t="n">
        <v>2026</v>
      </c>
      <c r="H129" s="25" t="n">
        <v>10</v>
      </c>
      <c r="I129" s="25" t="s">
        <v>3827</v>
      </c>
      <c r="J129" s="18" t="n">
        <v>1</v>
      </c>
      <c r="K129" s="14" t="n">
        <v>0</v>
      </c>
      <c r="L129" s="14" t="n">
        <v>0</v>
      </c>
      <c r="M129" s="29"/>
      <c r="N129" s="14" t="n">
        <v>0</v>
      </c>
      <c r="O129" s="29"/>
      <c r="P129" s="14" t="n">
        <v>0</v>
      </c>
      <c r="Q129" s="25" t="n">
        <v>0</v>
      </c>
      <c r="R129" s="25" t="n">
        <v>0</v>
      </c>
      <c r="S129" s="25" t="n">
        <v>0</v>
      </c>
      <c r="T129" s="25" t="n">
        <v>0</v>
      </c>
      <c r="U129" s="14" t="n">
        <v>1.81</v>
      </c>
      <c r="V129" s="14" t="n">
        <v>-0.96</v>
      </c>
      <c r="W129" s="14" t="n">
        <v>2.77</v>
      </c>
      <c r="X129" s="14" t="n">
        <v>0.35</v>
      </c>
      <c r="Y129" s="13" t="n">
        <v>0</v>
      </c>
      <c r="Z129" s="25" t="s">
        <v>2998</v>
      </c>
      <c r="AA129" s="12" t="s">
        <v>3832</v>
      </c>
      <c r="AB129" s="25" t="s">
        <v>86</v>
      </c>
      <c r="AC129" s="22" t="s">
        <v>1517</v>
      </c>
    </row>
    <row r="130" customFormat="false" ht="19.5" hidden="false" customHeight="true" outlineLevel="0" collapsed="false">
      <c r="A130" s="27" t="s">
        <v>3959</v>
      </c>
      <c r="B130" s="27" t="s">
        <v>439</v>
      </c>
      <c r="C130" s="9" t="s">
        <v>440</v>
      </c>
      <c r="D130" s="9" t="s">
        <v>442</v>
      </c>
      <c r="E130" s="9" t="s">
        <v>219</v>
      </c>
      <c r="F130" s="27" t="s">
        <v>1555</v>
      </c>
      <c r="G130" s="27" t="n">
        <v>2026</v>
      </c>
      <c r="H130" s="27" t="n">
        <v>10</v>
      </c>
      <c r="I130" s="27" t="s">
        <v>3827</v>
      </c>
      <c r="J130" s="20" t="n">
        <v>1</v>
      </c>
      <c r="K130" s="11" t="n">
        <v>0</v>
      </c>
      <c r="L130" s="11" t="n">
        <v>0</v>
      </c>
      <c r="M130" s="11" t="n">
        <v>0</v>
      </c>
      <c r="N130" s="30"/>
      <c r="O130" s="31" t="n">
        <v>0</v>
      </c>
      <c r="P130" s="30"/>
      <c r="Q130" s="27" t="n">
        <v>0</v>
      </c>
      <c r="R130" s="27" t="n">
        <v>0</v>
      </c>
      <c r="S130" s="27" t="n">
        <v>0</v>
      </c>
      <c r="T130" s="27" t="n">
        <v>0</v>
      </c>
      <c r="U130" s="11" t="n">
        <v>1.6</v>
      </c>
      <c r="V130" s="11" t="n">
        <v>1.6</v>
      </c>
      <c r="W130" s="11" t="n">
        <v>0</v>
      </c>
      <c r="X130" s="11" t="n">
        <v>0.36</v>
      </c>
      <c r="Y130" s="10" t="n">
        <v>0</v>
      </c>
      <c r="Z130" s="27" t="s">
        <v>2998</v>
      </c>
      <c r="AA130" s="9" t="s">
        <v>3832</v>
      </c>
      <c r="AB130" s="27" t="s">
        <v>86</v>
      </c>
      <c r="AC130" s="23" t="s">
        <v>93</v>
      </c>
    </row>
    <row r="131" customFormat="false" ht="19.5" hidden="false" customHeight="true" outlineLevel="0" collapsed="false">
      <c r="A131" s="25" t="s">
        <v>3960</v>
      </c>
      <c r="B131" s="25" t="s">
        <v>426</v>
      </c>
      <c r="C131" s="12" t="s">
        <v>427</v>
      </c>
      <c r="D131" s="12" t="s">
        <v>428</v>
      </c>
      <c r="E131" s="12" t="s">
        <v>219</v>
      </c>
      <c r="F131" s="25" t="s">
        <v>1374</v>
      </c>
      <c r="G131" s="25" t="n">
        <v>2026</v>
      </c>
      <c r="H131" s="25" t="n">
        <v>9</v>
      </c>
      <c r="I131" s="25" t="s">
        <v>3827</v>
      </c>
      <c r="J131" s="18" t="n">
        <v>1</v>
      </c>
      <c r="K131" s="14" t="n">
        <v>0.25</v>
      </c>
      <c r="L131" s="14" t="n">
        <v>0.25</v>
      </c>
      <c r="M131" s="29"/>
      <c r="N131" s="29"/>
      <c r="O131" s="29"/>
      <c r="P131" s="14" t="n">
        <v>0.21</v>
      </c>
      <c r="Q131" s="25" t="n">
        <v>0</v>
      </c>
      <c r="R131" s="25" t="n">
        <v>0</v>
      </c>
      <c r="S131" s="25" t="n">
        <v>0</v>
      </c>
      <c r="T131" s="25" t="n">
        <v>0</v>
      </c>
      <c r="U131" s="14" t="n">
        <v>0.96</v>
      </c>
      <c r="V131" s="14" t="n">
        <v>-1.01</v>
      </c>
      <c r="W131" s="14" t="n">
        <v>1.97</v>
      </c>
      <c r="X131" s="14" t="n">
        <v>0.12</v>
      </c>
      <c r="Y131" s="13" t="n">
        <v>0</v>
      </c>
      <c r="Z131" s="25" t="s">
        <v>2961</v>
      </c>
      <c r="AA131" s="12" t="s">
        <v>3828</v>
      </c>
      <c r="AB131" s="25" t="s">
        <v>86</v>
      </c>
      <c r="AC131" s="22" t="s">
        <v>1326</v>
      </c>
    </row>
    <row r="132" customFormat="false" ht="19.5" hidden="false" customHeight="true" outlineLevel="0" collapsed="false">
      <c r="A132" s="27" t="s">
        <v>3961</v>
      </c>
      <c r="B132" s="27" t="s">
        <v>426</v>
      </c>
      <c r="C132" s="9" t="s">
        <v>427</v>
      </c>
      <c r="D132" s="9" t="s">
        <v>428</v>
      </c>
      <c r="E132" s="9" t="s">
        <v>219</v>
      </c>
      <c r="F132" s="27" t="s">
        <v>1400</v>
      </c>
      <c r="G132" s="27" t="n">
        <v>2026</v>
      </c>
      <c r="H132" s="27" t="n">
        <v>9</v>
      </c>
      <c r="I132" s="27" t="s">
        <v>3827</v>
      </c>
      <c r="J132" s="20" t="n">
        <v>1</v>
      </c>
      <c r="K132" s="11" t="n">
        <v>0.21</v>
      </c>
      <c r="L132" s="11" t="n">
        <v>0.21</v>
      </c>
      <c r="M132" s="11" t="n">
        <v>0.25</v>
      </c>
      <c r="N132" s="30"/>
      <c r="O132" s="31" t="n">
        <v>-0.04</v>
      </c>
      <c r="P132" s="11" t="n">
        <v>0.38</v>
      </c>
      <c r="Q132" s="27" t="n">
        <v>0</v>
      </c>
      <c r="R132" s="27" t="n">
        <v>0</v>
      </c>
      <c r="S132" s="27" t="n">
        <v>0</v>
      </c>
      <c r="T132" s="27" t="n">
        <v>0</v>
      </c>
      <c r="U132" s="11" t="n">
        <v>0.3</v>
      </c>
      <c r="V132" s="11" t="n">
        <v>-0.98</v>
      </c>
      <c r="W132" s="11" t="n">
        <v>1.28</v>
      </c>
      <c r="X132" s="11" t="n">
        <v>0.08</v>
      </c>
      <c r="Y132" s="10" t="n">
        <v>0</v>
      </c>
      <c r="Z132" s="27" t="s">
        <v>2961</v>
      </c>
      <c r="AA132" s="9" t="s">
        <v>3828</v>
      </c>
      <c r="AB132" s="27" t="s">
        <v>86</v>
      </c>
      <c r="AC132" s="23" t="s">
        <v>1383</v>
      </c>
    </row>
    <row r="133" customFormat="false" ht="19.5" hidden="false" customHeight="true" outlineLevel="0" collapsed="false">
      <c r="A133" s="25" t="s">
        <v>3962</v>
      </c>
      <c r="B133" s="25" t="s">
        <v>426</v>
      </c>
      <c r="C133" s="12" t="s">
        <v>427</v>
      </c>
      <c r="D133" s="12" t="s">
        <v>428</v>
      </c>
      <c r="E133" s="12" t="s">
        <v>219</v>
      </c>
      <c r="F133" s="25" t="s">
        <v>1419</v>
      </c>
      <c r="G133" s="25" t="n">
        <v>2026</v>
      </c>
      <c r="H133" s="25" t="n">
        <v>9</v>
      </c>
      <c r="I133" s="25" t="s">
        <v>3827</v>
      </c>
      <c r="J133" s="18" t="n">
        <v>1</v>
      </c>
      <c r="K133" s="14" t="n">
        <v>0.38</v>
      </c>
      <c r="L133" s="14" t="n">
        <v>0.38</v>
      </c>
      <c r="M133" s="14" t="n">
        <v>0.21</v>
      </c>
      <c r="N133" s="14" t="n">
        <v>0.25</v>
      </c>
      <c r="O133" s="32" t="n">
        <v>0.17</v>
      </c>
      <c r="P133" s="29"/>
      <c r="Q133" s="25" t="n">
        <v>0</v>
      </c>
      <c r="R133" s="25" t="n">
        <v>0</v>
      </c>
      <c r="S133" s="25" t="n">
        <v>0</v>
      </c>
      <c r="T133" s="25" t="n">
        <v>0</v>
      </c>
      <c r="U133" s="14" t="n">
        <v>0.97</v>
      </c>
      <c r="V133" s="14" t="n">
        <v>0.97</v>
      </c>
      <c r="W133" s="14" t="n">
        <v>0</v>
      </c>
      <c r="X133" s="14" t="n">
        <v>0.1</v>
      </c>
      <c r="Y133" s="13" t="n">
        <v>12</v>
      </c>
      <c r="Z133" s="25" t="s">
        <v>2961</v>
      </c>
      <c r="AA133" s="12" t="s">
        <v>3828</v>
      </c>
      <c r="AB133" s="25" t="s">
        <v>86</v>
      </c>
      <c r="AC133" s="22" t="s">
        <v>1376</v>
      </c>
    </row>
    <row r="134" customFormat="false" ht="19.5" hidden="false" customHeight="true" outlineLevel="0" collapsed="false">
      <c r="A134" s="27" t="s">
        <v>3963</v>
      </c>
      <c r="B134" s="27" t="s">
        <v>426</v>
      </c>
      <c r="C134" s="9" t="s">
        <v>427</v>
      </c>
      <c r="D134" s="9" t="s">
        <v>428</v>
      </c>
      <c r="E134" s="9" t="s">
        <v>219</v>
      </c>
      <c r="F134" s="27" t="s">
        <v>1469</v>
      </c>
      <c r="G134" s="27" t="n">
        <v>2026</v>
      </c>
      <c r="H134" s="27" t="n">
        <v>10</v>
      </c>
      <c r="I134" s="27" t="s">
        <v>3827</v>
      </c>
      <c r="J134" s="20" t="n">
        <v>1</v>
      </c>
      <c r="K134" s="11" t="n">
        <v>0.34</v>
      </c>
      <c r="L134" s="11" t="n">
        <v>0.34</v>
      </c>
      <c r="M134" s="30"/>
      <c r="N134" s="30"/>
      <c r="O134" s="30"/>
      <c r="P134" s="11" t="n">
        <v>0.12</v>
      </c>
      <c r="Q134" s="27" t="n">
        <v>0</v>
      </c>
      <c r="R134" s="27" t="n">
        <v>0</v>
      </c>
      <c r="S134" s="27" t="n">
        <v>0</v>
      </c>
      <c r="T134" s="27" t="n">
        <v>0</v>
      </c>
      <c r="U134" s="11" t="n">
        <v>1.51</v>
      </c>
      <c r="V134" s="11" t="n">
        <v>-0.78</v>
      </c>
      <c r="W134" s="11" t="n">
        <v>2.29</v>
      </c>
      <c r="X134" s="11" t="n">
        <v>0.23</v>
      </c>
      <c r="Y134" s="10" t="n">
        <v>41</v>
      </c>
      <c r="Z134" s="27" t="s">
        <v>3014</v>
      </c>
      <c r="AA134" s="9" t="s">
        <v>3832</v>
      </c>
      <c r="AB134" s="27" t="s">
        <v>86</v>
      </c>
      <c r="AC134" s="23" t="s">
        <v>1437</v>
      </c>
    </row>
    <row r="135" customFormat="false" ht="19.5" hidden="false" customHeight="true" outlineLevel="0" collapsed="false">
      <c r="A135" s="25" t="s">
        <v>3964</v>
      </c>
      <c r="B135" s="25" t="s">
        <v>426</v>
      </c>
      <c r="C135" s="12" t="s">
        <v>427</v>
      </c>
      <c r="D135" s="12" t="s">
        <v>428</v>
      </c>
      <c r="E135" s="12" t="s">
        <v>219</v>
      </c>
      <c r="F135" s="25" t="s">
        <v>1490</v>
      </c>
      <c r="G135" s="25" t="n">
        <v>2026</v>
      </c>
      <c r="H135" s="25" t="n">
        <v>10</v>
      </c>
      <c r="I135" s="25" t="s">
        <v>3827</v>
      </c>
      <c r="J135" s="18" t="n">
        <v>1</v>
      </c>
      <c r="K135" s="14" t="n">
        <v>0.12</v>
      </c>
      <c r="L135" s="14" t="n">
        <v>0.12</v>
      </c>
      <c r="M135" s="14" t="n">
        <v>0.34</v>
      </c>
      <c r="N135" s="29"/>
      <c r="O135" s="32" t="n">
        <v>-0.22</v>
      </c>
      <c r="P135" s="14" t="n">
        <v>0.14</v>
      </c>
      <c r="Q135" s="25" t="n">
        <v>0</v>
      </c>
      <c r="R135" s="25" t="n">
        <v>0</v>
      </c>
      <c r="S135" s="25" t="n">
        <v>0</v>
      </c>
      <c r="T135" s="25" t="n">
        <v>0</v>
      </c>
      <c r="U135" s="14" t="n">
        <v>1.85</v>
      </c>
      <c r="V135" s="14" t="n">
        <v>-0.59</v>
      </c>
      <c r="W135" s="14" t="n">
        <v>2.44</v>
      </c>
      <c r="X135" s="14" t="n">
        <v>0.13</v>
      </c>
      <c r="Y135" s="13" t="n">
        <v>2</v>
      </c>
      <c r="Z135" s="25" t="s">
        <v>3014</v>
      </c>
      <c r="AA135" s="12" t="s">
        <v>3832</v>
      </c>
      <c r="AB135" s="25" t="s">
        <v>86</v>
      </c>
      <c r="AC135" s="22" t="s">
        <v>1476</v>
      </c>
    </row>
    <row r="136" customFormat="false" ht="19.5" hidden="false" customHeight="true" outlineLevel="0" collapsed="false">
      <c r="A136" s="27" t="s">
        <v>3965</v>
      </c>
      <c r="B136" s="27" t="s">
        <v>426</v>
      </c>
      <c r="C136" s="9" t="s">
        <v>427</v>
      </c>
      <c r="D136" s="9" t="s">
        <v>428</v>
      </c>
      <c r="E136" s="9" t="s">
        <v>219</v>
      </c>
      <c r="F136" s="27" t="s">
        <v>1510</v>
      </c>
      <c r="G136" s="27" t="n">
        <v>2026</v>
      </c>
      <c r="H136" s="27" t="n">
        <v>10</v>
      </c>
      <c r="I136" s="27" t="s">
        <v>3827</v>
      </c>
      <c r="J136" s="20" t="n">
        <v>1</v>
      </c>
      <c r="K136" s="11" t="n">
        <v>0.14</v>
      </c>
      <c r="L136" s="11" t="n">
        <v>0.14</v>
      </c>
      <c r="M136" s="11" t="n">
        <v>0.12</v>
      </c>
      <c r="N136" s="11" t="n">
        <v>0.34</v>
      </c>
      <c r="O136" s="31" t="n">
        <v>0.02</v>
      </c>
      <c r="P136" s="11" t="n">
        <v>0.07</v>
      </c>
      <c r="Q136" s="27" t="n">
        <v>0</v>
      </c>
      <c r="R136" s="27" t="n">
        <v>0</v>
      </c>
      <c r="S136" s="27" t="n">
        <v>0</v>
      </c>
      <c r="T136" s="27" t="n">
        <v>0</v>
      </c>
      <c r="U136" s="11" t="n">
        <v>1.87</v>
      </c>
      <c r="V136" s="11" t="n">
        <v>-0.82</v>
      </c>
      <c r="W136" s="11" t="n">
        <v>2.69</v>
      </c>
      <c r="X136" s="11" t="n">
        <v>0.04</v>
      </c>
      <c r="Y136" s="10" t="n">
        <v>0</v>
      </c>
      <c r="Z136" s="27" t="s">
        <v>2897</v>
      </c>
      <c r="AA136" s="9" t="s">
        <v>3832</v>
      </c>
      <c r="AB136" s="27" t="s">
        <v>86</v>
      </c>
      <c r="AC136" s="23" t="s">
        <v>1497</v>
      </c>
    </row>
    <row r="137" customFormat="false" ht="19.5" hidden="false" customHeight="true" outlineLevel="0" collapsed="false">
      <c r="A137" s="25" t="s">
        <v>3966</v>
      </c>
      <c r="B137" s="25" t="s">
        <v>426</v>
      </c>
      <c r="C137" s="12" t="s">
        <v>427</v>
      </c>
      <c r="D137" s="12" t="s">
        <v>428</v>
      </c>
      <c r="E137" s="12" t="s">
        <v>219</v>
      </c>
      <c r="F137" s="25" t="s">
        <v>1532</v>
      </c>
      <c r="G137" s="25" t="n">
        <v>2026</v>
      </c>
      <c r="H137" s="25" t="n">
        <v>10</v>
      </c>
      <c r="I137" s="25" t="s">
        <v>3827</v>
      </c>
      <c r="J137" s="18" t="n">
        <v>1</v>
      </c>
      <c r="K137" s="14" t="n">
        <v>0.07</v>
      </c>
      <c r="L137" s="14" t="n">
        <v>0.07</v>
      </c>
      <c r="M137" s="14" t="n">
        <v>0.14</v>
      </c>
      <c r="N137" s="14" t="n">
        <v>0.12</v>
      </c>
      <c r="O137" s="32" t="n">
        <v>-0.07</v>
      </c>
      <c r="P137" s="14" t="n">
        <v>0.06</v>
      </c>
      <c r="Q137" s="25" t="n">
        <v>0</v>
      </c>
      <c r="R137" s="25" t="n">
        <v>0</v>
      </c>
      <c r="S137" s="25" t="n">
        <v>0</v>
      </c>
      <c r="T137" s="25" t="n">
        <v>0</v>
      </c>
      <c r="U137" s="14" t="n">
        <v>1.81</v>
      </c>
      <c r="V137" s="14" t="n">
        <v>-0.96</v>
      </c>
      <c r="W137" s="14" t="n">
        <v>2.77</v>
      </c>
      <c r="X137" s="14" t="n">
        <v>0.33</v>
      </c>
      <c r="Y137" s="13" t="n">
        <v>0</v>
      </c>
      <c r="Z137" s="25" t="s">
        <v>2998</v>
      </c>
      <c r="AA137" s="12" t="s">
        <v>3832</v>
      </c>
      <c r="AB137" s="25" t="s">
        <v>86</v>
      </c>
      <c r="AC137" s="22" t="s">
        <v>1517</v>
      </c>
    </row>
    <row r="138" customFormat="false" ht="19.5" hidden="false" customHeight="true" outlineLevel="0" collapsed="false">
      <c r="A138" s="27" t="s">
        <v>3967</v>
      </c>
      <c r="B138" s="27" t="s">
        <v>426</v>
      </c>
      <c r="C138" s="9" t="s">
        <v>427</v>
      </c>
      <c r="D138" s="9" t="s">
        <v>428</v>
      </c>
      <c r="E138" s="9" t="s">
        <v>219</v>
      </c>
      <c r="F138" s="27" t="s">
        <v>1555</v>
      </c>
      <c r="G138" s="27" t="n">
        <v>2026</v>
      </c>
      <c r="H138" s="27" t="n">
        <v>10</v>
      </c>
      <c r="I138" s="27" t="s">
        <v>3827</v>
      </c>
      <c r="J138" s="20" t="n">
        <v>1</v>
      </c>
      <c r="K138" s="11" t="n">
        <v>0.06</v>
      </c>
      <c r="L138" s="11" t="n">
        <v>0.06</v>
      </c>
      <c r="M138" s="11" t="n">
        <v>0.07</v>
      </c>
      <c r="N138" s="11" t="n">
        <v>0.14</v>
      </c>
      <c r="O138" s="31" t="n">
        <v>-0.01</v>
      </c>
      <c r="P138" s="30"/>
      <c r="Q138" s="27" t="n">
        <v>0</v>
      </c>
      <c r="R138" s="27" t="n">
        <v>0</v>
      </c>
      <c r="S138" s="27" t="n">
        <v>0</v>
      </c>
      <c r="T138" s="27" t="n">
        <v>0</v>
      </c>
      <c r="U138" s="11" t="n">
        <v>1.6</v>
      </c>
      <c r="V138" s="11" t="n">
        <v>1.6</v>
      </c>
      <c r="W138" s="11" t="n">
        <v>0</v>
      </c>
      <c r="X138" s="11" t="n">
        <v>0.32</v>
      </c>
      <c r="Y138" s="10" t="n">
        <v>3.6</v>
      </c>
      <c r="Z138" s="27" t="s">
        <v>2998</v>
      </c>
      <c r="AA138" s="9" t="s">
        <v>3832</v>
      </c>
      <c r="AB138" s="27" t="s">
        <v>86</v>
      </c>
      <c r="AC138" s="23" t="s">
        <v>93</v>
      </c>
    </row>
    <row r="139" customFormat="false" ht="19.5" hidden="false" customHeight="true" outlineLevel="0" collapsed="false">
      <c r="A139" s="25" t="s">
        <v>3968</v>
      </c>
      <c r="B139" s="25" t="s">
        <v>385</v>
      </c>
      <c r="C139" s="12" t="s">
        <v>386</v>
      </c>
      <c r="D139" s="12" t="s">
        <v>387</v>
      </c>
      <c r="E139" s="12" t="s">
        <v>219</v>
      </c>
      <c r="F139" s="25" t="s">
        <v>1374</v>
      </c>
      <c r="G139" s="25" t="n">
        <v>2026</v>
      </c>
      <c r="H139" s="25" t="n">
        <v>9</v>
      </c>
      <c r="I139" s="25" t="s">
        <v>3827</v>
      </c>
      <c r="J139" s="18" t="n">
        <v>1</v>
      </c>
      <c r="K139" s="14" t="n">
        <v>0</v>
      </c>
      <c r="L139" s="14" t="n">
        <v>0</v>
      </c>
      <c r="M139" s="29"/>
      <c r="N139" s="29"/>
      <c r="O139" s="29"/>
      <c r="P139" s="14" t="n">
        <v>0</v>
      </c>
      <c r="Q139" s="25" t="n">
        <v>0</v>
      </c>
      <c r="R139" s="25" t="n">
        <v>0</v>
      </c>
      <c r="S139" s="25" t="n">
        <v>0</v>
      </c>
      <c r="T139" s="25" t="n">
        <v>0</v>
      </c>
      <c r="U139" s="14" t="n">
        <v>0.96</v>
      </c>
      <c r="V139" s="14" t="n">
        <v>-1.01</v>
      </c>
      <c r="W139" s="14" t="n">
        <v>1.97</v>
      </c>
      <c r="X139" s="14" t="n">
        <v>0.27</v>
      </c>
      <c r="Y139" s="13" t="n">
        <v>5.4</v>
      </c>
      <c r="Z139" s="25" t="s">
        <v>2961</v>
      </c>
      <c r="AA139" s="12" t="s">
        <v>3828</v>
      </c>
      <c r="AB139" s="25" t="s">
        <v>86</v>
      </c>
      <c r="AC139" s="22" t="s">
        <v>1326</v>
      </c>
    </row>
    <row r="140" customFormat="false" ht="19.5" hidden="false" customHeight="true" outlineLevel="0" collapsed="false">
      <c r="A140" s="27" t="s">
        <v>3969</v>
      </c>
      <c r="B140" s="27" t="s">
        <v>385</v>
      </c>
      <c r="C140" s="9" t="s">
        <v>386</v>
      </c>
      <c r="D140" s="9" t="s">
        <v>387</v>
      </c>
      <c r="E140" s="9" t="s">
        <v>219</v>
      </c>
      <c r="F140" s="27" t="s">
        <v>1400</v>
      </c>
      <c r="G140" s="27" t="n">
        <v>2026</v>
      </c>
      <c r="H140" s="27" t="n">
        <v>9</v>
      </c>
      <c r="I140" s="27" t="s">
        <v>3827</v>
      </c>
      <c r="J140" s="20" t="n">
        <v>1</v>
      </c>
      <c r="K140" s="11" t="n">
        <v>0</v>
      </c>
      <c r="L140" s="11" t="n">
        <v>0</v>
      </c>
      <c r="M140" s="11" t="n">
        <v>0</v>
      </c>
      <c r="N140" s="30"/>
      <c r="O140" s="31" t="n">
        <v>0</v>
      </c>
      <c r="P140" s="11" t="n">
        <v>0</v>
      </c>
      <c r="Q140" s="27" t="n">
        <v>0</v>
      </c>
      <c r="R140" s="27" t="n">
        <v>0</v>
      </c>
      <c r="S140" s="27" t="n">
        <v>0</v>
      </c>
      <c r="T140" s="27" t="n">
        <v>0</v>
      </c>
      <c r="U140" s="11" t="n">
        <v>0.3</v>
      </c>
      <c r="V140" s="11" t="n">
        <v>-0.98</v>
      </c>
      <c r="W140" s="11" t="n">
        <v>1.28</v>
      </c>
      <c r="X140" s="11" t="n">
        <v>0.32</v>
      </c>
      <c r="Y140" s="10" t="n">
        <v>0</v>
      </c>
      <c r="Z140" s="27" t="s">
        <v>2961</v>
      </c>
      <c r="AA140" s="9" t="s">
        <v>3828</v>
      </c>
      <c r="AB140" s="27" t="s">
        <v>86</v>
      </c>
      <c r="AC140" s="23" t="s">
        <v>1383</v>
      </c>
    </row>
    <row r="141" customFormat="false" ht="19.5" hidden="false" customHeight="true" outlineLevel="0" collapsed="false">
      <c r="A141" s="25" t="s">
        <v>3970</v>
      </c>
      <c r="B141" s="25" t="s">
        <v>385</v>
      </c>
      <c r="C141" s="12" t="s">
        <v>386</v>
      </c>
      <c r="D141" s="12" t="s">
        <v>387</v>
      </c>
      <c r="E141" s="12" t="s">
        <v>219</v>
      </c>
      <c r="F141" s="25" t="s">
        <v>1419</v>
      </c>
      <c r="G141" s="25" t="n">
        <v>2026</v>
      </c>
      <c r="H141" s="25" t="n">
        <v>9</v>
      </c>
      <c r="I141" s="25" t="s">
        <v>3827</v>
      </c>
      <c r="J141" s="18" t="n">
        <v>1</v>
      </c>
      <c r="K141" s="14" t="n">
        <v>0</v>
      </c>
      <c r="L141" s="14" t="n">
        <v>0</v>
      </c>
      <c r="M141" s="14" t="n">
        <v>0</v>
      </c>
      <c r="N141" s="14" t="n">
        <v>0</v>
      </c>
      <c r="O141" s="32" t="n">
        <v>0</v>
      </c>
      <c r="P141" s="29"/>
      <c r="Q141" s="25" t="n">
        <v>0</v>
      </c>
      <c r="R141" s="25" t="n">
        <v>0</v>
      </c>
      <c r="S141" s="25" t="n">
        <v>0</v>
      </c>
      <c r="T141" s="25" t="n">
        <v>0</v>
      </c>
      <c r="U141" s="14" t="n">
        <v>0.97</v>
      </c>
      <c r="V141" s="14" t="n">
        <v>0.97</v>
      </c>
      <c r="W141" s="14" t="n">
        <v>0</v>
      </c>
      <c r="X141" s="14" t="n">
        <v>0.19</v>
      </c>
      <c r="Y141" s="13" t="n">
        <v>25</v>
      </c>
      <c r="Z141" s="25" t="s">
        <v>2961</v>
      </c>
      <c r="AA141" s="12" t="s">
        <v>3828</v>
      </c>
      <c r="AB141" s="25" t="s">
        <v>86</v>
      </c>
      <c r="AC141" s="22" t="s">
        <v>1376</v>
      </c>
    </row>
    <row r="142" customFormat="false" ht="19.5" hidden="false" customHeight="true" outlineLevel="0" collapsed="false">
      <c r="A142" s="27" t="s">
        <v>3971</v>
      </c>
      <c r="B142" s="27" t="s">
        <v>385</v>
      </c>
      <c r="C142" s="9" t="s">
        <v>386</v>
      </c>
      <c r="D142" s="9" t="s">
        <v>387</v>
      </c>
      <c r="E142" s="9" t="s">
        <v>219</v>
      </c>
      <c r="F142" s="27" t="s">
        <v>1469</v>
      </c>
      <c r="G142" s="27" t="n">
        <v>2026</v>
      </c>
      <c r="H142" s="27" t="n">
        <v>10</v>
      </c>
      <c r="I142" s="27" t="s">
        <v>3827</v>
      </c>
      <c r="J142" s="20" t="n">
        <v>1</v>
      </c>
      <c r="K142" s="11" t="n">
        <v>0</v>
      </c>
      <c r="L142" s="11" t="n">
        <v>0</v>
      </c>
      <c r="M142" s="30"/>
      <c r="N142" s="30"/>
      <c r="O142" s="30"/>
      <c r="P142" s="11" t="n">
        <v>0</v>
      </c>
      <c r="Q142" s="27" t="n">
        <v>0</v>
      </c>
      <c r="R142" s="27" t="n">
        <v>0</v>
      </c>
      <c r="S142" s="27" t="n">
        <v>0</v>
      </c>
      <c r="T142" s="27" t="n">
        <v>0</v>
      </c>
      <c r="U142" s="11" t="n">
        <v>1.51</v>
      </c>
      <c r="V142" s="11" t="n">
        <v>-0.78</v>
      </c>
      <c r="W142" s="11" t="n">
        <v>2.29</v>
      </c>
      <c r="X142" s="11" t="n">
        <v>0.3</v>
      </c>
      <c r="Y142" s="10" t="n">
        <v>3.7</v>
      </c>
      <c r="Z142" s="27" t="s">
        <v>3014</v>
      </c>
      <c r="AA142" s="9" t="s">
        <v>3832</v>
      </c>
      <c r="AB142" s="27" t="s">
        <v>86</v>
      </c>
      <c r="AC142" s="23" t="s">
        <v>1437</v>
      </c>
    </row>
    <row r="143" customFormat="false" ht="19.5" hidden="false" customHeight="true" outlineLevel="0" collapsed="false">
      <c r="A143" s="25" t="s">
        <v>3972</v>
      </c>
      <c r="B143" s="25" t="s">
        <v>385</v>
      </c>
      <c r="C143" s="12" t="s">
        <v>386</v>
      </c>
      <c r="D143" s="12" t="s">
        <v>387</v>
      </c>
      <c r="E143" s="12" t="s">
        <v>219</v>
      </c>
      <c r="F143" s="25" t="s">
        <v>1490</v>
      </c>
      <c r="G143" s="25" t="n">
        <v>2026</v>
      </c>
      <c r="H143" s="25" t="n">
        <v>10</v>
      </c>
      <c r="I143" s="25" t="s">
        <v>3827</v>
      </c>
      <c r="J143" s="18" t="n">
        <v>1</v>
      </c>
      <c r="K143" s="14" t="n">
        <v>0</v>
      </c>
      <c r="L143" s="14" t="n">
        <v>0</v>
      </c>
      <c r="M143" s="14" t="n">
        <v>0</v>
      </c>
      <c r="N143" s="29"/>
      <c r="O143" s="32" t="n">
        <v>0</v>
      </c>
      <c r="P143" s="14" t="n">
        <v>0</v>
      </c>
      <c r="Q143" s="25" t="n">
        <v>0</v>
      </c>
      <c r="R143" s="25" t="n">
        <v>0</v>
      </c>
      <c r="S143" s="25" t="n">
        <v>0</v>
      </c>
      <c r="T143" s="25" t="n">
        <v>0</v>
      </c>
      <c r="U143" s="14" t="n">
        <v>1.85</v>
      </c>
      <c r="V143" s="14" t="n">
        <v>-0.59</v>
      </c>
      <c r="W143" s="14" t="n">
        <v>2.44</v>
      </c>
      <c r="X143" s="14" t="n">
        <v>0.29</v>
      </c>
      <c r="Y143" s="13" t="n">
        <v>5</v>
      </c>
      <c r="Z143" s="25" t="s">
        <v>3014</v>
      </c>
      <c r="AA143" s="12" t="s">
        <v>3832</v>
      </c>
      <c r="AB143" s="25" t="s">
        <v>86</v>
      </c>
      <c r="AC143" s="22" t="s">
        <v>1476</v>
      </c>
    </row>
    <row r="144" customFormat="false" ht="19.5" hidden="false" customHeight="true" outlineLevel="0" collapsed="false">
      <c r="A144" s="27" t="s">
        <v>3973</v>
      </c>
      <c r="B144" s="27" t="s">
        <v>385</v>
      </c>
      <c r="C144" s="9" t="s">
        <v>386</v>
      </c>
      <c r="D144" s="9" t="s">
        <v>387</v>
      </c>
      <c r="E144" s="9" t="s">
        <v>219</v>
      </c>
      <c r="F144" s="27" t="s">
        <v>1510</v>
      </c>
      <c r="G144" s="27" t="n">
        <v>2026</v>
      </c>
      <c r="H144" s="27" t="n">
        <v>10</v>
      </c>
      <c r="I144" s="27" t="s">
        <v>3827</v>
      </c>
      <c r="J144" s="20" t="n">
        <v>1</v>
      </c>
      <c r="K144" s="11" t="n">
        <v>0</v>
      </c>
      <c r="L144" s="11" t="n">
        <v>0</v>
      </c>
      <c r="M144" s="11" t="n">
        <v>0</v>
      </c>
      <c r="N144" s="11" t="n">
        <v>0</v>
      </c>
      <c r="O144" s="31" t="n">
        <v>0</v>
      </c>
      <c r="P144" s="11" t="n">
        <v>0</v>
      </c>
      <c r="Q144" s="27" t="n">
        <v>0</v>
      </c>
      <c r="R144" s="27" t="n">
        <v>0</v>
      </c>
      <c r="S144" s="27" t="n">
        <v>0</v>
      </c>
      <c r="T144" s="27" t="n">
        <v>0</v>
      </c>
      <c r="U144" s="11" t="n">
        <v>1.87</v>
      </c>
      <c r="V144" s="11" t="n">
        <v>-0.82</v>
      </c>
      <c r="W144" s="11" t="n">
        <v>2.69</v>
      </c>
      <c r="X144" s="11" t="n">
        <v>0.26</v>
      </c>
      <c r="Y144" s="10" t="n">
        <v>0</v>
      </c>
      <c r="Z144" s="27" t="s">
        <v>2897</v>
      </c>
      <c r="AA144" s="9" t="s">
        <v>3832</v>
      </c>
      <c r="AB144" s="27" t="s">
        <v>86</v>
      </c>
      <c r="AC144" s="23" t="s">
        <v>1497</v>
      </c>
    </row>
    <row r="145" customFormat="false" ht="19.5" hidden="false" customHeight="true" outlineLevel="0" collapsed="false">
      <c r="A145" s="25" t="s">
        <v>3974</v>
      </c>
      <c r="B145" s="25" t="s">
        <v>385</v>
      </c>
      <c r="C145" s="12" t="s">
        <v>386</v>
      </c>
      <c r="D145" s="12" t="s">
        <v>387</v>
      </c>
      <c r="E145" s="12" t="s">
        <v>219</v>
      </c>
      <c r="F145" s="25" t="s">
        <v>1532</v>
      </c>
      <c r="G145" s="25" t="n">
        <v>2026</v>
      </c>
      <c r="H145" s="25" t="n">
        <v>10</v>
      </c>
      <c r="I145" s="25" t="s">
        <v>3827</v>
      </c>
      <c r="J145" s="18" t="n">
        <v>1</v>
      </c>
      <c r="K145" s="14" t="n">
        <v>0</v>
      </c>
      <c r="L145" s="14" t="n">
        <v>0</v>
      </c>
      <c r="M145" s="14" t="n">
        <v>0</v>
      </c>
      <c r="N145" s="14" t="n">
        <v>0</v>
      </c>
      <c r="O145" s="32" t="n">
        <v>0</v>
      </c>
      <c r="P145" s="14" t="n">
        <v>0</v>
      </c>
      <c r="Q145" s="25" t="n">
        <v>0</v>
      </c>
      <c r="R145" s="25" t="n">
        <v>0</v>
      </c>
      <c r="S145" s="25" t="n">
        <v>0</v>
      </c>
      <c r="T145" s="25" t="n">
        <v>0</v>
      </c>
      <c r="U145" s="14" t="n">
        <v>1.81</v>
      </c>
      <c r="V145" s="14" t="n">
        <v>-0.96</v>
      </c>
      <c r="W145" s="14" t="n">
        <v>2.77</v>
      </c>
      <c r="X145" s="14" t="n">
        <v>0.34</v>
      </c>
      <c r="Y145" s="13" t="n">
        <v>0</v>
      </c>
      <c r="Z145" s="25" t="s">
        <v>2998</v>
      </c>
      <c r="AA145" s="12" t="s">
        <v>3832</v>
      </c>
      <c r="AB145" s="25" t="s">
        <v>86</v>
      </c>
      <c r="AC145" s="22" t="s">
        <v>1517</v>
      </c>
    </row>
    <row r="146" customFormat="false" ht="19.5" hidden="false" customHeight="true" outlineLevel="0" collapsed="false">
      <c r="A146" s="27" t="s">
        <v>3975</v>
      </c>
      <c r="B146" s="27" t="s">
        <v>385</v>
      </c>
      <c r="C146" s="9" t="s">
        <v>386</v>
      </c>
      <c r="D146" s="9" t="s">
        <v>387</v>
      </c>
      <c r="E146" s="9" t="s">
        <v>219</v>
      </c>
      <c r="F146" s="27" t="s">
        <v>1555</v>
      </c>
      <c r="G146" s="27" t="n">
        <v>2026</v>
      </c>
      <c r="H146" s="27" t="n">
        <v>10</v>
      </c>
      <c r="I146" s="27" t="s">
        <v>3827</v>
      </c>
      <c r="J146" s="20" t="n">
        <v>1</v>
      </c>
      <c r="K146" s="11" t="n">
        <v>0</v>
      </c>
      <c r="L146" s="11" t="n">
        <v>0</v>
      </c>
      <c r="M146" s="11" t="n">
        <v>0</v>
      </c>
      <c r="N146" s="11" t="n">
        <v>0</v>
      </c>
      <c r="O146" s="31" t="n">
        <v>0</v>
      </c>
      <c r="P146" s="30"/>
      <c r="Q146" s="27" t="n">
        <v>0</v>
      </c>
      <c r="R146" s="27" t="n">
        <v>0</v>
      </c>
      <c r="S146" s="27" t="n">
        <v>0</v>
      </c>
      <c r="T146" s="27" t="n">
        <v>0</v>
      </c>
      <c r="U146" s="11" t="n">
        <v>1.6</v>
      </c>
      <c r="V146" s="11" t="n">
        <v>1.6</v>
      </c>
      <c r="W146" s="11" t="n">
        <v>0</v>
      </c>
      <c r="X146" s="11" t="n">
        <v>0.34</v>
      </c>
      <c r="Y146" s="10" t="n">
        <v>0</v>
      </c>
      <c r="Z146" s="27" t="s">
        <v>2998</v>
      </c>
      <c r="AA146" s="9" t="s">
        <v>3832</v>
      </c>
      <c r="AB146" s="27" t="s">
        <v>86</v>
      </c>
      <c r="AC146" s="23" t="s">
        <v>93</v>
      </c>
    </row>
    <row r="147" customFormat="false" ht="19.5" hidden="false" customHeight="true" outlineLevel="0" collapsed="false">
      <c r="A147" s="25" t="s">
        <v>3976</v>
      </c>
      <c r="B147" s="25" t="s">
        <v>392</v>
      </c>
      <c r="C147" s="12" t="s">
        <v>393</v>
      </c>
      <c r="D147" s="12" t="s">
        <v>394</v>
      </c>
      <c r="E147" s="12" t="s">
        <v>219</v>
      </c>
      <c r="F147" s="25" t="s">
        <v>1374</v>
      </c>
      <c r="G147" s="25" t="n">
        <v>2026</v>
      </c>
      <c r="H147" s="25" t="n">
        <v>9</v>
      </c>
      <c r="I147" s="25" t="s">
        <v>3827</v>
      </c>
      <c r="J147" s="18" t="n">
        <v>1</v>
      </c>
      <c r="K147" s="14" t="n">
        <v>0.1</v>
      </c>
      <c r="L147" s="14" t="n">
        <v>0.1</v>
      </c>
      <c r="M147" s="29"/>
      <c r="N147" s="29"/>
      <c r="O147" s="29"/>
      <c r="P147" s="14" t="n">
        <v>0.1</v>
      </c>
      <c r="Q147" s="25" t="n">
        <v>0</v>
      </c>
      <c r="R147" s="25" t="n">
        <v>0</v>
      </c>
      <c r="S147" s="25" t="n">
        <v>0</v>
      </c>
      <c r="T147" s="25" t="n">
        <v>0</v>
      </c>
      <c r="U147" s="14" t="n">
        <v>0.96</v>
      </c>
      <c r="V147" s="14" t="n">
        <v>-1.01</v>
      </c>
      <c r="W147" s="14" t="n">
        <v>1.97</v>
      </c>
      <c r="X147" s="14" t="n">
        <v>0.35</v>
      </c>
      <c r="Y147" s="13" t="n">
        <v>25.6</v>
      </c>
      <c r="Z147" s="25" t="s">
        <v>2961</v>
      </c>
      <c r="AA147" s="12" t="s">
        <v>3828</v>
      </c>
      <c r="AB147" s="25" t="s">
        <v>86</v>
      </c>
      <c r="AC147" s="22" t="s">
        <v>1326</v>
      </c>
    </row>
    <row r="148" customFormat="false" ht="19.5" hidden="false" customHeight="true" outlineLevel="0" collapsed="false">
      <c r="A148" s="27" t="s">
        <v>3977</v>
      </c>
      <c r="B148" s="27" t="s">
        <v>392</v>
      </c>
      <c r="C148" s="9" t="s">
        <v>393</v>
      </c>
      <c r="D148" s="9" t="s">
        <v>394</v>
      </c>
      <c r="E148" s="9" t="s">
        <v>219</v>
      </c>
      <c r="F148" s="27" t="s">
        <v>1400</v>
      </c>
      <c r="G148" s="27" t="n">
        <v>2026</v>
      </c>
      <c r="H148" s="27" t="n">
        <v>9</v>
      </c>
      <c r="I148" s="27" t="s">
        <v>3827</v>
      </c>
      <c r="J148" s="20" t="n">
        <v>1</v>
      </c>
      <c r="K148" s="11" t="n">
        <v>0.1</v>
      </c>
      <c r="L148" s="11" t="n">
        <v>0.1</v>
      </c>
      <c r="M148" s="11" t="n">
        <v>0.1</v>
      </c>
      <c r="N148" s="30"/>
      <c r="O148" s="31" t="n">
        <v>0</v>
      </c>
      <c r="P148" s="11" t="n">
        <v>0.1</v>
      </c>
      <c r="Q148" s="27" t="n">
        <v>0</v>
      </c>
      <c r="R148" s="27" t="n">
        <v>0</v>
      </c>
      <c r="S148" s="27" t="n">
        <v>0</v>
      </c>
      <c r="T148" s="27" t="n">
        <v>0</v>
      </c>
      <c r="U148" s="11" t="n">
        <v>0.3</v>
      </c>
      <c r="V148" s="11" t="n">
        <v>-0.98</v>
      </c>
      <c r="W148" s="11" t="n">
        <v>1.28</v>
      </c>
      <c r="X148" s="11" t="n">
        <v>0.37</v>
      </c>
      <c r="Y148" s="10" t="n">
        <v>2.2</v>
      </c>
      <c r="Z148" s="27" t="s">
        <v>2961</v>
      </c>
      <c r="AA148" s="9" t="s">
        <v>3828</v>
      </c>
      <c r="AB148" s="27" t="s">
        <v>86</v>
      </c>
      <c r="AC148" s="23" t="s">
        <v>1383</v>
      </c>
    </row>
    <row r="149" customFormat="false" ht="19.5" hidden="false" customHeight="true" outlineLevel="0" collapsed="false">
      <c r="A149" s="25" t="s">
        <v>3978</v>
      </c>
      <c r="B149" s="25" t="s">
        <v>392</v>
      </c>
      <c r="C149" s="12" t="s">
        <v>393</v>
      </c>
      <c r="D149" s="12" t="s">
        <v>394</v>
      </c>
      <c r="E149" s="12" t="s">
        <v>219</v>
      </c>
      <c r="F149" s="25" t="s">
        <v>1419</v>
      </c>
      <c r="G149" s="25" t="n">
        <v>2026</v>
      </c>
      <c r="H149" s="25" t="n">
        <v>9</v>
      </c>
      <c r="I149" s="25" t="s">
        <v>3827</v>
      </c>
      <c r="J149" s="18" t="n">
        <v>1</v>
      </c>
      <c r="K149" s="14" t="n">
        <v>0.1</v>
      </c>
      <c r="L149" s="14" t="n">
        <v>0.1</v>
      </c>
      <c r="M149" s="14" t="n">
        <v>0.1</v>
      </c>
      <c r="N149" s="14" t="n">
        <v>0.1</v>
      </c>
      <c r="O149" s="32" t="n">
        <v>0</v>
      </c>
      <c r="P149" s="29"/>
      <c r="Q149" s="25" t="n">
        <v>0</v>
      </c>
      <c r="R149" s="25" t="n">
        <v>0</v>
      </c>
      <c r="S149" s="25" t="n">
        <v>0</v>
      </c>
      <c r="T149" s="25" t="n">
        <v>0</v>
      </c>
      <c r="U149" s="14" t="n">
        <v>0.97</v>
      </c>
      <c r="V149" s="14" t="n">
        <v>0.97</v>
      </c>
      <c r="W149" s="14" t="n">
        <v>0</v>
      </c>
      <c r="X149" s="14" t="n">
        <v>0.17</v>
      </c>
      <c r="Y149" s="13" t="n">
        <v>2.2</v>
      </c>
      <c r="Z149" s="25" t="s">
        <v>2961</v>
      </c>
      <c r="AA149" s="12" t="s">
        <v>3828</v>
      </c>
      <c r="AB149" s="25" t="s">
        <v>86</v>
      </c>
      <c r="AC149" s="22" t="s">
        <v>1376</v>
      </c>
    </row>
    <row r="150" customFormat="false" ht="19.5" hidden="false" customHeight="true" outlineLevel="0" collapsed="false">
      <c r="A150" s="27" t="s">
        <v>3979</v>
      </c>
      <c r="B150" s="27" t="s">
        <v>392</v>
      </c>
      <c r="C150" s="9" t="s">
        <v>393</v>
      </c>
      <c r="D150" s="9" t="s">
        <v>394</v>
      </c>
      <c r="E150" s="9" t="s">
        <v>219</v>
      </c>
      <c r="F150" s="27" t="s">
        <v>1469</v>
      </c>
      <c r="G150" s="27" t="n">
        <v>2026</v>
      </c>
      <c r="H150" s="27" t="n">
        <v>10</v>
      </c>
      <c r="I150" s="27" t="s">
        <v>3827</v>
      </c>
      <c r="J150" s="20" t="n">
        <v>1</v>
      </c>
      <c r="K150" s="11" t="n">
        <v>0.1</v>
      </c>
      <c r="L150" s="11" t="n">
        <v>0.1</v>
      </c>
      <c r="M150" s="30"/>
      <c r="N150" s="30"/>
      <c r="O150" s="30"/>
      <c r="P150" s="11" t="n">
        <v>0.1</v>
      </c>
      <c r="Q150" s="27" t="n">
        <v>0</v>
      </c>
      <c r="R150" s="27" t="n">
        <v>0</v>
      </c>
      <c r="S150" s="27" t="n">
        <v>0</v>
      </c>
      <c r="T150" s="27" t="n">
        <v>0</v>
      </c>
      <c r="U150" s="11" t="n">
        <v>1.51</v>
      </c>
      <c r="V150" s="11" t="n">
        <v>-0.78</v>
      </c>
      <c r="W150" s="11" t="n">
        <v>2.29</v>
      </c>
      <c r="X150" s="11" t="n">
        <v>0.42</v>
      </c>
      <c r="Y150" s="10" t="n">
        <v>26.6</v>
      </c>
      <c r="Z150" s="27" t="s">
        <v>3014</v>
      </c>
      <c r="AA150" s="9" t="s">
        <v>3832</v>
      </c>
      <c r="AB150" s="27" t="s">
        <v>86</v>
      </c>
      <c r="AC150" s="23" t="s">
        <v>1437</v>
      </c>
    </row>
    <row r="151" customFormat="false" ht="19.5" hidden="false" customHeight="true" outlineLevel="0" collapsed="false">
      <c r="A151" s="25" t="s">
        <v>3980</v>
      </c>
      <c r="B151" s="25" t="s">
        <v>392</v>
      </c>
      <c r="C151" s="12" t="s">
        <v>393</v>
      </c>
      <c r="D151" s="12" t="s">
        <v>394</v>
      </c>
      <c r="E151" s="12" t="s">
        <v>219</v>
      </c>
      <c r="F151" s="25" t="s">
        <v>1490</v>
      </c>
      <c r="G151" s="25" t="n">
        <v>2026</v>
      </c>
      <c r="H151" s="25" t="n">
        <v>10</v>
      </c>
      <c r="I151" s="25" t="s">
        <v>3827</v>
      </c>
      <c r="J151" s="18" t="n">
        <v>1</v>
      </c>
      <c r="K151" s="14" t="n">
        <v>0.1</v>
      </c>
      <c r="L151" s="14" t="n">
        <v>0.1</v>
      </c>
      <c r="M151" s="14" t="n">
        <v>0.1</v>
      </c>
      <c r="N151" s="29"/>
      <c r="O151" s="32" t="n">
        <v>0</v>
      </c>
      <c r="P151" s="14" t="n">
        <v>0.1</v>
      </c>
      <c r="Q151" s="25" t="n">
        <v>0</v>
      </c>
      <c r="R151" s="25" t="n">
        <v>0</v>
      </c>
      <c r="S151" s="25" t="n">
        <v>0</v>
      </c>
      <c r="T151" s="25" t="n">
        <v>0</v>
      </c>
      <c r="U151" s="14" t="n">
        <v>1.85</v>
      </c>
      <c r="V151" s="14" t="n">
        <v>-0.59</v>
      </c>
      <c r="W151" s="14" t="n">
        <v>2.44</v>
      </c>
      <c r="X151" s="14" t="n">
        <v>0.37</v>
      </c>
      <c r="Y151" s="13" t="n">
        <v>12.4</v>
      </c>
      <c r="Z151" s="25" t="s">
        <v>3014</v>
      </c>
      <c r="AA151" s="12" t="s">
        <v>3832</v>
      </c>
      <c r="AB151" s="25" t="s">
        <v>86</v>
      </c>
      <c r="AC151" s="22" t="s">
        <v>1476</v>
      </c>
    </row>
    <row r="152" customFormat="false" ht="19.5" hidden="false" customHeight="true" outlineLevel="0" collapsed="false">
      <c r="A152" s="27" t="s">
        <v>3981</v>
      </c>
      <c r="B152" s="27" t="s">
        <v>392</v>
      </c>
      <c r="C152" s="9" t="s">
        <v>393</v>
      </c>
      <c r="D152" s="9" t="s">
        <v>394</v>
      </c>
      <c r="E152" s="9" t="s">
        <v>219</v>
      </c>
      <c r="F152" s="27" t="s">
        <v>1510</v>
      </c>
      <c r="G152" s="27" t="n">
        <v>2026</v>
      </c>
      <c r="H152" s="27" t="n">
        <v>10</v>
      </c>
      <c r="I152" s="27" t="s">
        <v>3827</v>
      </c>
      <c r="J152" s="20" t="n">
        <v>1</v>
      </c>
      <c r="K152" s="11" t="n">
        <v>0.1</v>
      </c>
      <c r="L152" s="11" t="n">
        <v>0.1</v>
      </c>
      <c r="M152" s="11" t="n">
        <v>0.1</v>
      </c>
      <c r="N152" s="11" t="n">
        <v>0.1</v>
      </c>
      <c r="O152" s="31" t="n">
        <v>0</v>
      </c>
      <c r="P152" s="11" t="n">
        <v>0.1</v>
      </c>
      <c r="Q152" s="27" t="n">
        <v>0</v>
      </c>
      <c r="R152" s="27" t="n">
        <v>0</v>
      </c>
      <c r="S152" s="27" t="n">
        <v>0</v>
      </c>
      <c r="T152" s="27" t="n">
        <v>0</v>
      </c>
      <c r="U152" s="11" t="n">
        <v>1.87</v>
      </c>
      <c r="V152" s="11" t="n">
        <v>-0.82</v>
      </c>
      <c r="W152" s="11" t="n">
        <v>2.69</v>
      </c>
      <c r="X152" s="11" t="n">
        <v>0.3</v>
      </c>
      <c r="Y152" s="10" t="n">
        <v>0</v>
      </c>
      <c r="Z152" s="27" t="s">
        <v>2897</v>
      </c>
      <c r="AA152" s="9" t="s">
        <v>3832</v>
      </c>
      <c r="AB152" s="27" t="s">
        <v>86</v>
      </c>
      <c r="AC152" s="23" t="s">
        <v>1497</v>
      </c>
    </row>
    <row r="153" customFormat="false" ht="19.5" hidden="false" customHeight="true" outlineLevel="0" collapsed="false">
      <c r="A153" s="25" t="s">
        <v>3982</v>
      </c>
      <c r="B153" s="25" t="s">
        <v>392</v>
      </c>
      <c r="C153" s="12" t="s">
        <v>393</v>
      </c>
      <c r="D153" s="12" t="s">
        <v>394</v>
      </c>
      <c r="E153" s="12" t="s">
        <v>219</v>
      </c>
      <c r="F153" s="25" t="s">
        <v>1532</v>
      </c>
      <c r="G153" s="25" t="n">
        <v>2026</v>
      </c>
      <c r="H153" s="25" t="n">
        <v>10</v>
      </c>
      <c r="I153" s="25" t="s">
        <v>3827</v>
      </c>
      <c r="J153" s="18" t="n">
        <v>1</v>
      </c>
      <c r="K153" s="14" t="n">
        <v>0.1</v>
      </c>
      <c r="L153" s="14" t="n">
        <v>0.1</v>
      </c>
      <c r="M153" s="14" t="n">
        <v>0.1</v>
      </c>
      <c r="N153" s="14" t="n">
        <v>0.1</v>
      </c>
      <c r="O153" s="32" t="n">
        <v>0</v>
      </c>
      <c r="P153" s="14" t="n">
        <v>0.1</v>
      </c>
      <c r="Q153" s="25" t="n">
        <v>0</v>
      </c>
      <c r="R153" s="25" t="n">
        <v>0</v>
      </c>
      <c r="S153" s="25" t="n">
        <v>0</v>
      </c>
      <c r="T153" s="25" t="n">
        <v>0</v>
      </c>
      <c r="U153" s="14" t="n">
        <v>1.81</v>
      </c>
      <c r="V153" s="14" t="n">
        <v>-0.96</v>
      </c>
      <c r="W153" s="14" t="n">
        <v>2.77</v>
      </c>
      <c r="X153" s="14" t="n">
        <v>0.34</v>
      </c>
      <c r="Y153" s="13" t="n">
        <v>0</v>
      </c>
      <c r="Z153" s="25" t="s">
        <v>2998</v>
      </c>
      <c r="AA153" s="12" t="s">
        <v>3832</v>
      </c>
      <c r="AB153" s="25" t="s">
        <v>86</v>
      </c>
      <c r="AC153" s="22" t="s">
        <v>1517</v>
      </c>
    </row>
    <row r="154" customFormat="false" ht="19.5" hidden="false" customHeight="true" outlineLevel="0" collapsed="false">
      <c r="A154" s="27" t="s">
        <v>3983</v>
      </c>
      <c r="B154" s="27" t="s">
        <v>392</v>
      </c>
      <c r="C154" s="9" t="s">
        <v>393</v>
      </c>
      <c r="D154" s="9" t="s">
        <v>394</v>
      </c>
      <c r="E154" s="9" t="s">
        <v>219</v>
      </c>
      <c r="F154" s="27" t="s">
        <v>1555</v>
      </c>
      <c r="G154" s="27" t="n">
        <v>2026</v>
      </c>
      <c r="H154" s="27" t="n">
        <v>10</v>
      </c>
      <c r="I154" s="27" t="s">
        <v>3827</v>
      </c>
      <c r="J154" s="20" t="n">
        <v>1</v>
      </c>
      <c r="K154" s="11" t="n">
        <v>0.1</v>
      </c>
      <c r="L154" s="11" t="n">
        <v>0.1</v>
      </c>
      <c r="M154" s="11" t="n">
        <v>0.1</v>
      </c>
      <c r="N154" s="11" t="n">
        <v>0.1</v>
      </c>
      <c r="O154" s="31" t="n">
        <v>0</v>
      </c>
      <c r="P154" s="30"/>
      <c r="Q154" s="27" t="n">
        <v>0</v>
      </c>
      <c r="R154" s="27" t="n">
        <v>0</v>
      </c>
      <c r="S154" s="27" t="n">
        <v>0</v>
      </c>
      <c r="T154" s="27" t="n">
        <v>0</v>
      </c>
      <c r="U154" s="11" t="n">
        <v>1.6</v>
      </c>
      <c r="V154" s="11" t="n">
        <v>1.6</v>
      </c>
      <c r="W154" s="11" t="n">
        <v>0</v>
      </c>
      <c r="X154" s="11" t="n">
        <v>0.36</v>
      </c>
      <c r="Y154" s="10" t="n">
        <v>0</v>
      </c>
      <c r="Z154" s="27" t="s">
        <v>2998</v>
      </c>
      <c r="AA154" s="9" t="s">
        <v>3832</v>
      </c>
      <c r="AB154" s="27" t="s">
        <v>86</v>
      </c>
      <c r="AC154" s="23" t="s">
        <v>93</v>
      </c>
    </row>
    <row r="155" customFormat="false" ht="19.5" hidden="false" customHeight="true" outlineLevel="0" collapsed="false">
      <c r="A155" s="25" t="s">
        <v>3984</v>
      </c>
      <c r="B155" s="25" t="s">
        <v>399</v>
      </c>
      <c r="C155" s="12" t="s">
        <v>400</v>
      </c>
      <c r="D155" s="12" t="s">
        <v>401</v>
      </c>
      <c r="E155" s="12" t="s">
        <v>219</v>
      </c>
      <c r="F155" s="25" t="s">
        <v>1374</v>
      </c>
      <c r="G155" s="25" t="n">
        <v>2026</v>
      </c>
      <c r="H155" s="25" t="n">
        <v>9</v>
      </c>
      <c r="I155" s="25" t="s">
        <v>3827</v>
      </c>
      <c r="J155" s="18" t="n">
        <v>1</v>
      </c>
      <c r="K155" s="14" t="n">
        <v>0.2</v>
      </c>
      <c r="L155" s="14" t="n">
        <v>0.2</v>
      </c>
      <c r="M155" s="29"/>
      <c r="N155" s="29"/>
      <c r="O155" s="29"/>
      <c r="P155" s="14" t="n">
        <v>0.1</v>
      </c>
      <c r="Q155" s="25" t="n">
        <v>0</v>
      </c>
      <c r="R155" s="25" t="n">
        <v>0</v>
      </c>
      <c r="S155" s="25" t="n">
        <v>0</v>
      </c>
      <c r="T155" s="25" t="n">
        <v>0</v>
      </c>
      <c r="U155" s="14" t="n">
        <v>0.96</v>
      </c>
      <c r="V155" s="14" t="n">
        <v>-1.01</v>
      </c>
      <c r="W155" s="14" t="n">
        <v>1.97</v>
      </c>
      <c r="X155" s="14" t="n">
        <v>0.26</v>
      </c>
      <c r="Y155" s="13" t="n">
        <v>6.2</v>
      </c>
      <c r="Z155" s="25" t="s">
        <v>2961</v>
      </c>
      <c r="AA155" s="12" t="s">
        <v>3828</v>
      </c>
      <c r="AB155" s="25" t="s">
        <v>86</v>
      </c>
      <c r="AC155" s="22" t="s">
        <v>1326</v>
      </c>
    </row>
    <row r="156" customFormat="false" ht="19.5" hidden="false" customHeight="true" outlineLevel="0" collapsed="false">
      <c r="A156" s="27" t="s">
        <v>3985</v>
      </c>
      <c r="B156" s="27" t="s">
        <v>399</v>
      </c>
      <c r="C156" s="9" t="s">
        <v>400</v>
      </c>
      <c r="D156" s="9" t="s">
        <v>401</v>
      </c>
      <c r="E156" s="9" t="s">
        <v>219</v>
      </c>
      <c r="F156" s="27" t="s">
        <v>1400</v>
      </c>
      <c r="G156" s="27" t="n">
        <v>2026</v>
      </c>
      <c r="H156" s="27" t="n">
        <v>9</v>
      </c>
      <c r="I156" s="27" t="s">
        <v>3827</v>
      </c>
      <c r="J156" s="20" t="n">
        <v>1</v>
      </c>
      <c r="K156" s="11" t="n">
        <v>0.1</v>
      </c>
      <c r="L156" s="11" t="n">
        <v>0.1</v>
      </c>
      <c r="M156" s="11" t="n">
        <v>0.2</v>
      </c>
      <c r="N156" s="30"/>
      <c r="O156" s="31" t="n">
        <v>-0.1</v>
      </c>
      <c r="P156" s="11" t="n">
        <v>0.1</v>
      </c>
      <c r="Q156" s="27" t="n">
        <v>0</v>
      </c>
      <c r="R156" s="27" t="n">
        <v>0</v>
      </c>
      <c r="S156" s="27" t="n">
        <v>0</v>
      </c>
      <c r="T156" s="27" t="n">
        <v>0</v>
      </c>
      <c r="U156" s="11" t="n">
        <v>0.3</v>
      </c>
      <c r="V156" s="11" t="n">
        <v>-0.98</v>
      </c>
      <c r="W156" s="11" t="n">
        <v>1.28</v>
      </c>
      <c r="X156" s="11" t="n">
        <v>0.21</v>
      </c>
      <c r="Y156" s="10" t="n">
        <v>0.4</v>
      </c>
      <c r="Z156" s="27" t="s">
        <v>2961</v>
      </c>
      <c r="AA156" s="9" t="s">
        <v>3828</v>
      </c>
      <c r="AB156" s="27" t="s">
        <v>86</v>
      </c>
      <c r="AC156" s="23" t="s">
        <v>1383</v>
      </c>
    </row>
    <row r="157" customFormat="false" ht="19.5" hidden="false" customHeight="true" outlineLevel="0" collapsed="false">
      <c r="A157" s="25" t="s">
        <v>3986</v>
      </c>
      <c r="B157" s="25" t="s">
        <v>399</v>
      </c>
      <c r="C157" s="12" t="s">
        <v>400</v>
      </c>
      <c r="D157" s="12" t="s">
        <v>401</v>
      </c>
      <c r="E157" s="12" t="s">
        <v>219</v>
      </c>
      <c r="F157" s="25" t="s">
        <v>1419</v>
      </c>
      <c r="G157" s="25" t="n">
        <v>2026</v>
      </c>
      <c r="H157" s="25" t="n">
        <v>9</v>
      </c>
      <c r="I157" s="25" t="s">
        <v>3827</v>
      </c>
      <c r="J157" s="18" t="n">
        <v>1</v>
      </c>
      <c r="K157" s="14" t="n">
        <v>0.1</v>
      </c>
      <c r="L157" s="14" t="n">
        <v>0.1</v>
      </c>
      <c r="M157" s="14" t="n">
        <v>0.1</v>
      </c>
      <c r="N157" s="14" t="n">
        <v>0.2</v>
      </c>
      <c r="O157" s="32" t="n">
        <v>0</v>
      </c>
      <c r="P157" s="29"/>
      <c r="Q157" s="25" t="n">
        <v>0</v>
      </c>
      <c r="R157" s="25" t="n">
        <v>0</v>
      </c>
      <c r="S157" s="25" t="n">
        <v>0</v>
      </c>
      <c r="T157" s="25" t="n">
        <v>0</v>
      </c>
      <c r="U157" s="14" t="n">
        <v>0.97</v>
      </c>
      <c r="V157" s="14" t="n">
        <v>0.97</v>
      </c>
      <c r="W157" s="14" t="n">
        <v>0</v>
      </c>
      <c r="X157" s="14" t="n">
        <v>0.01</v>
      </c>
      <c r="Y157" s="13" t="n">
        <v>0.4</v>
      </c>
      <c r="Z157" s="25" t="s">
        <v>2961</v>
      </c>
      <c r="AA157" s="12" t="s">
        <v>3828</v>
      </c>
      <c r="AB157" s="25" t="s">
        <v>86</v>
      </c>
      <c r="AC157" s="22" t="s">
        <v>1376</v>
      </c>
    </row>
    <row r="158" customFormat="false" ht="19.5" hidden="false" customHeight="true" outlineLevel="0" collapsed="false">
      <c r="A158" s="27" t="s">
        <v>3987</v>
      </c>
      <c r="B158" s="27" t="s">
        <v>399</v>
      </c>
      <c r="C158" s="9" t="s">
        <v>400</v>
      </c>
      <c r="D158" s="9" t="s">
        <v>401</v>
      </c>
      <c r="E158" s="9" t="s">
        <v>219</v>
      </c>
      <c r="F158" s="27" t="s">
        <v>1469</v>
      </c>
      <c r="G158" s="27" t="n">
        <v>2026</v>
      </c>
      <c r="H158" s="27" t="n">
        <v>10</v>
      </c>
      <c r="I158" s="27" t="s">
        <v>3827</v>
      </c>
      <c r="J158" s="20" t="n">
        <v>1</v>
      </c>
      <c r="K158" s="11" t="n">
        <v>0.1</v>
      </c>
      <c r="L158" s="11" t="n">
        <v>0.1</v>
      </c>
      <c r="M158" s="30"/>
      <c r="N158" s="30"/>
      <c r="O158" s="30"/>
      <c r="P158" s="11" t="n">
        <v>0.1</v>
      </c>
      <c r="Q158" s="27" t="n">
        <v>0</v>
      </c>
      <c r="R158" s="27" t="n">
        <v>0</v>
      </c>
      <c r="S158" s="27" t="n">
        <v>0</v>
      </c>
      <c r="T158" s="27" t="n">
        <v>0</v>
      </c>
      <c r="U158" s="11" t="n">
        <v>1.51</v>
      </c>
      <c r="V158" s="11" t="n">
        <v>-0.78</v>
      </c>
      <c r="W158" s="11" t="n">
        <v>2.29</v>
      </c>
      <c r="X158" s="11" t="n">
        <v>0.34</v>
      </c>
      <c r="Y158" s="10" t="n">
        <v>68.6</v>
      </c>
      <c r="Z158" s="27" t="s">
        <v>3014</v>
      </c>
      <c r="AA158" s="9" t="s">
        <v>3832</v>
      </c>
      <c r="AB158" s="27" t="s">
        <v>86</v>
      </c>
      <c r="AC158" s="23" t="s">
        <v>1437</v>
      </c>
    </row>
    <row r="159" customFormat="false" ht="19.5" hidden="false" customHeight="true" outlineLevel="0" collapsed="false">
      <c r="A159" s="25" t="s">
        <v>3988</v>
      </c>
      <c r="B159" s="25" t="s">
        <v>399</v>
      </c>
      <c r="C159" s="12" t="s">
        <v>400</v>
      </c>
      <c r="D159" s="12" t="s">
        <v>401</v>
      </c>
      <c r="E159" s="12" t="s">
        <v>219</v>
      </c>
      <c r="F159" s="25" t="s">
        <v>1490</v>
      </c>
      <c r="G159" s="25" t="n">
        <v>2026</v>
      </c>
      <c r="H159" s="25" t="n">
        <v>10</v>
      </c>
      <c r="I159" s="25" t="s">
        <v>3827</v>
      </c>
      <c r="J159" s="18" t="n">
        <v>1</v>
      </c>
      <c r="K159" s="14" t="n">
        <v>0.1</v>
      </c>
      <c r="L159" s="14" t="n">
        <v>0.1</v>
      </c>
      <c r="M159" s="14" t="n">
        <v>0.1</v>
      </c>
      <c r="N159" s="29"/>
      <c r="O159" s="32" t="n">
        <v>0</v>
      </c>
      <c r="P159" s="14" t="n">
        <v>0.1</v>
      </c>
      <c r="Q159" s="25" t="n">
        <v>0</v>
      </c>
      <c r="R159" s="25" t="n">
        <v>0</v>
      </c>
      <c r="S159" s="25" t="n">
        <v>0</v>
      </c>
      <c r="T159" s="25" t="n">
        <v>0</v>
      </c>
      <c r="U159" s="14" t="n">
        <v>1.85</v>
      </c>
      <c r="V159" s="14" t="n">
        <v>-0.59</v>
      </c>
      <c r="W159" s="14" t="n">
        <v>2.44</v>
      </c>
      <c r="X159" s="14" t="n">
        <v>0.11</v>
      </c>
      <c r="Y159" s="13" t="n">
        <v>28.8</v>
      </c>
      <c r="Z159" s="25" t="s">
        <v>3014</v>
      </c>
      <c r="AA159" s="12" t="s">
        <v>3832</v>
      </c>
      <c r="AB159" s="25" t="s">
        <v>86</v>
      </c>
      <c r="AC159" s="22" t="s">
        <v>1476</v>
      </c>
    </row>
    <row r="160" customFormat="false" ht="19.5" hidden="false" customHeight="true" outlineLevel="0" collapsed="false">
      <c r="A160" s="27" t="s">
        <v>3989</v>
      </c>
      <c r="B160" s="27" t="s">
        <v>399</v>
      </c>
      <c r="C160" s="9" t="s">
        <v>400</v>
      </c>
      <c r="D160" s="9" t="s">
        <v>401</v>
      </c>
      <c r="E160" s="9" t="s">
        <v>219</v>
      </c>
      <c r="F160" s="27" t="s">
        <v>1510</v>
      </c>
      <c r="G160" s="27" t="n">
        <v>2026</v>
      </c>
      <c r="H160" s="27" t="n">
        <v>10</v>
      </c>
      <c r="I160" s="27" t="s">
        <v>3827</v>
      </c>
      <c r="J160" s="20" t="n">
        <v>1</v>
      </c>
      <c r="K160" s="11" t="n">
        <v>0.1</v>
      </c>
      <c r="L160" s="11" t="n">
        <v>0.1</v>
      </c>
      <c r="M160" s="11" t="n">
        <v>0.1</v>
      </c>
      <c r="N160" s="11" t="n">
        <v>0.1</v>
      </c>
      <c r="O160" s="31" t="n">
        <v>0</v>
      </c>
      <c r="P160" s="11" t="n">
        <v>0.1</v>
      </c>
      <c r="Q160" s="27" t="n">
        <v>0</v>
      </c>
      <c r="R160" s="27" t="n">
        <v>0</v>
      </c>
      <c r="S160" s="27" t="n">
        <v>0</v>
      </c>
      <c r="T160" s="27" t="n">
        <v>0</v>
      </c>
      <c r="U160" s="11" t="n">
        <v>1.87</v>
      </c>
      <c r="V160" s="11" t="n">
        <v>-0.82</v>
      </c>
      <c r="W160" s="11" t="n">
        <v>2.69</v>
      </c>
      <c r="X160" s="11" t="n">
        <v>0.29</v>
      </c>
      <c r="Y160" s="10" t="n">
        <v>0.8</v>
      </c>
      <c r="Z160" s="27" t="s">
        <v>2897</v>
      </c>
      <c r="AA160" s="9" t="s">
        <v>3832</v>
      </c>
      <c r="AB160" s="27" t="s">
        <v>86</v>
      </c>
      <c r="AC160" s="23" t="s">
        <v>1497</v>
      </c>
    </row>
    <row r="161" customFormat="false" ht="19.5" hidden="false" customHeight="true" outlineLevel="0" collapsed="false">
      <c r="A161" s="25" t="s">
        <v>3990</v>
      </c>
      <c r="B161" s="25" t="s">
        <v>399</v>
      </c>
      <c r="C161" s="12" t="s">
        <v>400</v>
      </c>
      <c r="D161" s="12" t="s">
        <v>401</v>
      </c>
      <c r="E161" s="12" t="s">
        <v>219</v>
      </c>
      <c r="F161" s="25" t="s">
        <v>1532</v>
      </c>
      <c r="G161" s="25" t="n">
        <v>2026</v>
      </c>
      <c r="H161" s="25" t="n">
        <v>10</v>
      </c>
      <c r="I161" s="25" t="s">
        <v>3827</v>
      </c>
      <c r="J161" s="18" t="n">
        <v>1</v>
      </c>
      <c r="K161" s="14" t="n">
        <v>0.1</v>
      </c>
      <c r="L161" s="14" t="n">
        <v>0.1</v>
      </c>
      <c r="M161" s="14" t="n">
        <v>0.1</v>
      </c>
      <c r="N161" s="14" t="n">
        <v>0.1</v>
      </c>
      <c r="O161" s="32" t="n">
        <v>0</v>
      </c>
      <c r="P161" s="14" t="n">
        <v>0.1</v>
      </c>
      <c r="Q161" s="25" t="n">
        <v>0</v>
      </c>
      <c r="R161" s="25" t="n">
        <v>0</v>
      </c>
      <c r="S161" s="25" t="n">
        <v>0</v>
      </c>
      <c r="T161" s="25" t="n">
        <v>0</v>
      </c>
      <c r="U161" s="14" t="n">
        <v>1.81</v>
      </c>
      <c r="V161" s="14" t="n">
        <v>-0.96</v>
      </c>
      <c r="W161" s="14" t="n">
        <v>2.77</v>
      </c>
      <c r="X161" s="14" t="n">
        <v>0.34</v>
      </c>
      <c r="Y161" s="13" t="n">
        <v>0</v>
      </c>
      <c r="Z161" s="25" t="s">
        <v>2998</v>
      </c>
      <c r="AA161" s="12" t="s">
        <v>3832</v>
      </c>
      <c r="AB161" s="25" t="s">
        <v>86</v>
      </c>
      <c r="AC161" s="22" t="s">
        <v>1517</v>
      </c>
    </row>
    <row r="162" customFormat="false" ht="19.5" hidden="false" customHeight="true" outlineLevel="0" collapsed="false">
      <c r="A162" s="27" t="s">
        <v>3991</v>
      </c>
      <c r="B162" s="27" t="s">
        <v>399</v>
      </c>
      <c r="C162" s="9" t="s">
        <v>400</v>
      </c>
      <c r="D162" s="9" t="s">
        <v>401</v>
      </c>
      <c r="E162" s="9" t="s">
        <v>219</v>
      </c>
      <c r="F162" s="27" t="s">
        <v>1555</v>
      </c>
      <c r="G162" s="27" t="n">
        <v>2026</v>
      </c>
      <c r="H162" s="27" t="n">
        <v>10</v>
      </c>
      <c r="I162" s="27" t="s">
        <v>3827</v>
      </c>
      <c r="J162" s="20" t="n">
        <v>1</v>
      </c>
      <c r="K162" s="11" t="n">
        <v>0.1</v>
      </c>
      <c r="L162" s="11" t="n">
        <v>0.1</v>
      </c>
      <c r="M162" s="11" t="n">
        <v>0.1</v>
      </c>
      <c r="N162" s="11" t="n">
        <v>0.1</v>
      </c>
      <c r="O162" s="31" t="n">
        <v>0</v>
      </c>
      <c r="P162" s="30"/>
      <c r="Q162" s="27" t="n">
        <v>0</v>
      </c>
      <c r="R162" s="27" t="n">
        <v>0</v>
      </c>
      <c r="S162" s="27" t="n">
        <v>0</v>
      </c>
      <c r="T162" s="27" t="n">
        <v>0</v>
      </c>
      <c r="U162" s="11" t="n">
        <v>1.6</v>
      </c>
      <c r="V162" s="11" t="n">
        <v>1.6</v>
      </c>
      <c r="W162" s="11" t="n">
        <v>0</v>
      </c>
      <c r="X162" s="11" t="n">
        <v>0.34</v>
      </c>
      <c r="Y162" s="10" t="n">
        <v>0</v>
      </c>
      <c r="Z162" s="27" t="s">
        <v>2998</v>
      </c>
      <c r="AA162" s="9" t="s">
        <v>3832</v>
      </c>
      <c r="AB162" s="27" t="s">
        <v>86</v>
      </c>
      <c r="AC162" s="23" t="s">
        <v>93</v>
      </c>
    </row>
    <row r="163" customFormat="false" ht="19.5" hidden="false" customHeight="true" outlineLevel="0" collapsed="false">
      <c r="A163" s="25" t="s">
        <v>3992</v>
      </c>
      <c r="B163" s="25" t="s">
        <v>433</v>
      </c>
      <c r="C163" s="12" t="s">
        <v>434</v>
      </c>
      <c r="D163" s="12" t="s">
        <v>435</v>
      </c>
      <c r="E163" s="12" t="s">
        <v>219</v>
      </c>
      <c r="F163" s="25" t="s">
        <v>1374</v>
      </c>
      <c r="G163" s="25" t="n">
        <v>2026</v>
      </c>
      <c r="H163" s="25" t="n">
        <v>9</v>
      </c>
      <c r="I163" s="25" t="s">
        <v>3827</v>
      </c>
      <c r="J163" s="18" t="n">
        <v>1</v>
      </c>
      <c r="K163" s="14" t="n">
        <v>0</v>
      </c>
      <c r="L163" s="14" t="n">
        <v>0</v>
      </c>
      <c r="M163" s="29"/>
      <c r="N163" s="29"/>
      <c r="O163" s="29"/>
      <c r="P163" s="14" t="n">
        <v>0</v>
      </c>
      <c r="Q163" s="25" t="n">
        <v>0</v>
      </c>
      <c r="R163" s="25" t="n">
        <v>0</v>
      </c>
      <c r="S163" s="25" t="n">
        <v>0</v>
      </c>
      <c r="T163" s="25" t="n">
        <v>0</v>
      </c>
      <c r="U163" s="14" t="n">
        <v>0.96</v>
      </c>
      <c r="V163" s="14" t="n">
        <v>-1.01</v>
      </c>
      <c r="W163" s="14" t="n">
        <v>1.97</v>
      </c>
      <c r="X163" s="14" t="n">
        <v>0.2</v>
      </c>
      <c r="Y163" s="13" t="n">
        <v>4</v>
      </c>
      <c r="Z163" s="25" t="s">
        <v>2961</v>
      </c>
      <c r="AA163" s="12" t="s">
        <v>3828</v>
      </c>
      <c r="AB163" s="25" t="s">
        <v>86</v>
      </c>
      <c r="AC163" s="22" t="s">
        <v>1326</v>
      </c>
    </row>
    <row r="164" customFormat="false" ht="19.5" hidden="false" customHeight="true" outlineLevel="0" collapsed="false">
      <c r="A164" s="27" t="s">
        <v>3993</v>
      </c>
      <c r="B164" s="27" t="s">
        <v>433</v>
      </c>
      <c r="C164" s="9" t="s">
        <v>434</v>
      </c>
      <c r="D164" s="9" t="s">
        <v>435</v>
      </c>
      <c r="E164" s="9" t="s">
        <v>219</v>
      </c>
      <c r="F164" s="27" t="s">
        <v>1400</v>
      </c>
      <c r="G164" s="27" t="n">
        <v>2026</v>
      </c>
      <c r="H164" s="27" t="n">
        <v>9</v>
      </c>
      <c r="I164" s="27" t="s">
        <v>3827</v>
      </c>
      <c r="J164" s="20" t="n">
        <v>1</v>
      </c>
      <c r="K164" s="11" t="n">
        <v>0</v>
      </c>
      <c r="L164" s="11" t="n">
        <v>0</v>
      </c>
      <c r="M164" s="11" t="n">
        <v>0</v>
      </c>
      <c r="N164" s="30"/>
      <c r="O164" s="31" t="n">
        <v>0</v>
      </c>
      <c r="P164" s="11" t="n">
        <v>0</v>
      </c>
      <c r="Q164" s="27" t="n">
        <v>0</v>
      </c>
      <c r="R164" s="27" t="n">
        <v>0</v>
      </c>
      <c r="S164" s="27" t="n">
        <v>0</v>
      </c>
      <c r="T164" s="27" t="n">
        <v>0</v>
      </c>
      <c r="U164" s="11" t="n">
        <v>0.3</v>
      </c>
      <c r="V164" s="11" t="n">
        <v>-0.98</v>
      </c>
      <c r="W164" s="11" t="n">
        <v>1.28</v>
      </c>
      <c r="X164" s="11" t="n">
        <v>0.19</v>
      </c>
      <c r="Y164" s="10" t="n">
        <v>0</v>
      </c>
      <c r="Z164" s="27" t="s">
        <v>2961</v>
      </c>
      <c r="AA164" s="9" t="s">
        <v>3828</v>
      </c>
      <c r="AB164" s="27" t="s">
        <v>86</v>
      </c>
      <c r="AC164" s="23" t="s">
        <v>1383</v>
      </c>
    </row>
    <row r="165" customFormat="false" ht="19.5" hidden="false" customHeight="true" outlineLevel="0" collapsed="false">
      <c r="A165" s="25" t="s">
        <v>3994</v>
      </c>
      <c r="B165" s="25" t="s">
        <v>433</v>
      </c>
      <c r="C165" s="12" t="s">
        <v>434</v>
      </c>
      <c r="D165" s="12" t="s">
        <v>435</v>
      </c>
      <c r="E165" s="12" t="s">
        <v>219</v>
      </c>
      <c r="F165" s="25" t="s">
        <v>1419</v>
      </c>
      <c r="G165" s="25" t="n">
        <v>2026</v>
      </c>
      <c r="H165" s="25" t="n">
        <v>9</v>
      </c>
      <c r="I165" s="25" t="s">
        <v>3827</v>
      </c>
      <c r="J165" s="18" t="n">
        <v>1</v>
      </c>
      <c r="K165" s="14" t="n">
        <v>0</v>
      </c>
      <c r="L165" s="14" t="n">
        <v>0</v>
      </c>
      <c r="M165" s="14" t="n">
        <v>0</v>
      </c>
      <c r="N165" s="14" t="n">
        <v>0</v>
      </c>
      <c r="O165" s="32" t="n">
        <v>0</v>
      </c>
      <c r="P165" s="29"/>
      <c r="Q165" s="25" t="n">
        <v>0</v>
      </c>
      <c r="R165" s="25" t="n">
        <v>0</v>
      </c>
      <c r="S165" s="25" t="n">
        <v>0</v>
      </c>
      <c r="T165" s="25" t="n">
        <v>0</v>
      </c>
      <c r="U165" s="14" t="n">
        <v>0.97</v>
      </c>
      <c r="V165" s="14" t="n">
        <v>0.97</v>
      </c>
      <c r="W165" s="14" t="n">
        <v>0</v>
      </c>
      <c r="X165" s="14" t="n">
        <v>0.32</v>
      </c>
      <c r="Y165" s="13" t="n">
        <v>73</v>
      </c>
      <c r="Z165" s="25" t="s">
        <v>2961</v>
      </c>
      <c r="AA165" s="12" t="s">
        <v>3828</v>
      </c>
      <c r="AB165" s="25" t="s">
        <v>86</v>
      </c>
      <c r="AC165" s="22" t="s">
        <v>1376</v>
      </c>
    </row>
    <row r="166" customFormat="false" ht="19.5" hidden="false" customHeight="true" outlineLevel="0" collapsed="false">
      <c r="A166" s="27" t="s">
        <v>3995</v>
      </c>
      <c r="B166" s="27" t="s">
        <v>433</v>
      </c>
      <c r="C166" s="9" t="s">
        <v>434</v>
      </c>
      <c r="D166" s="9" t="s">
        <v>435</v>
      </c>
      <c r="E166" s="9" t="s">
        <v>219</v>
      </c>
      <c r="F166" s="27" t="s">
        <v>1469</v>
      </c>
      <c r="G166" s="27" t="n">
        <v>2026</v>
      </c>
      <c r="H166" s="27" t="n">
        <v>10</v>
      </c>
      <c r="I166" s="27" t="s">
        <v>3827</v>
      </c>
      <c r="J166" s="20" t="n">
        <v>1</v>
      </c>
      <c r="K166" s="11" t="n">
        <v>0</v>
      </c>
      <c r="L166" s="11" t="n">
        <v>0</v>
      </c>
      <c r="M166" s="30"/>
      <c r="N166" s="30"/>
      <c r="O166" s="30"/>
      <c r="P166" s="11" t="n">
        <v>0</v>
      </c>
      <c r="Q166" s="27" t="n">
        <v>0</v>
      </c>
      <c r="R166" s="27" t="n">
        <v>0</v>
      </c>
      <c r="S166" s="27" t="n">
        <v>0</v>
      </c>
      <c r="T166" s="27" t="n">
        <v>0</v>
      </c>
      <c r="U166" s="11" t="n">
        <v>1.51</v>
      </c>
      <c r="V166" s="11" t="n">
        <v>-0.78</v>
      </c>
      <c r="W166" s="11" t="n">
        <v>2.29</v>
      </c>
      <c r="X166" s="11" t="n">
        <v>0.38</v>
      </c>
      <c r="Y166" s="10" t="n">
        <v>3</v>
      </c>
      <c r="Z166" s="27" t="s">
        <v>3014</v>
      </c>
      <c r="AA166" s="9" t="s">
        <v>3832</v>
      </c>
      <c r="AB166" s="27" t="s">
        <v>86</v>
      </c>
      <c r="AC166" s="23" t="s">
        <v>1437</v>
      </c>
    </row>
    <row r="167" customFormat="false" ht="19.5" hidden="false" customHeight="true" outlineLevel="0" collapsed="false">
      <c r="A167" s="25" t="s">
        <v>3996</v>
      </c>
      <c r="B167" s="25" t="s">
        <v>433</v>
      </c>
      <c r="C167" s="12" t="s">
        <v>434</v>
      </c>
      <c r="D167" s="12" t="s">
        <v>435</v>
      </c>
      <c r="E167" s="12" t="s">
        <v>219</v>
      </c>
      <c r="F167" s="25" t="s">
        <v>1490</v>
      </c>
      <c r="G167" s="25" t="n">
        <v>2026</v>
      </c>
      <c r="H167" s="25" t="n">
        <v>10</v>
      </c>
      <c r="I167" s="25" t="s">
        <v>3827</v>
      </c>
      <c r="J167" s="18" t="n">
        <v>1</v>
      </c>
      <c r="K167" s="14" t="n">
        <v>0</v>
      </c>
      <c r="L167" s="14" t="n">
        <v>0</v>
      </c>
      <c r="M167" s="14" t="n">
        <v>0</v>
      </c>
      <c r="N167" s="29"/>
      <c r="O167" s="32" t="n">
        <v>0</v>
      </c>
      <c r="P167" s="14" t="n">
        <v>0</v>
      </c>
      <c r="Q167" s="25" t="n">
        <v>0</v>
      </c>
      <c r="R167" s="25" t="n">
        <v>0</v>
      </c>
      <c r="S167" s="25" t="n">
        <v>0</v>
      </c>
      <c r="T167" s="25" t="n">
        <v>0</v>
      </c>
      <c r="U167" s="14" t="n">
        <v>1.85</v>
      </c>
      <c r="V167" s="14" t="n">
        <v>-0.59</v>
      </c>
      <c r="W167" s="14" t="n">
        <v>2.44</v>
      </c>
      <c r="X167" s="14" t="n">
        <v>0.25</v>
      </c>
      <c r="Y167" s="13" t="n">
        <v>6</v>
      </c>
      <c r="Z167" s="25" t="s">
        <v>3014</v>
      </c>
      <c r="AA167" s="12" t="s">
        <v>3832</v>
      </c>
      <c r="AB167" s="25" t="s">
        <v>86</v>
      </c>
      <c r="AC167" s="22" t="s">
        <v>1476</v>
      </c>
    </row>
    <row r="168" customFormat="false" ht="19.5" hidden="false" customHeight="true" outlineLevel="0" collapsed="false">
      <c r="A168" s="27" t="s">
        <v>3997</v>
      </c>
      <c r="B168" s="27" t="s">
        <v>433</v>
      </c>
      <c r="C168" s="9" t="s">
        <v>434</v>
      </c>
      <c r="D168" s="9" t="s">
        <v>435</v>
      </c>
      <c r="E168" s="9" t="s">
        <v>219</v>
      </c>
      <c r="F168" s="27" t="s">
        <v>1510</v>
      </c>
      <c r="G168" s="27" t="n">
        <v>2026</v>
      </c>
      <c r="H168" s="27" t="n">
        <v>10</v>
      </c>
      <c r="I168" s="27" t="s">
        <v>3827</v>
      </c>
      <c r="J168" s="20" t="n">
        <v>1</v>
      </c>
      <c r="K168" s="11" t="n">
        <v>0</v>
      </c>
      <c r="L168" s="11" t="n">
        <v>0</v>
      </c>
      <c r="M168" s="11" t="n">
        <v>0</v>
      </c>
      <c r="N168" s="11" t="n">
        <v>0</v>
      </c>
      <c r="O168" s="31" t="n">
        <v>0</v>
      </c>
      <c r="P168" s="11" t="n">
        <v>0</v>
      </c>
      <c r="Q168" s="27" t="n">
        <v>0</v>
      </c>
      <c r="R168" s="27" t="n">
        <v>0</v>
      </c>
      <c r="S168" s="27" t="n">
        <v>0</v>
      </c>
      <c r="T168" s="27" t="n">
        <v>0</v>
      </c>
      <c r="U168" s="11" t="n">
        <v>1.87</v>
      </c>
      <c r="V168" s="11" t="n">
        <v>-0.82</v>
      </c>
      <c r="W168" s="11" t="n">
        <v>2.69</v>
      </c>
      <c r="X168" s="11" t="n">
        <v>0.31</v>
      </c>
      <c r="Y168" s="10" t="n">
        <v>0</v>
      </c>
      <c r="Z168" s="27" t="s">
        <v>2897</v>
      </c>
      <c r="AA168" s="9" t="s">
        <v>3832</v>
      </c>
      <c r="AB168" s="27" t="s">
        <v>86</v>
      </c>
      <c r="AC168" s="23" t="s">
        <v>1497</v>
      </c>
    </row>
    <row r="169" customFormat="false" ht="19.5" hidden="false" customHeight="true" outlineLevel="0" collapsed="false">
      <c r="A169" s="25" t="s">
        <v>3998</v>
      </c>
      <c r="B169" s="25" t="s">
        <v>433</v>
      </c>
      <c r="C169" s="12" t="s">
        <v>434</v>
      </c>
      <c r="D169" s="12" t="s">
        <v>435</v>
      </c>
      <c r="E169" s="12" t="s">
        <v>219</v>
      </c>
      <c r="F169" s="25" t="s">
        <v>1532</v>
      </c>
      <c r="G169" s="25" t="n">
        <v>2026</v>
      </c>
      <c r="H169" s="25" t="n">
        <v>10</v>
      </c>
      <c r="I169" s="25" t="s">
        <v>3827</v>
      </c>
      <c r="J169" s="18" t="n">
        <v>1</v>
      </c>
      <c r="K169" s="14" t="n">
        <v>0</v>
      </c>
      <c r="L169" s="14" t="n">
        <v>0</v>
      </c>
      <c r="M169" s="14" t="n">
        <v>0</v>
      </c>
      <c r="N169" s="14" t="n">
        <v>0</v>
      </c>
      <c r="O169" s="32" t="n">
        <v>0</v>
      </c>
      <c r="P169" s="14" t="n">
        <v>0</v>
      </c>
      <c r="Q169" s="25" t="n">
        <v>0</v>
      </c>
      <c r="R169" s="25" t="n">
        <v>0</v>
      </c>
      <c r="S169" s="25" t="n">
        <v>0</v>
      </c>
      <c r="T169" s="25" t="n">
        <v>0</v>
      </c>
      <c r="U169" s="14" t="n">
        <v>1.81</v>
      </c>
      <c r="V169" s="14" t="n">
        <v>-0.96</v>
      </c>
      <c r="W169" s="14" t="n">
        <v>2.77</v>
      </c>
      <c r="X169" s="14" t="n">
        <v>0.34</v>
      </c>
      <c r="Y169" s="13" t="n">
        <v>0</v>
      </c>
      <c r="Z169" s="25" t="s">
        <v>2998</v>
      </c>
      <c r="AA169" s="12" t="s">
        <v>3832</v>
      </c>
      <c r="AB169" s="25" t="s">
        <v>86</v>
      </c>
      <c r="AC169" s="22" t="s">
        <v>1517</v>
      </c>
    </row>
    <row r="170" customFormat="false" ht="19.5" hidden="false" customHeight="true" outlineLevel="0" collapsed="false">
      <c r="A170" s="27" t="s">
        <v>3999</v>
      </c>
      <c r="B170" s="27" t="s">
        <v>433</v>
      </c>
      <c r="C170" s="9" t="s">
        <v>434</v>
      </c>
      <c r="D170" s="9" t="s">
        <v>435</v>
      </c>
      <c r="E170" s="9" t="s">
        <v>219</v>
      </c>
      <c r="F170" s="27" t="s">
        <v>1555</v>
      </c>
      <c r="G170" s="27" t="n">
        <v>2026</v>
      </c>
      <c r="H170" s="27" t="n">
        <v>10</v>
      </c>
      <c r="I170" s="27" t="s">
        <v>3827</v>
      </c>
      <c r="J170" s="20" t="n">
        <v>1</v>
      </c>
      <c r="K170" s="11" t="n">
        <v>0</v>
      </c>
      <c r="L170" s="11" t="n">
        <v>0</v>
      </c>
      <c r="M170" s="11" t="n">
        <v>0</v>
      </c>
      <c r="N170" s="11" t="n">
        <v>0</v>
      </c>
      <c r="O170" s="31" t="n">
        <v>0</v>
      </c>
      <c r="P170" s="30"/>
      <c r="Q170" s="27" t="n">
        <v>0</v>
      </c>
      <c r="R170" s="27" t="n">
        <v>0</v>
      </c>
      <c r="S170" s="27" t="n">
        <v>0</v>
      </c>
      <c r="T170" s="27" t="n">
        <v>0</v>
      </c>
      <c r="U170" s="11" t="n">
        <v>1.6</v>
      </c>
      <c r="V170" s="11" t="n">
        <v>1.6</v>
      </c>
      <c r="W170" s="11" t="n">
        <v>0</v>
      </c>
      <c r="X170" s="11" t="n">
        <v>0.13</v>
      </c>
      <c r="Y170" s="10" t="n">
        <v>0</v>
      </c>
      <c r="Z170" s="27" t="s">
        <v>2998</v>
      </c>
      <c r="AA170" s="9" t="s">
        <v>3832</v>
      </c>
      <c r="AB170" s="27" t="s">
        <v>86</v>
      </c>
      <c r="AC170" s="23" t="s">
        <v>93</v>
      </c>
    </row>
    <row r="171" customFormat="false" ht="19.5" hidden="false" customHeight="true" outlineLevel="0" collapsed="false">
      <c r="A171" s="25" t="s">
        <v>4000</v>
      </c>
      <c r="B171" s="25" t="s">
        <v>405</v>
      </c>
      <c r="C171" s="12" t="s">
        <v>406</v>
      </c>
      <c r="D171" s="12" t="s">
        <v>407</v>
      </c>
      <c r="E171" s="12" t="s">
        <v>219</v>
      </c>
      <c r="F171" s="25" t="s">
        <v>1374</v>
      </c>
      <c r="G171" s="25" t="n">
        <v>2026</v>
      </c>
      <c r="H171" s="25" t="n">
        <v>9</v>
      </c>
      <c r="I171" s="25" t="s">
        <v>3827</v>
      </c>
      <c r="J171" s="18" t="n">
        <v>1</v>
      </c>
      <c r="K171" s="14" t="n">
        <v>0</v>
      </c>
      <c r="L171" s="14" t="n">
        <v>0</v>
      </c>
      <c r="M171" s="29"/>
      <c r="N171" s="29"/>
      <c r="O171" s="29"/>
      <c r="P171" s="14" t="n">
        <v>0</v>
      </c>
      <c r="Q171" s="25" t="n">
        <v>0</v>
      </c>
      <c r="R171" s="25" t="n">
        <v>0</v>
      </c>
      <c r="S171" s="25" t="n">
        <v>0</v>
      </c>
      <c r="T171" s="25" t="n">
        <v>0</v>
      </c>
      <c r="U171" s="14" t="n">
        <v>0.96</v>
      </c>
      <c r="V171" s="14" t="n">
        <v>-1.01</v>
      </c>
      <c r="W171" s="14" t="n">
        <v>1.97</v>
      </c>
      <c r="X171" s="14" t="n">
        <v>0.3</v>
      </c>
      <c r="Y171" s="13" t="n">
        <v>3</v>
      </c>
      <c r="Z171" s="25" t="s">
        <v>2961</v>
      </c>
      <c r="AA171" s="12" t="s">
        <v>3828</v>
      </c>
      <c r="AB171" s="25" t="s">
        <v>86</v>
      </c>
      <c r="AC171" s="22" t="s">
        <v>1326</v>
      </c>
    </row>
    <row r="172" customFormat="false" ht="19.5" hidden="false" customHeight="true" outlineLevel="0" collapsed="false">
      <c r="A172" s="27" t="s">
        <v>4001</v>
      </c>
      <c r="B172" s="27" t="s">
        <v>405</v>
      </c>
      <c r="C172" s="9" t="s">
        <v>406</v>
      </c>
      <c r="D172" s="9" t="s">
        <v>407</v>
      </c>
      <c r="E172" s="9" t="s">
        <v>219</v>
      </c>
      <c r="F172" s="27" t="s">
        <v>1400</v>
      </c>
      <c r="G172" s="27" t="n">
        <v>2026</v>
      </c>
      <c r="H172" s="27" t="n">
        <v>9</v>
      </c>
      <c r="I172" s="27" t="s">
        <v>3827</v>
      </c>
      <c r="J172" s="20" t="n">
        <v>1</v>
      </c>
      <c r="K172" s="11" t="n">
        <v>0</v>
      </c>
      <c r="L172" s="11" t="n">
        <v>0</v>
      </c>
      <c r="M172" s="11" t="n">
        <v>0</v>
      </c>
      <c r="N172" s="30"/>
      <c r="O172" s="31" t="n">
        <v>0</v>
      </c>
      <c r="P172" s="11" t="n">
        <v>0</v>
      </c>
      <c r="Q172" s="27" t="n">
        <v>0</v>
      </c>
      <c r="R172" s="27" t="n">
        <v>0</v>
      </c>
      <c r="S172" s="27" t="n">
        <v>0</v>
      </c>
      <c r="T172" s="27" t="n">
        <v>0</v>
      </c>
      <c r="U172" s="11" t="n">
        <v>0.3</v>
      </c>
      <c r="V172" s="11" t="n">
        <v>-0.98</v>
      </c>
      <c r="W172" s="11" t="n">
        <v>1.28</v>
      </c>
      <c r="X172" s="11" t="n">
        <v>0.28</v>
      </c>
      <c r="Y172" s="10" t="n">
        <v>3</v>
      </c>
      <c r="Z172" s="27" t="s">
        <v>2961</v>
      </c>
      <c r="AA172" s="9" t="s">
        <v>3828</v>
      </c>
      <c r="AB172" s="27" t="s">
        <v>86</v>
      </c>
      <c r="AC172" s="23" t="s">
        <v>1383</v>
      </c>
    </row>
    <row r="173" customFormat="false" ht="19.5" hidden="false" customHeight="true" outlineLevel="0" collapsed="false">
      <c r="A173" s="25" t="s">
        <v>4002</v>
      </c>
      <c r="B173" s="25" t="s">
        <v>405</v>
      </c>
      <c r="C173" s="12" t="s">
        <v>406</v>
      </c>
      <c r="D173" s="12" t="s">
        <v>407</v>
      </c>
      <c r="E173" s="12" t="s">
        <v>219</v>
      </c>
      <c r="F173" s="25" t="s">
        <v>1419</v>
      </c>
      <c r="G173" s="25" t="n">
        <v>2026</v>
      </c>
      <c r="H173" s="25" t="n">
        <v>9</v>
      </c>
      <c r="I173" s="25" t="s">
        <v>3827</v>
      </c>
      <c r="J173" s="18" t="n">
        <v>1</v>
      </c>
      <c r="K173" s="14" t="n">
        <v>0</v>
      </c>
      <c r="L173" s="14" t="n">
        <v>0</v>
      </c>
      <c r="M173" s="14" t="n">
        <v>0</v>
      </c>
      <c r="N173" s="14" t="n">
        <v>0</v>
      </c>
      <c r="O173" s="32" t="n">
        <v>0</v>
      </c>
      <c r="P173" s="29"/>
      <c r="Q173" s="25" t="n">
        <v>0</v>
      </c>
      <c r="R173" s="25" t="n">
        <v>0</v>
      </c>
      <c r="S173" s="25" t="n">
        <v>0</v>
      </c>
      <c r="T173" s="25" t="n">
        <v>0</v>
      </c>
      <c r="U173" s="14" t="n">
        <v>0.97</v>
      </c>
      <c r="V173" s="14" t="n">
        <v>0.97</v>
      </c>
      <c r="W173" s="14" t="n">
        <v>0</v>
      </c>
      <c r="X173" s="14" t="n">
        <v>0.42</v>
      </c>
      <c r="Y173" s="13" t="n">
        <v>52</v>
      </c>
      <c r="Z173" s="25" t="s">
        <v>2961</v>
      </c>
      <c r="AA173" s="12" t="s">
        <v>3828</v>
      </c>
      <c r="AB173" s="25" t="s">
        <v>86</v>
      </c>
      <c r="AC173" s="22" t="s">
        <v>1376</v>
      </c>
    </row>
    <row r="174" customFormat="false" ht="19.5" hidden="false" customHeight="true" outlineLevel="0" collapsed="false">
      <c r="A174" s="27" t="s">
        <v>4003</v>
      </c>
      <c r="B174" s="27" t="s">
        <v>405</v>
      </c>
      <c r="C174" s="9" t="s">
        <v>406</v>
      </c>
      <c r="D174" s="9" t="s">
        <v>407</v>
      </c>
      <c r="E174" s="9" t="s">
        <v>219</v>
      </c>
      <c r="F174" s="27" t="s">
        <v>1469</v>
      </c>
      <c r="G174" s="27" t="n">
        <v>2026</v>
      </c>
      <c r="H174" s="27" t="n">
        <v>10</v>
      </c>
      <c r="I174" s="27" t="s">
        <v>3827</v>
      </c>
      <c r="J174" s="20" t="n">
        <v>1</v>
      </c>
      <c r="K174" s="11" t="n">
        <v>0</v>
      </c>
      <c r="L174" s="11" t="n">
        <v>0</v>
      </c>
      <c r="M174" s="30"/>
      <c r="N174" s="30"/>
      <c r="O174" s="30"/>
      <c r="P174" s="11" t="n">
        <v>0</v>
      </c>
      <c r="Q174" s="27" t="n">
        <v>0</v>
      </c>
      <c r="R174" s="27" t="n">
        <v>0</v>
      </c>
      <c r="S174" s="27" t="n">
        <v>0</v>
      </c>
      <c r="T174" s="27" t="n">
        <v>0</v>
      </c>
      <c r="U174" s="11" t="n">
        <v>1.51</v>
      </c>
      <c r="V174" s="11" t="n">
        <v>-0.78</v>
      </c>
      <c r="W174" s="11" t="n">
        <v>2.29</v>
      </c>
      <c r="X174" s="11" t="n">
        <v>0.19</v>
      </c>
      <c r="Y174" s="10" t="n">
        <v>1</v>
      </c>
      <c r="Z174" s="27" t="s">
        <v>3014</v>
      </c>
      <c r="AA174" s="9" t="s">
        <v>3832</v>
      </c>
      <c r="AB174" s="27" t="s">
        <v>86</v>
      </c>
      <c r="AC174" s="23" t="s">
        <v>1437</v>
      </c>
    </row>
    <row r="175" customFormat="false" ht="19.5" hidden="false" customHeight="true" outlineLevel="0" collapsed="false">
      <c r="A175" s="25" t="s">
        <v>4004</v>
      </c>
      <c r="B175" s="25" t="s">
        <v>405</v>
      </c>
      <c r="C175" s="12" t="s">
        <v>406</v>
      </c>
      <c r="D175" s="12" t="s">
        <v>407</v>
      </c>
      <c r="E175" s="12" t="s">
        <v>219</v>
      </c>
      <c r="F175" s="25" t="s">
        <v>1490</v>
      </c>
      <c r="G175" s="25" t="n">
        <v>2026</v>
      </c>
      <c r="H175" s="25" t="n">
        <v>10</v>
      </c>
      <c r="I175" s="25" t="s">
        <v>3827</v>
      </c>
      <c r="J175" s="18" t="n">
        <v>1</v>
      </c>
      <c r="K175" s="14" t="n">
        <v>0</v>
      </c>
      <c r="L175" s="14" t="n">
        <v>0</v>
      </c>
      <c r="M175" s="14" t="n">
        <v>0</v>
      </c>
      <c r="N175" s="29"/>
      <c r="O175" s="32" t="n">
        <v>0</v>
      </c>
      <c r="P175" s="14" t="n">
        <v>0</v>
      </c>
      <c r="Q175" s="25" t="n">
        <v>0</v>
      </c>
      <c r="R175" s="25" t="n">
        <v>0</v>
      </c>
      <c r="S175" s="25" t="n">
        <v>0</v>
      </c>
      <c r="T175" s="25" t="n">
        <v>0</v>
      </c>
      <c r="U175" s="14" t="n">
        <v>1.85</v>
      </c>
      <c r="V175" s="14" t="n">
        <v>-0.59</v>
      </c>
      <c r="W175" s="14" t="n">
        <v>2.44</v>
      </c>
      <c r="X175" s="14" t="n">
        <v>0.38</v>
      </c>
      <c r="Y175" s="13" t="n">
        <v>5</v>
      </c>
      <c r="Z175" s="25" t="s">
        <v>3014</v>
      </c>
      <c r="AA175" s="12" t="s">
        <v>3832</v>
      </c>
      <c r="AB175" s="25" t="s">
        <v>86</v>
      </c>
      <c r="AC175" s="22" t="s">
        <v>1476</v>
      </c>
    </row>
    <row r="176" customFormat="false" ht="19.5" hidden="false" customHeight="true" outlineLevel="0" collapsed="false">
      <c r="A176" s="27" t="s">
        <v>4005</v>
      </c>
      <c r="B176" s="27" t="s">
        <v>405</v>
      </c>
      <c r="C176" s="9" t="s">
        <v>406</v>
      </c>
      <c r="D176" s="9" t="s">
        <v>407</v>
      </c>
      <c r="E176" s="9" t="s">
        <v>219</v>
      </c>
      <c r="F176" s="27" t="s">
        <v>1510</v>
      </c>
      <c r="G176" s="27" t="n">
        <v>2026</v>
      </c>
      <c r="H176" s="27" t="n">
        <v>10</v>
      </c>
      <c r="I176" s="27" t="s">
        <v>3827</v>
      </c>
      <c r="J176" s="20" t="n">
        <v>1</v>
      </c>
      <c r="K176" s="11" t="n">
        <v>0</v>
      </c>
      <c r="L176" s="11" t="n">
        <v>0</v>
      </c>
      <c r="M176" s="11" t="n">
        <v>0</v>
      </c>
      <c r="N176" s="11" t="n">
        <v>0</v>
      </c>
      <c r="O176" s="31" t="n">
        <v>0</v>
      </c>
      <c r="P176" s="11" t="n">
        <v>0</v>
      </c>
      <c r="Q176" s="27" t="n">
        <v>0</v>
      </c>
      <c r="R176" s="27" t="n">
        <v>0</v>
      </c>
      <c r="S176" s="27" t="n">
        <v>0</v>
      </c>
      <c r="T176" s="27" t="n">
        <v>0</v>
      </c>
      <c r="U176" s="11" t="n">
        <v>1.87</v>
      </c>
      <c r="V176" s="11" t="n">
        <v>-0.82</v>
      </c>
      <c r="W176" s="11" t="n">
        <v>2.69</v>
      </c>
      <c r="X176" s="11" t="n">
        <v>0.3</v>
      </c>
      <c r="Y176" s="10" t="n">
        <v>0</v>
      </c>
      <c r="Z176" s="27" t="s">
        <v>2897</v>
      </c>
      <c r="AA176" s="9" t="s">
        <v>3832</v>
      </c>
      <c r="AB176" s="27" t="s">
        <v>86</v>
      </c>
      <c r="AC176" s="23" t="s">
        <v>1497</v>
      </c>
    </row>
    <row r="177" customFormat="false" ht="19.5" hidden="false" customHeight="true" outlineLevel="0" collapsed="false">
      <c r="A177" s="25" t="s">
        <v>4006</v>
      </c>
      <c r="B177" s="25" t="s">
        <v>405</v>
      </c>
      <c r="C177" s="12" t="s">
        <v>406</v>
      </c>
      <c r="D177" s="12" t="s">
        <v>407</v>
      </c>
      <c r="E177" s="12" t="s">
        <v>219</v>
      </c>
      <c r="F177" s="25" t="s">
        <v>1532</v>
      </c>
      <c r="G177" s="25" t="n">
        <v>2026</v>
      </c>
      <c r="H177" s="25" t="n">
        <v>10</v>
      </c>
      <c r="I177" s="25" t="s">
        <v>3827</v>
      </c>
      <c r="J177" s="18" t="n">
        <v>1</v>
      </c>
      <c r="K177" s="14" t="n">
        <v>0</v>
      </c>
      <c r="L177" s="14" t="n">
        <v>0</v>
      </c>
      <c r="M177" s="14" t="n">
        <v>0</v>
      </c>
      <c r="N177" s="14" t="n">
        <v>0</v>
      </c>
      <c r="O177" s="32" t="n">
        <v>0</v>
      </c>
      <c r="P177" s="14" t="n">
        <v>0</v>
      </c>
      <c r="Q177" s="25" t="n">
        <v>0</v>
      </c>
      <c r="R177" s="25" t="n">
        <v>0</v>
      </c>
      <c r="S177" s="25" t="n">
        <v>0</v>
      </c>
      <c r="T177" s="25" t="n">
        <v>0</v>
      </c>
      <c r="U177" s="14" t="n">
        <v>1.81</v>
      </c>
      <c r="V177" s="14" t="n">
        <v>-0.96</v>
      </c>
      <c r="W177" s="14" t="n">
        <v>2.77</v>
      </c>
      <c r="X177" s="14" t="n">
        <v>0.34</v>
      </c>
      <c r="Y177" s="13" t="n">
        <v>0</v>
      </c>
      <c r="Z177" s="25" t="s">
        <v>2998</v>
      </c>
      <c r="AA177" s="12" t="s">
        <v>3832</v>
      </c>
      <c r="AB177" s="25" t="s">
        <v>86</v>
      </c>
      <c r="AC177" s="22" t="s">
        <v>1517</v>
      </c>
    </row>
    <row r="178" customFormat="false" ht="19.5" hidden="false" customHeight="true" outlineLevel="0" collapsed="false">
      <c r="A178" s="27" t="s">
        <v>4007</v>
      </c>
      <c r="B178" s="27" t="s">
        <v>405</v>
      </c>
      <c r="C178" s="9" t="s">
        <v>406</v>
      </c>
      <c r="D178" s="9" t="s">
        <v>407</v>
      </c>
      <c r="E178" s="9" t="s">
        <v>219</v>
      </c>
      <c r="F178" s="27" t="s">
        <v>1555</v>
      </c>
      <c r="G178" s="27" t="n">
        <v>2026</v>
      </c>
      <c r="H178" s="27" t="n">
        <v>10</v>
      </c>
      <c r="I178" s="27" t="s">
        <v>3827</v>
      </c>
      <c r="J178" s="20" t="n">
        <v>1</v>
      </c>
      <c r="K178" s="11" t="n">
        <v>0</v>
      </c>
      <c r="L178" s="11" t="n">
        <v>0</v>
      </c>
      <c r="M178" s="11" t="n">
        <v>0</v>
      </c>
      <c r="N178" s="11" t="n">
        <v>0</v>
      </c>
      <c r="O178" s="31" t="n">
        <v>0</v>
      </c>
      <c r="P178" s="30"/>
      <c r="Q178" s="27" t="n">
        <v>0</v>
      </c>
      <c r="R178" s="27" t="n">
        <v>0</v>
      </c>
      <c r="S178" s="27" t="n">
        <v>0</v>
      </c>
      <c r="T178" s="27" t="n">
        <v>0</v>
      </c>
      <c r="U178" s="11" t="n">
        <v>1.6</v>
      </c>
      <c r="V178" s="11" t="n">
        <v>1.6</v>
      </c>
      <c r="W178" s="11" t="n">
        <v>0</v>
      </c>
      <c r="X178" s="11" t="n">
        <v>0.17</v>
      </c>
      <c r="Y178" s="10" t="n">
        <v>0</v>
      </c>
      <c r="Z178" s="27" t="s">
        <v>2998</v>
      </c>
      <c r="AA178" s="9" t="s">
        <v>3832</v>
      </c>
      <c r="AB178" s="27" t="s">
        <v>86</v>
      </c>
      <c r="AC178" s="23" t="s">
        <v>93</v>
      </c>
    </row>
    <row r="179" customFormat="false" ht="19.5" hidden="false" customHeight="true" outlineLevel="0" collapsed="false">
      <c r="A179" s="25" t="s">
        <v>4008</v>
      </c>
      <c r="B179" s="25" t="s">
        <v>552</v>
      </c>
      <c r="C179" s="12" t="s">
        <v>553</v>
      </c>
      <c r="D179" s="12" t="s">
        <v>554</v>
      </c>
      <c r="E179" s="12" t="s">
        <v>219</v>
      </c>
      <c r="F179" s="25" t="s">
        <v>625</v>
      </c>
      <c r="G179" s="25" t="n">
        <v>2016</v>
      </c>
      <c r="H179" s="25" t="n">
        <v>2</v>
      </c>
      <c r="I179" s="25" t="s">
        <v>3879</v>
      </c>
      <c r="J179" s="18" t="n">
        <v>1</v>
      </c>
      <c r="K179" s="14" t="n">
        <v>2.52</v>
      </c>
      <c r="L179" s="29"/>
      <c r="M179" s="29"/>
      <c r="N179" s="29"/>
      <c r="O179" s="29"/>
      <c r="P179" s="29"/>
      <c r="Q179" s="25" t="n">
        <v>1</v>
      </c>
      <c r="R179" s="25" t="n">
        <v>1</v>
      </c>
      <c r="S179" s="25" t="n">
        <v>1</v>
      </c>
      <c r="T179" s="25" t="n">
        <v>1</v>
      </c>
      <c r="U179" s="29"/>
      <c r="V179" s="29"/>
      <c r="W179" s="29"/>
      <c r="X179" s="29"/>
      <c r="Y179" s="29"/>
      <c r="Z179" s="25" t="s">
        <v>3836</v>
      </c>
      <c r="AA179" s="12" t="s">
        <v>3880</v>
      </c>
      <c r="AB179" s="25" t="s">
        <v>86</v>
      </c>
      <c r="AC179" s="22" t="s">
        <v>197</v>
      </c>
    </row>
    <row r="180" customFormat="false" ht="19.5" hidden="false" customHeight="true" outlineLevel="0" collapsed="false">
      <c r="A180" s="27" t="s">
        <v>4009</v>
      </c>
      <c r="B180" s="27" t="s">
        <v>552</v>
      </c>
      <c r="C180" s="9" t="s">
        <v>553</v>
      </c>
      <c r="D180" s="9" t="s">
        <v>554</v>
      </c>
      <c r="E180" s="9" t="s">
        <v>219</v>
      </c>
      <c r="F180" s="27" t="s">
        <v>663</v>
      </c>
      <c r="G180" s="27" t="n">
        <v>2016</v>
      </c>
      <c r="H180" s="27" t="n">
        <v>5</v>
      </c>
      <c r="I180" s="27" t="s">
        <v>3879</v>
      </c>
      <c r="J180" s="20" t="n">
        <v>1</v>
      </c>
      <c r="K180" s="11" t="n">
        <v>4.9</v>
      </c>
      <c r="L180" s="30"/>
      <c r="M180" s="30"/>
      <c r="N180" s="30"/>
      <c r="O180" s="30"/>
      <c r="P180" s="11" t="n">
        <v>4.76</v>
      </c>
      <c r="Q180" s="27" t="n">
        <v>1</v>
      </c>
      <c r="R180" s="27" t="n">
        <v>1</v>
      </c>
      <c r="S180" s="27" t="n">
        <v>1</v>
      </c>
      <c r="T180" s="27" t="n">
        <v>1</v>
      </c>
      <c r="U180" s="30"/>
      <c r="V180" s="30"/>
      <c r="W180" s="30"/>
      <c r="X180" s="30"/>
      <c r="Y180" s="30"/>
      <c r="Z180" s="27" t="s">
        <v>3836</v>
      </c>
      <c r="AA180" s="9" t="s">
        <v>3880</v>
      </c>
      <c r="AB180" s="27" t="s">
        <v>86</v>
      </c>
      <c r="AC180" s="23" t="s">
        <v>664</v>
      </c>
    </row>
    <row r="181" customFormat="false" ht="19.5" hidden="false" customHeight="true" outlineLevel="0" collapsed="false">
      <c r="A181" s="25" t="s">
        <v>4010</v>
      </c>
      <c r="B181" s="25" t="s">
        <v>552</v>
      </c>
      <c r="C181" s="12" t="s">
        <v>553</v>
      </c>
      <c r="D181" s="12" t="s">
        <v>554</v>
      </c>
      <c r="E181" s="12" t="s">
        <v>219</v>
      </c>
      <c r="F181" s="25" t="s">
        <v>680</v>
      </c>
      <c r="G181" s="25" t="n">
        <v>2016</v>
      </c>
      <c r="H181" s="25" t="n">
        <v>5</v>
      </c>
      <c r="I181" s="25" t="s">
        <v>3879</v>
      </c>
      <c r="J181" s="18" t="n">
        <v>1</v>
      </c>
      <c r="K181" s="14" t="n">
        <v>4.76</v>
      </c>
      <c r="L181" s="29"/>
      <c r="M181" s="14" t="n">
        <v>4.9</v>
      </c>
      <c r="N181" s="29"/>
      <c r="O181" s="32" t="n">
        <v>-0.14</v>
      </c>
      <c r="P181" s="14" t="n">
        <v>4.9</v>
      </c>
      <c r="Q181" s="25" t="n">
        <v>1</v>
      </c>
      <c r="R181" s="25" t="n">
        <v>1</v>
      </c>
      <c r="S181" s="25" t="n">
        <v>1</v>
      </c>
      <c r="T181" s="25" t="n">
        <v>1</v>
      </c>
      <c r="U181" s="29"/>
      <c r="V181" s="29"/>
      <c r="W181" s="29"/>
      <c r="X181" s="29"/>
      <c r="Y181" s="29"/>
      <c r="Z181" s="25" t="s">
        <v>3836</v>
      </c>
      <c r="AA181" s="12" t="s">
        <v>3880</v>
      </c>
      <c r="AB181" s="25" t="s">
        <v>86</v>
      </c>
      <c r="AC181" s="22" t="s">
        <v>681</v>
      </c>
    </row>
    <row r="182" customFormat="false" ht="19.5" hidden="false" customHeight="true" outlineLevel="0" collapsed="false">
      <c r="A182" s="27" t="s">
        <v>4011</v>
      </c>
      <c r="B182" s="27" t="s">
        <v>552</v>
      </c>
      <c r="C182" s="9" t="s">
        <v>553</v>
      </c>
      <c r="D182" s="9" t="s">
        <v>554</v>
      </c>
      <c r="E182" s="9" t="s">
        <v>219</v>
      </c>
      <c r="F182" s="27" t="s">
        <v>696</v>
      </c>
      <c r="G182" s="27" t="n">
        <v>2016</v>
      </c>
      <c r="H182" s="27" t="n">
        <v>5</v>
      </c>
      <c r="I182" s="27" t="s">
        <v>3879</v>
      </c>
      <c r="J182" s="20" t="n">
        <v>1</v>
      </c>
      <c r="K182" s="11" t="n">
        <v>4.9</v>
      </c>
      <c r="L182" s="30"/>
      <c r="M182" s="11" t="n">
        <v>4.76</v>
      </c>
      <c r="N182" s="11" t="n">
        <v>4.9</v>
      </c>
      <c r="O182" s="31" t="n">
        <v>0.14</v>
      </c>
      <c r="P182" s="11" t="n">
        <v>4.9</v>
      </c>
      <c r="Q182" s="27" t="n">
        <v>1</v>
      </c>
      <c r="R182" s="27" t="n">
        <v>1</v>
      </c>
      <c r="S182" s="27" t="n">
        <v>1</v>
      </c>
      <c r="T182" s="27" t="n">
        <v>1</v>
      </c>
      <c r="U182" s="30"/>
      <c r="V182" s="30"/>
      <c r="W182" s="30"/>
      <c r="X182" s="30"/>
      <c r="Y182" s="30"/>
      <c r="Z182" s="27" t="s">
        <v>3836</v>
      </c>
      <c r="AA182" s="9" t="s">
        <v>3880</v>
      </c>
      <c r="AB182" s="27" t="s">
        <v>86</v>
      </c>
      <c r="AC182" s="23" t="s">
        <v>697</v>
      </c>
    </row>
    <row r="183" customFormat="false" ht="19.5" hidden="false" customHeight="true" outlineLevel="0" collapsed="false">
      <c r="A183" s="25" t="s">
        <v>4012</v>
      </c>
      <c r="B183" s="25" t="s">
        <v>552</v>
      </c>
      <c r="C183" s="12" t="s">
        <v>553</v>
      </c>
      <c r="D183" s="12" t="s">
        <v>554</v>
      </c>
      <c r="E183" s="12" t="s">
        <v>219</v>
      </c>
      <c r="F183" s="25" t="s">
        <v>712</v>
      </c>
      <c r="G183" s="25" t="n">
        <v>2016</v>
      </c>
      <c r="H183" s="25" t="n">
        <v>5</v>
      </c>
      <c r="I183" s="25" t="s">
        <v>3879</v>
      </c>
      <c r="J183" s="18" t="n">
        <v>1</v>
      </c>
      <c r="K183" s="14" t="n">
        <v>4.9</v>
      </c>
      <c r="L183" s="29"/>
      <c r="M183" s="14" t="n">
        <v>4.9</v>
      </c>
      <c r="N183" s="14" t="n">
        <v>4.76</v>
      </c>
      <c r="O183" s="32" t="n">
        <v>0</v>
      </c>
      <c r="P183" s="14" t="n">
        <v>4.9</v>
      </c>
      <c r="Q183" s="25" t="n">
        <v>1</v>
      </c>
      <c r="R183" s="25" t="n">
        <v>1</v>
      </c>
      <c r="S183" s="25" t="n">
        <v>1</v>
      </c>
      <c r="T183" s="25" t="n">
        <v>1</v>
      </c>
      <c r="U183" s="29"/>
      <c r="V183" s="29"/>
      <c r="W183" s="29"/>
      <c r="X183" s="29"/>
      <c r="Y183" s="29"/>
      <c r="Z183" s="25" t="s">
        <v>3836</v>
      </c>
      <c r="AA183" s="12" t="s">
        <v>3880</v>
      </c>
      <c r="AB183" s="25" t="s">
        <v>86</v>
      </c>
      <c r="AC183" s="22" t="s">
        <v>713</v>
      </c>
    </row>
    <row r="184" customFormat="false" ht="19.5" hidden="false" customHeight="true" outlineLevel="0" collapsed="false">
      <c r="A184" s="27" t="s">
        <v>4013</v>
      </c>
      <c r="B184" s="27" t="s">
        <v>552</v>
      </c>
      <c r="C184" s="9" t="s">
        <v>553</v>
      </c>
      <c r="D184" s="9" t="s">
        <v>554</v>
      </c>
      <c r="E184" s="9" t="s">
        <v>219</v>
      </c>
      <c r="F184" s="27" t="s">
        <v>728</v>
      </c>
      <c r="G184" s="27" t="n">
        <v>2016</v>
      </c>
      <c r="H184" s="27" t="n">
        <v>5</v>
      </c>
      <c r="I184" s="27" t="s">
        <v>3879</v>
      </c>
      <c r="J184" s="20" t="n">
        <v>1</v>
      </c>
      <c r="K184" s="11" t="n">
        <v>4.9</v>
      </c>
      <c r="L184" s="30"/>
      <c r="M184" s="11" t="n">
        <v>4.9</v>
      </c>
      <c r="N184" s="11" t="n">
        <v>4.9</v>
      </c>
      <c r="O184" s="31" t="n">
        <v>0</v>
      </c>
      <c r="P184" s="30"/>
      <c r="Q184" s="27" t="n">
        <v>1</v>
      </c>
      <c r="R184" s="27" t="n">
        <v>1</v>
      </c>
      <c r="S184" s="27" t="n">
        <v>1</v>
      </c>
      <c r="T184" s="27" t="n">
        <v>1</v>
      </c>
      <c r="U184" s="30"/>
      <c r="V184" s="30"/>
      <c r="W184" s="30"/>
      <c r="X184" s="30"/>
      <c r="Y184" s="30"/>
      <c r="Z184" s="27" t="s">
        <v>3836</v>
      </c>
      <c r="AA184" s="9" t="s">
        <v>3880</v>
      </c>
      <c r="AB184" s="27" t="s">
        <v>86</v>
      </c>
      <c r="AC184" s="23" t="s">
        <v>729</v>
      </c>
    </row>
    <row r="185" customFormat="false" ht="19.5" hidden="false" customHeight="true" outlineLevel="0" collapsed="false">
      <c r="A185" s="25" t="s">
        <v>4014</v>
      </c>
      <c r="B185" s="25" t="s">
        <v>552</v>
      </c>
      <c r="C185" s="12" t="s">
        <v>553</v>
      </c>
      <c r="D185" s="12" t="s">
        <v>554</v>
      </c>
      <c r="E185" s="12" t="s">
        <v>219</v>
      </c>
      <c r="F185" s="25" t="s">
        <v>975</v>
      </c>
      <c r="G185" s="25" t="n">
        <v>2025</v>
      </c>
      <c r="H185" s="25" t="n">
        <v>2</v>
      </c>
      <c r="I185" s="25" t="s">
        <v>3879</v>
      </c>
      <c r="J185" s="18" t="n">
        <v>1</v>
      </c>
      <c r="K185" s="14" t="n">
        <v>1.7</v>
      </c>
      <c r="L185" s="29"/>
      <c r="M185" s="29"/>
      <c r="N185" s="29"/>
      <c r="O185" s="29"/>
      <c r="P185" s="29"/>
      <c r="Q185" s="25" t="n">
        <v>1</v>
      </c>
      <c r="R185" s="25" t="n">
        <v>1</v>
      </c>
      <c r="S185" s="25" t="n">
        <v>1</v>
      </c>
      <c r="T185" s="25" t="n">
        <v>0</v>
      </c>
      <c r="U185" s="29"/>
      <c r="V185" s="29"/>
      <c r="W185" s="29"/>
      <c r="X185" s="29"/>
      <c r="Y185" s="29"/>
      <c r="Z185" s="25" t="s">
        <v>3836</v>
      </c>
      <c r="AA185" s="12" t="s">
        <v>3887</v>
      </c>
      <c r="AB185" s="25" t="s">
        <v>86</v>
      </c>
      <c r="AC185" s="22" t="s">
        <v>197</v>
      </c>
    </row>
    <row r="186" customFormat="false" ht="19.5" hidden="false" customHeight="true" outlineLevel="0" collapsed="false">
      <c r="A186" s="27" t="s">
        <v>4015</v>
      </c>
      <c r="B186" s="27" t="s">
        <v>552</v>
      </c>
      <c r="C186" s="9" t="s">
        <v>553</v>
      </c>
      <c r="D186" s="9" t="s">
        <v>554</v>
      </c>
      <c r="E186" s="9" t="s">
        <v>219</v>
      </c>
      <c r="F186" s="27" t="s">
        <v>1102</v>
      </c>
      <c r="G186" s="27" t="n">
        <v>2025</v>
      </c>
      <c r="H186" s="27" t="n">
        <v>5</v>
      </c>
      <c r="I186" s="27" t="s">
        <v>3879</v>
      </c>
      <c r="J186" s="20" t="n">
        <v>1</v>
      </c>
      <c r="K186" s="11" t="n">
        <v>1.6</v>
      </c>
      <c r="L186" s="30"/>
      <c r="M186" s="30"/>
      <c r="N186" s="30"/>
      <c r="O186" s="30"/>
      <c r="P186" s="11" t="n">
        <v>1.4</v>
      </c>
      <c r="Q186" s="27" t="n">
        <v>1</v>
      </c>
      <c r="R186" s="27" t="n">
        <v>1</v>
      </c>
      <c r="S186" s="27" t="n">
        <v>1</v>
      </c>
      <c r="T186" s="27" t="n">
        <v>0</v>
      </c>
      <c r="U186" s="30"/>
      <c r="V186" s="30"/>
      <c r="W186" s="30"/>
      <c r="X186" s="30"/>
      <c r="Y186" s="30"/>
      <c r="Z186" s="27" t="s">
        <v>3836</v>
      </c>
      <c r="AA186" s="9" t="s">
        <v>3887</v>
      </c>
      <c r="AB186" s="27" t="s">
        <v>86</v>
      </c>
      <c r="AC186" s="23" t="s">
        <v>664</v>
      </c>
    </row>
    <row r="187" customFormat="false" ht="19.5" hidden="false" customHeight="true" outlineLevel="0" collapsed="false">
      <c r="A187" s="25" t="s">
        <v>4016</v>
      </c>
      <c r="B187" s="25" t="s">
        <v>552</v>
      </c>
      <c r="C187" s="12" t="s">
        <v>553</v>
      </c>
      <c r="D187" s="12" t="s">
        <v>554</v>
      </c>
      <c r="E187" s="12" t="s">
        <v>219</v>
      </c>
      <c r="F187" s="25" t="s">
        <v>1117</v>
      </c>
      <c r="G187" s="25" t="n">
        <v>2025</v>
      </c>
      <c r="H187" s="25" t="n">
        <v>5</v>
      </c>
      <c r="I187" s="25" t="s">
        <v>3879</v>
      </c>
      <c r="J187" s="18" t="n">
        <v>1</v>
      </c>
      <c r="K187" s="14" t="n">
        <v>1.4</v>
      </c>
      <c r="L187" s="29"/>
      <c r="M187" s="14" t="n">
        <v>1.6</v>
      </c>
      <c r="N187" s="29"/>
      <c r="O187" s="32" t="n">
        <v>-0.2</v>
      </c>
      <c r="P187" s="14" t="n">
        <v>1.3</v>
      </c>
      <c r="Q187" s="25" t="n">
        <v>1</v>
      </c>
      <c r="R187" s="25" t="n">
        <v>1</v>
      </c>
      <c r="S187" s="25" t="n">
        <v>1</v>
      </c>
      <c r="T187" s="25" t="n">
        <v>0</v>
      </c>
      <c r="U187" s="29"/>
      <c r="V187" s="29"/>
      <c r="W187" s="29"/>
      <c r="X187" s="29"/>
      <c r="Y187" s="29"/>
      <c r="Z187" s="25" t="s">
        <v>3836</v>
      </c>
      <c r="AA187" s="12" t="s">
        <v>3887</v>
      </c>
      <c r="AB187" s="25" t="s">
        <v>86</v>
      </c>
      <c r="AC187" s="22" t="s">
        <v>681</v>
      </c>
    </row>
    <row r="188" customFormat="false" ht="19.5" hidden="false" customHeight="true" outlineLevel="0" collapsed="false">
      <c r="A188" s="27" t="s">
        <v>4017</v>
      </c>
      <c r="B188" s="27" t="s">
        <v>552</v>
      </c>
      <c r="C188" s="9" t="s">
        <v>553</v>
      </c>
      <c r="D188" s="9" t="s">
        <v>554</v>
      </c>
      <c r="E188" s="9" t="s">
        <v>219</v>
      </c>
      <c r="F188" s="27" t="s">
        <v>1132</v>
      </c>
      <c r="G188" s="27" t="n">
        <v>2025</v>
      </c>
      <c r="H188" s="27" t="n">
        <v>5</v>
      </c>
      <c r="I188" s="27" t="s">
        <v>3879</v>
      </c>
      <c r="J188" s="20" t="n">
        <v>1</v>
      </c>
      <c r="K188" s="11" t="n">
        <v>1.3</v>
      </c>
      <c r="L188" s="30"/>
      <c r="M188" s="11" t="n">
        <v>1.4</v>
      </c>
      <c r="N188" s="11" t="n">
        <v>1.6</v>
      </c>
      <c r="O188" s="31" t="n">
        <v>-0.1</v>
      </c>
      <c r="P188" s="11" t="n">
        <v>1.3</v>
      </c>
      <c r="Q188" s="27" t="n">
        <v>1</v>
      </c>
      <c r="R188" s="27" t="n">
        <v>1</v>
      </c>
      <c r="S188" s="27" t="n">
        <v>1</v>
      </c>
      <c r="T188" s="27" t="n">
        <v>0</v>
      </c>
      <c r="U188" s="30"/>
      <c r="V188" s="30"/>
      <c r="W188" s="30"/>
      <c r="X188" s="30"/>
      <c r="Y188" s="30"/>
      <c r="Z188" s="27" t="s">
        <v>3836</v>
      </c>
      <c r="AA188" s="9" t="s">
        <v>3887</v>
      </c>
      <c r="AB188" s="27" t="s">
        <v>86</v>
      </c>
      <c r="AC188" s="23" t="s">
        <v>697</v>
      </c>
    </row>
    <row r="189" customFormat="false" ht="19.5" hidden="false" customHeight="true" outlineLevel="0" collapsed="false">
      <c r="A189" s="25" t="s">
        <v>4018</v>
      </c>
      <c r="B189" s="25" t="s">
        <v>552</v>
      </c>
      <c r="C189" s="12" t="s">
        <v>553</v>
      </c>
      <c r="D189" s="12" t="s">
        <v>554</v>
      </c>
      <c r="E189" s="12" t="s">
        <v>219</v>
      </c>
      <c r="F189" s="25" t="s">
        <v>1147</v>
      </c>
      <c r="G189" s="25" t="n">
        <v>2025</v>
      </c>
      <c r="H189" s="25" t="n">
        <v>5</v>
      </c>
      <c r="I189" s="25" t="s">
        <v>3879</v>
      </c>
      <c r="J189" s="18" t="n">
        <v>1</v>
      </c>
      <c r="K189" s="14" t="n">
        <v>1.3</v>
      </c>
      <c r="L189" s="29"/>
      <c r="M189" s="14" t="n">
        <v>1.3</v>
      </c>
      <c r="N189" s="14" t="n">
        <v>1.4</v>
      </c>
      <c r="O189" s="32" t="n">
        <v>0</v>
      </c>
      <c r="P189" s="14" t="n">
        <v>1.3</v>
      </c>
      <c r="Q189" s="25" t="n">
        <v>1</v>
      </c>
      <c r="R189" s="25" t="n">
        <v>1</v>
      </c>
      <c r="S189" s="25" t="n">
        <v>1</v>
      </c>
      <c r="T189" s="25" t="n">
        <v>0</v>
      </c>
      <c r="U189" s="29"/>
      <c r="V189" s="29"/>
      <c r="W189" s="29"/>
      <c r="X189" s="29"/>
      <c r="Y189" s="29"/>
      <c r="Z189" s="25" t="s">
        <v>3836</v>
      </c>
      <c r="AA189" s="12" t="s">
        <v>3887</v>
      </c>
      <c r="AB189" s="25" t="s">
        <v>86</v>
      </c>
      <c r="AC189" s="22" t="s">
        <v>713</v>
      </c>
    </row>
    <row r="190" customFormat="false" ht="19.5" hidden="false" customHeight="true" outlineLevel="0" collapsed="false">
      <c r="A190" s="27" t="s">
        <v>4019</v>
      </c>
      <c r="B190" s="27" t="s">
        <v>552</v>
      </c>
      <c r="C190" s="9" t="s">
        <v>553</v>
      </c>
      <c r="D190" s="9" t="s">
        <v>554</v>
      </c>
      <c r="E190" s="9" t="s">
        <v>219</v>
      </c>
      <c r="F190" s="27" t="s">
        <v>1162</v>
      </c>
      <c r="G190" s="27" t="n">
        <v>2025</v>
      </c>
      <c r="H190" s="27" t="n">
        <v>5</v>
      </c>
      <c r="I190" s="27" t="s">
        <v>3879</v>
      </c>
      <c r="J190" s="20" t="n">
        <v>1</v>
      </c>
      <c r="K190" s="11" t="n">
        <v>1.3</v>
      </c>
      <c r="L190" s="30"/>
      <c r="M190" s="11" t="n">
        <v>1.3</v>
      </c>
      <c r="N190" s="11" t="n">
        <v>1.3</v>
      </c>
      <c r="O190" s="31" t="n">
        <v>0</v>
      </c>
      <c r="P190" s="30"/>
      <c r="Q190" s="27" t="n">
        <v>1</v>
      </c>
      <c r="R190" s="27" t="n">
        <v>1</v>
      </c>
      <c r="S190" s="27" t="n">
        <v>1</v>
      </c>
      <c r="T190" s="27" t="n">
        <v>0</v>
      </c>
      <c r="U190" s="30"/>
      <c r="V190" s="30"/>
      <c r="W190" s="30"/>
      <c r="X190" s="30"/>
      <c r="Y190" s="30"/>
      <c r="Z190" s="27" t="s">
        <v>3836</v>
      </c>
      <c r="AA190" s="9" t="s">
        <v>3887</v>
      </c>
      <c r="AB190" s="27" t="s">
        <v>86</v>
      </c>
      <c r="AC190" s="23" t="s">
        <v>729</v>
      </c>
    </row>
    <row r="191" customFormat="false" ht="19.5" hidden="false" customHeight="true" outlineLevel="0" collapsed="false">
      <c r="A191" s="25" t="s">
        <v>4020</v>
      </c>
      <c r="B191" s="25" t="s">
        <v>552</v>
      </c>
      <c r="C191" s="12" t="s">
        <v>553</v>
      </c>
      <c r="D191" s="12" t="s">
        <v>554</v>
      </c>
      <c r="E191" s="12" t="s">
        <v>219</v>
      </c>
      <c r="F191" s="25" t="s">
        <v>1177</v>
      </c>
      <c r="G191" s="25" t="n">
        <v>2026</v>
      </c>
      <c r="H191" s="25" t="n">
        <v>2</v>
      </c>
      <c r="I191" s="25" t="s">
        <v>3879</v>
      </c>
      <c r="J191" s="18" t="n">
        <v>1</v>
      </c>
      <c r="K191" s="14" t="n">
        <v>1.3</v>
      </c>
      <c r="L191" s="29"/>
      <c r="M191" s="29"/>
      <c r="N191" s="29"/>
      <c r="O191" s="29"/>
      <c r="P191" s="14" t="n">
        <v>1.2</v>
      </c>
      <c r="Q191" s="25" t="n">
        <v>1</v>
      </c>
      <c r="R191" s="25" t="n">
        <v>1</v>
      </c>
      <c r="S191" s="25" t="n">
        <v>1</v>
      </c>
      <c r="T191" s="25" t="n">
        <v>0</v>
      </c>
      <c r="U191" s="29"/>
      <c r="V191" s="29"/>
      <c r="W191" s="29"/>
      <c r="X191" s="14" t="n">
        <v>0.51</v>
      </c>
      <c r="Y191" s="29"/>
      <c r="Z191" s="25" t="s">
        <v>3836</v>
      </c>
      <c r="AA191" s="12" t="s">
        <v>3894</v>
      </c>
      <c r="AB191" s="25" t="s">
        <v>86</v>
      </c>
      <c r="AC191" s="22" t="s">
        <v>197</v>
      </c>
    </row>
    <row r="192" customFormat="false" ht="19.5" hidden="false" customHeight="true" outlineLevel="0" collapsed="false">
      <c r="A192" s="27" t="s">
        <v>4021</v>
      </c>
      <c r="B192" s="27" t="s">
        <v>552</v>
      </c>
      <c r="C192" s="9" t="s">
        <v>553</v>
      </c>
      <c r="D192" s="9" t="s">
        <v>554</v>
      </c>
      <c r="E192" s="9" t="s">
        <v>219</v>
      </c>
      <c r="F192" s="27" t="s">
        <v>1194</v>
      </c>
      <c r="G192" s="27" t="n">
        <v>2026</v>
      </c>
      <c r="H192" s="27" t="n">
        <v>2</v>
      </c>
      <c r="I192" s="27" t="s">
        <v>3879</v>
      </c>
      <c r="J192" s="20" t="n">
        <v>1</v>
      </c>
      <c r="K192" s="11" t="n">
        <v>1.2</v>
      </c>
      <c r="L192" s="30"/>
      <c r="M192" s="11" t="n">
        <v>1.3</v>
      </c>
      <c r="N192" s="30"/>
      <c r="O192" s="31" t="n">
        <v>-0.1</v>
      </c>
      <c r="P192" s="30"/>
      <c r="Q192" s="27" t="n">
        <v>1</v>
      </c>
      <c r="R192" s="27" t="n">
        <v>1</v>
      </c>
      <c r="S192" s="27" t="n">
        <v>1</v>
      </c>
      <c r="T192" s="27" t="n">
        <v>0</v>
      </c>
      <c r="U192" s="11" t="n">
        <v>1.55</v>
      </c>
      <c r="V192" s="30"/>
      <c r="W192" s="30"/>
      <c r="X192" s="11" t="n">
        <v>0.485</v>
      </c>
      <c r="Y192" s="30"/>
      <c r="Z192" s="27" t="s">
        <v>2931</v>
      </c>
      <c r="AA192" s="9" t="s">
        <v>3894</v>
      </c>
      <c r="AB192" s="27" t="s">
        <v>86</v>
      </c>
      <c r="AC192" s="23" t="s">
        <v>197</v>
      </c>
    </row>
    <row r="193" customFormat="false" ht="19.5" hidden="false" customHeight="true" outlineLevel="0" collapsed="false">
      <c r="A193" s="25" t="s">
        <v>4022</v>
      </c>
      <c r="B193" s="25" t="s">
        <v>552</v>
      </c>
      <c r="C193" s="12" t="s">
        <v>553</v>
      </c>
      <c r="D193" s="12" t="s">
        <v>554</v>
      </c>
      <c r="E193" s="12" t="s">
        <v>219</v>
      </c>
      <c r="F193" s="25" t="s">
        <v>1231</v>
      </c>
      <c r="G193" s="25" t="n">
        <v>2026</v>
      </c>
      <c r="H193" s="25" t="n">
        <v>5</v>
      </c>
      <c r="I193" s="25" t="s">
        <v>3879</v>
      </c>
      <c r="J193" s="18" t="n">
        <v>1</v>
      </c>
      <c r="K193" s="14" t="n">
        <v>7.9</v>
      </c>
      <c r="L193" s="29"/>
      <c r="M193" s="29"/>
      <c r="N193" s="29"/>
      <c r="O193" s="29"/>
      <c r="P193" s="14" t="n">
        <v>3.6</v>
      </c>
      <c r="Q193" s="25" t="n">
        <v>1</v>
      </c>
      <c r="R193" s="25" t="n">
        <v>1</v>
      </c>
      <c r="S193" s="25" t="n">
        <v>1</v>
      </c>
      <c r="T193" s="25" t="n">
        <v>1</v>
      </c>
      <c r="U193" s="29"/>
      <c r="V193" s="29"/>
      <c r="W193" s="29"/>
      <c r="X193" s="14" t="n">
        <v>0.12</v>
      </c>
      <c r="Y193" s="29"/>
      <c r="Z193" s="25" t="s">
        <v>2939</v>
      </c>
      <c r="AA193" s="12" t="s">
        <v>3894</v>
      </c>
      <c r="AB193" s="25" t="s">
        <v>86</v>
      </c>
      <c r="AC193" s="22" t="s">
        <v>664</v>
      </c>
    </row>
    <row r="194" customFormat="false" ht="19.5" hidden="false" customHeight="true" outlineLevel="0" collapsed="false">
      <c r="A194" s="27" t="s">
        <v>4023</v>
      </c>
      <c r="B194" s="27" t="s">
        <v>552</v>
      </c>
      <c r="C194" s="9" t="s">
        <v>553</v>
      </c>
      <c r="D194" s="9" t="s">
        <v>554</v>
      </c>
      <c r="E194" s="9" t="s">
        <v>219</v>
      </c>
      <c r="F194" s="27" t="s">
        <v>1246</v>
      </c>
      <c r="G194" s="27" t="n">
        <v>2026</v>
      </c>
      <c r="H194" s="27" t="n">
        <v>5</v>
      </c>
      <c r="I194" s="27" t="s">
        <v>3879</v>
      </c>
      <c r="J194" s="20" t="n">
        <v>1</v>
      </c>
      <c r="K194" s="11" t="n">
        <v>3.6</v>
      </c>
      <c r="L194" s="30"/>
      <c r="M194" s="11" t="n">
        <v>7.9</v>
      </c>
      <c r="N194" s="30"/>
      <c r="O194" s="31" t="n">
        <v>-4.3</v>
      </c>
      <c r="P194" s="11" t="n">
        <v>3.7</v>
      </c>
      <c r="Q194" s="27" t="n">
        <v>1</v>
      </c>
      <c r="R194" s="27" t="n">
        <v>1</v>
      </c>
      <c r="S194" s="27" t="n">
        <v>1</v>
      </c>
      <c r="T194" s="27" t="n">
        <v>1</v>
      </c>
      <c r="U194" s="30"/>
      <c r="V194" s="30"/>
      <c r="W194" s="30"/>
      <c r="X194" s="11" t="n">
        <v>0.13</v>
      </c>
      <c r="Y194" s="30"/>
      <c r="Z194" s="27" t="s">
        <v>2939</v>
      </c>
      <c r="AA194" s="9" t="s">
        <v>3894</v>
      </c>
      <c r="AB194" s="27" t="s">
        <v>86</v>
      </c>
      <c r="AC194" s="23" t="s">
        <v>664</v>
      </c>
    </row>
    <row r="195" customFormat="false" ht="19.5" hidden="false" customHeight="true" outlineLevel="0" collapsed="false">
      <c r="A195" s="25" t="s">
        <v>4024</v>
      </c>
      <c r="B195" s="25" t="s">
        <v>552</v>
      </c>
      <c r="C195" s="12" t="s">
        <v>553</v>
      </c>
      <c r="D195" s="12" t="s">
        <v>554</v>
      </c>
      <c r="E195" s="12" t="s">
        <v>219</v>
      </c>
      <c r="F195" s="25" t="s">
        <v>1261</v>
      </c>
      <c r="G195" s="25" t="n">
        <v>2026</v>
      </c>
      <c r="H195" s="25" t="n">
        <v>5</v>
      </c>
      <c r="I195" s="25" t="s">
        <v>3879</v>
      </c>
      <c r="J195" s="18" t="n">
        <v>1</v>
      </c>
      <c r="K195" s="14" t="n">
        <v>3.7</v>
      </c>
      <c r="L195" s="29"/>
      <c r="M195" s="14" t="n">
        <v>3.6</v>
      </c>
      <c r="N195" s="14" t="n">
        <v>7.9</v>
      </c>
      <c r="O195" s="32" t="n">
        <v>0.1</v>
      </c>
      <c r="P195" s="14" t="n">
        <v>3.6</v>
      </c>
      <c r="Q195" s="25" t="n">
        <v>1</v>
      </c>
      <c r="R195" s="25" t="n">
        <v>1</v>
      </c>
      <c r="S195" s="25" t="n">
        <v>1</v>
      </c>
      <c r="T195" s="25" t="n">
        <v>1</v>
      </c>
      <c r="U195" s="29"/>
      <c r="V195" s="29"/>
      <c r="W195" s="29"/>
      <c r="X195" s="14" t="n">
        <v>0.145</v>
      </c>
      <c r="Y195" s="29"/>
      <c r="Z195" s="25" t="s">
        <v>2939</v>
      </c>
      <c r="AA195" s="12" t="s">
        <v>3894</v>
      </c>
      <c r="AB195" s="25" t="s">
        <v>86</v>
      </c>
      <c r="AC195" s="22" t="s">
        <v>681</v>
      </c>
    </row>
    <row r="196" customFormat="false" ht="19.5" hidden="false" customHeight="true" outlineLevel="0" collapsed="false">
      <c r="A196" s="27" t="s">
        <v>4025</v>
      </c>
      <c r="B196" s="27" t="s">
        <v>552</v>
      </c>
      <c r="C196" s="9" t="s">
        <v>553</v>
      </c>
      <c r="D196" s="9" t="s">
        <v>554</v>
      </c>
      <c r="E196" s="9" t="s">
        <v>219</v>
      </c>
      <c r="F196" s="27" t="s">
        <v>1276</v>
      </c>
      <c r="G196" s="27" t="n">
        <v>2026</v>
      </c>
      <c r="H196" s="27" t="n">
        <v>5</v>
      </c>
      <c r="I196" s="27" t="s">
        <v>3879</v>
      </c>
      <c r="J196" s="20" t="n">
        <v>1</v>
      </c>
      <c r="K196" s="11" t="n">
        <v>3.6</v>
      </c>
      <c r="L196" s="30"/>
      <c r="M196" s="11" t="n">
        <v>3.7</v>
      </c>
      <c r="N196" s="11" t="n">
        <v>3.6</v>
      </c>
      <c r="O196" s="31" t="n">
        <v>-0.1</v>
      </c>
      <c r="P196" s="11" t="n">
        <v>3.5</v>
      </c>
      <c r="Q196" s="27" t="n">
        <v>1</v>
      </c>
      <c r="R196" s="27" t="n">
        <v>1</v>
      </c>
      <c r="S196" s="27" t="n">
        <v>1</v>
      </c>
      <c r="T196" s="27" t="n">
        <v>1</v>
      </c>
      <c r="U196" s="30"/>
      <c r="V196" s="30"/>
      <c r="W196" s="30"/>
      <c r="X196" s="11" t="n">
        <v>0.16</v>
      </c>
      <c r="Y196" s="30"/>
      <c r="Z196" s="27" t="s">
        <v>2939</v>
      </c>
      <c r="AA196" s="9" t="s">
        <v>3894</v>
      </c>
      <c r="AB196" s="27" t="s">
        <v>86</v>
      </c>
      <c r="AC196" s="23" t="s">
        <v>697</v>
      </c>
    </row>
    <row r="197" customFormat="false" ht="19.5" hidden="false" customHeight="true" outlineLevel="0" collapsed="false">
      <c r="A197" s="25" t="s">
        <v>4026</v>
      </c>
      <c r="B197" s="25" t="s">
        <v>552</v>
      </c>
      <c r="C197" s="12" t="s">
        <v>553</v>
      </c>
      <c r="D197" s="12" t="s">
        <v>554</v>
      </c>
      <c r="E197" s="12" t="s">
        <v>219</v>
      </c>
      <c r="F197" s="25" t="s">
        <v>1291</v>
      </c>
      <c r="G197" s="25" t="n">
        <v>2026</v>
      </c>
      <c r="H197" s="25" t="n">
        <v>5</v>
      </c>
      <c r="I197" s="25" t="s">
        <v>3879</v>
      </c>
      <c r="J197" s="18" t="n">
        <v>1</v>
      </c>
      <c r="K197" s="14" t="n">
        <v>3.5</v>
      </c>
      <c r="L197" s="29"/>
      <c r="M197" s="14" t="n">
        <v>3.6</v>
      </c>
      <c r="N197" s="14" t="n">
        <v>3.7</v>
      </c>
      <c r="O197" s="32" t="n">
        <v>-0.1</v>
      </c>
      <c r="P197" s="14" t="n">
        <v>3.2</v>
      </c>
      <c r="Q197" s="25" t="n">
        <v>1</v>
      </c>
      <c r="R197" s="25" t="n">
        <v>1</v>
      </c>
      <c r="S197" s="25" t="n">
        <v>1</v>
      </c>
      <c r="T197" s="25" t="n">
        <v>1</v>
      </c>
      <c r="U197" s="29"/>
      <c r="V197" s="29"/>
      <c r="W197" s="29"/>
      <c r="X197" s="14" t="n">
        <v>0.18</v>
      </c>
      <c r="Y197" s="29"/>
      <c r="Z197" s="25" t="s">
        <v>2939</v>
      </c>
      <c r="AA197" s="12" t="s">
        <v>3894</v>
      </c>
      <c r="AB197" s="25" t="s">
        <v>86</v>
      </c>
      <c r="AC197" s="22" t="s">
        <v>713</v>
      </c>
    </row>
    <row r="198" customFormat="false" ht="19.5" hidden="false" customHeight="true" outlineLevel="0" collapsed="false">
      <c r="A198" s="27" t="s">
        <v>4027</v>
      </c>
      <c r="B198" s="27" t="s">
        <v>552</v>
      </c>
      <c r="C198" s="9" t="s">
        <v>553</v>
      </c>
      <c r="D198" s="9" t="s">
        <v>554</v>
      </c>
      <c r="E198" s="9" t="s">
        <v>219</v>
      </c>
      <c r="F198" s="27" t="s">
        <v>1306</v>
      </c>
      <c r="G198" s="27" t="n">
        <v>2026</v>
      </c>
      <c r="H198" s="27" t="n">
        <v>5</v>
      </c>
      <c r="I198" s="27" t="s">
        <v>3879</v>
      </c>
      <c r="J198" s="20" t="n">
        <v>1</v>
      </c>
      <c r="K198" s="11" t="n">
        <v>3.2</v>
      </c>
      <c r="L198" s="30"/>
      <c r="M198" s="11" t="n">
        <v>3.5</v>
      </c>
      <c r="N198" s="11" t="n">
        <v>3.6</v>
      </c>
      <c r="O198" s="31" t="n">
        <v>-0.3</v>
      </c>
      <c r="P198" s="30"/>
      <c r="Q198" s="27" t="n">
        <v>1</v>
      </c>
      <c r="R198" s="27" t="n">
        <v>1</v>
      </c>
      <c r="S198" s="27" t="n">
        <v>1</v>
      </c>
      <c r="T198" s="27" t="n">
        <v>1</v>
      </c>
      <c r="U198" s="30"/>
      <c r="V198" s="30"/>
      <c r="W198" s="30"/>
      <c r="X198" s="11" t="n">
        <v>0.205</v>
      </c>
      <c r="Y198" s="30"/>
      <c r="Z198" s="27" t="s">
        <v>2939</v>
      </c>
      <c r="AA198" s="9" t="s">
        <v>3894</v>
      </c>
      <c r="AB198" s="27" t="s">
        <v>86</v>
      </c>
      <c r="AC198" s="23" t="s">
        <v>729</v>
      </c>
    </row>
    <row r="199" customFormat="false" ht="19.5" hidden="false" customHeight="true" outlineLevel="0" collapsed="false">
      <c r="A199" s="25" t="s">
        <v>4028</v>
      </c>
      <c r="B199" s="25" t="s">
        <v>411</v>
      </c>
      <c r="C199" s="12" t="s">
        <v>412</v>
      </c>
      <c r="D199" s="12" t="s">
        <v>413</v>
      </c>
      <c r="E199" s="12" t="s">
        <v>219</v>
      </c>
      <c r="F199" s="25" t="s">
        <v>625</v>
      </c>
      <c r="G199" s="25" t="n">
        <v>2016</v>
      </c>
      <c r="H199" s="25" t="n">
        <v>2</v>
      </c>
      <c r="I199" s="25" t="s">
        <v>3879</v>
      </c>
      <c r="J199" s="18" t="n">
        <v>1</v>
      </c>
      <c r="K199" s="14" t="n">
        <v>3.76</v>
      </c>
      <c r="L199" s="29"/>
      <c r="M199" s="29"/>
      <c r="N199" s="29"/>
      <c r="O199" s="29"/>
      <c r="P199" s="29"/>
      <c r="Q199" s="25" t="n">
        <v>1</v>
      </c>
      <c r="R199" s="25" t="n">
        <v>1</v>
      </c>
      <c r="S199" s="25" t="n">
        <v>1</v>
      </c>
      <c r="T199" s="25" t="n">
        <v>1</v>
      </c>
      <c r="U199" s="29"/>
      <c r="V199" s="29"/>
      <c r="W199" s="29"/>
      <c r="X199" s="29"/>
      <c r="Y199" s="29"/>
      <c r="Z199" s="25" t="s">
        <v>3836</v>
      </c>
      <c r="AA199" s="12" t="s">
        <v>3880</v>
      </c>
      <c r="AB199" s="25" t="s">
        <v>86</v>
      </c>
      <c r="AC199" s="22" t="s">
        <v>197</v>
      </c>
    </row>
    <row r="200" customFormat="false" ht="19.5" hidden="false" customHeight="true" outlineLevel="0" collapsed="false">
      <c r="A200" s="27" t="s">
        <v>4029</v>
      </c>
      <c r="B200" s="27" t="s">
        <v>411</v>
      </c>
      <c r="C200" s="9" t="s">
        <v>412</v>
      </c>
      <c r="D200" s="9" t="s">
        <v>413</v>
      </c>
      <c r="E200" s="9" t="s">
        <v>219</v>
      </c>
      <c r="F200" s="27" t="s">
        <v>663</v>
      </c>
      <c r="G200" s="27" t="n">
        <v>2016</v>
      </c>
      <c r="H200" s="27" t="n">
        <v>5</v>
      </c>
      <c r="I200" s="27" t="s">
        <v>3879</v>
      </c>
      <c r="J200" s="20" t="n">
        <v>1</v>
      </c>
      <c r="K200" s="11" t="n">
        <v>5.82</v>
      </c>
      <c r="L200" s="30"/>
      <c r="M200" s="30"/>
      <c r="N200" s="30"/>
      <c r="O200" s="30"/>
      <c r="P200" s="11" t="n">
        <v>6.3</v>
      </c>
      <c r="Q200" s="27" t="n">
        <v>1</v>
      </c>
      <c r="R200" s="27" t="n">
        <v>1</v>
      </c>
      <c r="S200" s="27" t="n">
        <v>1</v>
      </c>
      <c r="T200" s="27" t="n">
        <v>1</v>
      </c>
      <c r="U200" s="30"/>
      <c r="V200" s="30"/>
      <c r="W200" s="30"/>
      <c r="X200" s="30"/>
      <c r="Y200" s="30"/>
      <c r="Z200" s="27" t="s">
        <v>3836</v>
      </c>
      <c r="AA200" s="9" t="s">
        <v>3880</v>
      </c>
      <c r="AB200" s="27" t="s">
        <v>86</v>
      </c>
      <c r="AC200" s="23" t="s">
        <v>664</v>
      </c>
    </row>
    <row r="201" customFormat="false" ht="19.5" hidden="false" customHeight="true" outlineLevel="0" collapsed="false">
      <c r="A201" s="25" t="s">
        <v>4030</v>
      </c>
      <c r="B201" s="25" t="s">
        <v>411</v>
      </c>
      <c r="C201" s="12" t="s">
        <v>412</v>
      </c>
      <c r="D201" s="12" t="s">
        <v>413</v>
      </c>
      <c r="E201" s="12" t="s">
        <v>219</v>
      </c>
      <c r="F201" s="25" t="s">
        <v>680</v>
      </c>
      <c r="G201" s="25" t="n">
        <v>2016</v>
      </c>
      <c r="H201" s="25" t="n">
        <v>5</v>
      </c>
      <c r="I201" s="25" t="s">
        <v>3879</v>
      </c>
      <c r="J201" s="18" t="n">
        <v>1</v>
      </c>
      <c r="K201" s="14" t="n">
        <v>6.3</v>
      </c>
      <c r="L201" s="29"/>
      <c r="M201" s="14" t="n">
        <v>5.82</v>
      </c>
      <c r="N201" s="29"/>
      <c r="O201" s="32" t="n">
        <v>0.48</v>
      </c>
      <c r="P201" s="14" t="n">
        <v>6.5</v>
      </c>
      <c r="Q201" s="25" t="n">
        <v>1</v>
      </c>
      <c r="R201" s="25" t="n">
        <v>1</v>
      </c>
      <c r="S201" s="25" t="n">
        <v>1</v>
      </c>
      <c r="T201" s="25" t="n">
        <v>1</v>
      </c>
      <c r="U201" s="29"/>
      <c r="V201" s="29"/>
      <c r="W201" s="29"/>
      <c r="X201" s="29"/>
      <c r="Y201" s="29"/>
      <c r="Z201" s="25" t="s">
        <v>3836</v>
      </c>
      <c r="AA201" s="12" t="s">
        <v>3880</v>
      </c>
      <c r="AB201" s="25" t="s">
        <v>86</v>
      </c>
      <c r="AC201" s="22" t="s">
        <v>681</v>
      </c>
    </row>
    <row r="202" customFormat="false" ht="19.5" hidden="false" customHeight="true" outlineLevel="0" collapsed="false">
      <c r="A202" s="27" t="s">
        <v>4031</v>
      </c>
      <c r="B202" s="27" t="s">
        <v>411</v>
      </c>
      <c r="C202" s="9" t="s">
        <v>412</v>
      </c>
      <c r="D202" s="9" t="s">
        <v>413</v>
      </c>
      <c r="E202" s="9" t="s">
        <v>219</v>
      </c>
      <c r="F202" s="27" t="s">
        <v>696</v>
      </c>
      <c r="G202" s="27" t="n">
        <v>2016</v>
      </c>
      <c r="H202" s="27" t="n">
        <v>5</v>
      </c>
      <c r="I202" s="27" t="s">
        <v>3879</v>
      </c>
      <c r="J202" s="20" t="n">
        <v>1</v>
      </c>
      <c r="K202" s="11" t="n">
        <v>6.5</v>
      </c>
      <c r="L202" s="30"/>
      <c r="M202" s="11" t="n">
        <v>6.3</v>
      </c>
      <c r="N202" s="11" t="n">
        <v>5.82</v>
      </c>
      <c r="O202" s="31" t="n">
        <v>0.2</v>
      </c>
      <c r="P202" s="11" t="n">
        <v>6.6</v>
      </c>
      <c r="Q202" s="27" t="n">
        <v>1</v>
      </c>
      <c r="R202" s="27" t="n">
        <v>1</v>
      </c>
      <c r="S202" s="27" t="n">
        <v>1</v>
      </c>
      <c r="T202" s="27" t="n">
        <v>1</v>
      </c>
      <c r="U202" s="30"/>
      <c r="V202" s="30"/>
      <c r="W202" s="30"/>
      <c r="X202" s="30"/>
      <c r="Y202" s="30"/>
      <c r="Z202" s="27" t="s">
        <v>3836</v>
      </c>
      <c r="AA202" s="9" t="s">
        <v>3880</v>
      </c>
      <c r="AB202" s="27" t="s">
        <v>86</v>
      </c>
      <c r="AC202" s="23" t="s">
        <v>697</v>
      </c>
    </row>
    <row r="203" customFormat="false" ht="19.5" hidden="false" customHeight="true" outlineLevel="0" collapsed="false">
      <c r="A203" s="25" t="s">
        <v>4032</v>
      </c>
      <c r="B203" s="25" t="s">
        <v>411</v>
      </c>
      <c r="C203" s="12" t="s">
        <v>412</v>
      </c>
      <c r="D203" s="12" t="s">
        <v>413</v>
      </c>
      <c r="E203" s="12" t="s">
        <v>219</v>
      </c>
      <c r="F203" s="25" t="s">
        <v>712</v>
      </c>
      <c r="G203" s="25" t="n">
        <v>2016</v>
      </c>
      <c r="H203" s="25" t="n">
        <v>5</v>
      </c>
      <c r="I203" s="25" t="s">
        <v>3879</v>
      </c>
      <c r="J203" s="18" t="n">
        <v>1</v>
      </c>
      <c r="K203" s="14" t="n">
        <v>6.6</v>
      </c>
      <c r="L203" s="29"/>
      <c r="M203" s="14" t="n">
        <v>6.5</v>
      </c>
      <c r="N203" s="14" t="n">
        <v>6.3</v>
      </c>
      <c r="O203" s="32" t="n">
        <v>0.1</v>
      </c>
      <c r="P203" s="14" t="n">
        <v>6.7</v>
      </c>
      <c r="Q203" s="25" t="n">
        <v>1</v>
      </c>
      <c r="R203" s="25" t="n">
        <v>1</v>
      </c>
      <c r="S203" s="25" t="n">
        <v>1</v>
      </c>
      <c r="T203" s="25" t="n">
        <v>1</v>
      </c>
      <c r="U203" s="29"/>
      <c r="V203" s="29"/>
      <c r="W203" s="29"/>
      <c r="X203" s="29"/>
      <c r="Y203" s="29"/>
      <c r="Z203" s="25" t="s">
        <v>3836</v>
      </c>
      <c r="AA203" s="12" t="s">
        <v>3880</v>
      </c>
      <c r="AB203" s="25" t="s">
        <v>86</v>
      </c>
      <c r="AC203" s="22" t="s">
        <v>713</v>
      </c>
    </row>
    <row r="204" customFormat="false" ht="19.5" hidden="false" customHeight="true" outlineLevel="0" collapsed="false">
      <c r="A204" s="27" t="s">
        <v>4033</v>
      </c>
      <c r="B204" s="27" t="s">
        <v>411</v>
      </c>
      <c r="C204" s="9" t="s">
        <v>412</v>
      </c>
      <c r="D204" s="9" t="s">
        <v>413</v>
      </c>
      <c r="E204" s="9" t="s">
        <v>219</v>
      </c>
      <c r="F204" s="27" t="s">
        <v>728</v>
      </c>
      <c r="G204" s="27" t="n">
        <v>2016</v>
      </c>
      <c r="H204" s="27" t="n">
        <v>5</v>
      </c>
      <c r="I204" s="27" t="s">
        <v>3879</v>
      </c>
      <c r="J204" s="20" t="n">
        <v>1</v>
      </c>
      <c r="K204" s="11" t="n">
        <v>6.7</v>
      </c>
      <c r="L204" s="30"/>
      <c r="M204" s="11" t="n">
        <v>6.6</v>
      </c>
      <c r="N204" s="11" t="n">
        <v>6.5</v>
      </c>
      <c r="O204" s="31" t="n">
        <v>0.1</v>
      </c>
      <c r="P204" s="30"/>
      <c r="Q204" s="27" t="n">
        <v>1</v>
      </c>
      <c r="R204" s="27" t="n">
        <v>1</v>
      </c>
      <c r="S204" s="27" t="n">
        <v>1</v>
      </c>
      <c r="T204" s="27" t="n">
        <v>1</v>
      </c>
      <c r="U204" s="30"/>
      <c r="V204" s="30"/>
      <c r="W204" s="30"/>
      <c r="X204" s="30"/>
      <c r="Y204" s="30"/>
      <c r="Z204" s="27" t="s">
        <v>3836</v>
      </c>
      <c r="AA204" s="9" t="s">
        <v>3880</v>
      </c>
      <c r="AB204" s="27" t="s">
        <v>86</v>
      </c>
      <c r="AC204" s="23" t="s">
        <v>729</v>
      </c>
    </row>
    <row r="205" customFormat="false" ht="19.5" hidden="false" customHeight="true" outlineLevel="0" collapsed="false">
      <c r="A205" s="25" t="s">
        <v>4034</v>
      </c>
      <c r="B205" s="25" t="s">
        <v>411</v>
      </c>
      <c r="C205" s="12" t="s">
        <v>412</v>
      </c>
      <c r="D205" s="12" t="s">
        <v>413</v>
      </c>
      <c r="E205" s="12" t="s">
        <v>219</v>
      </c>
      <c r="F205" s="25" t="s">
        <v>744</v>
      </c>
      <c r="G205" s="25" t="n">
        <v>2020</v>
      </c>
      <c r="H205" s="25" t="n">
        <v>2</v>
      </c>
      <c r="I205" s="25" t="s">
        <v>3879</v>
      </c>
      <c r="J205" s="18" t="n">
        <v>1</v>
      </c>
      <c r="K205" s="14" t="n">
        <v>7</v>
      </c>
      <c r="L205" s="29"/>
      <c r="M205" s="29"/>
      <c r="N205" s="29"/>
      <c r="O205" s="29"/>
      <c r="P205" s="29"/>
      <c r="Q205" s="25" t="n">
        <v>1</v>
      </c>
      <c r="R205" s="25" t="n">
        <v>1</v>
      </c>
      <c r="S205" s="25" t="n">
        <v>1</v>
      </c>
      <c r="T205" s="25" t="n">
        <v>1</v>
      </c>
      <c r="U205" s="29"/>
      <c r="V205" s="29"/>
      <c r="W205" s="29"/>
      <c r="X205" s="29"/>
      <c r="Y205" s="29"/>
      <c r="Z205" s="25" t="s">
        <v>3836</v>
      </c>
      <c r="AA205" s="12" t="s">
        <v>3880</v>
      </c>
      <c r="AB205" s="25" t="s">
        <v>86</v>
      </c>
      <c r="AC205" s="22" t="s">
        <v>197</v>
      </c>
    </row>
    <row r="206" customFormat="false" ht="19.5" hidden="false" customHeight="true" outlineLevel="0" collapsed="false">
      <c r="A206" s="27" t="s">
        <v>4035</v>
      </c>
      <c r="B206" s="27" t="s">
        <v>411</v>
      </c>
      <c r="C206" s="9" t="s">
        <v>412</v>
      </c>
      <c r="D206" s="9" t="s">
        <v>413</v>
      </c>
      <c r="E206" s="9" t="s">
        <v>219</v>
      </c>
      <c r="F206" s="27" t="s">
        <v>764</v>
      </c>
      <c r="G206" s="27" t="n">
        <v>2020</v>
      </c>
      <c r="H206" s="27" t="n">
        <v>5</v>
      </c>
      <c r="I206" s="27" t="s">
        <v>3879</v>
      </c>
      <c r="J206" s="20" t="n">
        <v>1</v>
      </c>
      <c r="K206" s="11" t="n">
        <v>14</v>
      </c>
      <c r="L206" s="30"/>
      <c r="M206" s="30"/>
      <c r="N206" s="30"/>
      <c r="O206" s="30"/>
      <c r="P206" s="11" t="n">
        <v>13.8</v>
      </c>
      <c r="Q206" s="27" t="n">
        <v>1</v>
      </c>
      <c r="R206" s="27" t="n">
        <v>1</v>
      </c>
      <c r="S206" s="27" t="n">
        <v>1</v>
      </c>
      <c r="T206" s="27" t="n">
        <v>1</v>
      </c>
      <c r="U206" s="30"/>
      <c r="V206" s="30"/>
      <c r="W206" s="30"/>
      <c r="X206" s="30"/>
      <c r="Y206" s="30"/>
      <c r="Z206" s="27" t="s">
        <v>3836</v>
      </c>
      <c r="AA206" s="9" t="s">
        <v>3880</v>
      </c>
      <c r="AB206" s="27" t="s">
        <v>86</v>
      </c>
      <c r="AC206" s="23" t="s">
        <v>664</v>
      </c>
    </row>
    <row r="207" customFormat="false" ht="19.5" hidden="false" customHeight="true" outlineLevel="0" collapsed="false">
      <c r="A207" s="25" t="s">
        <v>4036</v>
      </c>
      <c r="B207" s="25" t="s">
        <v>411</v>
      </c>
      <c r="C207" s="12" t="s">
        <v>412</v>
      </c>
      <c r="D207" s="12" t="s">
        <v>413</v>
      </c>
      <c r="E207" s="12" t="s">
        <v>219</v>
      </c>
      <c r="F207" s="25" t="s">
        <v>777</v>
      </c>
      <c r="G207" s="25" t="n">
        <v>2020</v>
      </c>
      <c r="H207" s="25" t="n">
        <v>5</v>
      </c>
      <c r="I207" s="25" t="s">
        <v>3879</v>
      </c>
      <c r="J207" s="18" t="n">
        <v>1</v>
      </c>
      <c r="K207" s="14" t="n">
        <v>13.8</v>
      </c>
      <c r="L207" s="29"/>
      <c r="M207" s="14" t="n">
        <v>14</v>
      </c>
      <c r="N207" s="29"/>
      <c r="O207" s="32" t="n">
        <v>-0.2</v>
      </c>
      <c r="P207" s="14" t="n">
        <v>12.5</v>
      </c>
      <c r="Q207" s="25" t="n">
        <v>1</v>
      </c>
      <c r="R207" s="25" t="n">
        <v>1</v>
      </c>
      <c r="S207" s="25" t="n">
        <v>1</v>
      </c>
      <c r="T207" s="25" t="n">
        <v>1</v>
      </c>
      <c r="U207" s="29"/>
      <c r="V207" s="29"/>
      <c r="W207" s="29"/>
      <c r="X207" s="29"/>
      <c r="Y207" s="29"/>
      <c r="Z207" s="25" t="s">
        <v>3836</v>
      </c>
      <c r="AA207" s="12" t="s">
        <v>3880</v>
      </c>
      <c r="AB207" s="25" t="s">
        <v>86</v>
      </c>
      <c r="AC207" s="22" t="s">
        <v>681</v>
      </c>
    </row>
    <row r="208" customFormat="false" ht="19.5" hidden="false" customHeight="true" outlineLevel="0" collapsed="false">
      <c r="A208" s="27" t="s">
        <v>4037</v>
      </c>
      <c r="B208" s="27" t="s">
        <v>411</v>
      </c>
      <c r="C208" s="9" t="s">
        <v>412</v>
      </c>
      <c r="D208" s="9" t="s">
        <v>413</v>
      </c>
      <c r="E208" s="9" t="s">
        <v>219</v>
      </c>
      <c r="F208" s="27" t="s">
        <v>790</v>
      </c>
      <c r="G208" s="27" t="n">
        <v>2020</v>
      </c>
      <c r="H208" s="27" t="n">
        <v>5</v>
      </c>
      <c r="I208" s="27" t="s">
        <v>3879</v>
      </c>
      <c r="J208" s="20" t="n">
        <v>1</v>
      </c>
      <c r="K208" s="11" t="n">
        <v>12.5</v>
      </c>
      <c r="L208" s="30"/>
      <c r="M208" s="11" t="n">
        <v>13.8</v>
      </c>
      <c r="N208" s="11" t="n">
        <v>14</v>
      </c>
      <c r="O208" s="31" t="n">
        <v>-1.3</v>
      </c>
      <c r="P208" s="11" t="n">
        <v>12</v>
      </c>
      <c r="Q208" s="27" t="n">
        <v>1</v>
      </c>
      <c r="R208" s="27" t="n">
        <v>1</v>
      </c>
      <c r="S208" s="27" t="n">
        <v>1</v>
      </c>
      <c r="T208" s="27" t="n">
        <v>1</v>
      </c>
      <c r="U208" s="30"/>
      <c r="V208" s="30"/>
      <c r="W208" s="30"/>
      <c r="X208" s="30"/>
      <c r="Y208" s="30"/>
      <c r="Z208" s="27" t="s">
        <v>3836</v>
      </c>
      <c r="AA208" s="9" t="s">
        <v>3880</v>
      </c>
      <c r="AB208" s="27" t="s">
        <v>86</v>
      </c>
      <c r="AC208" s="23" t="s">
        <v>697</v>
      </c>
    </row>
    <row r="209" customFormat="false" ht="19.5" hidden="false" customHeight="true" outlineLevel="0" collapsed="false">
      <c r="A209" s="25" t="s">
        <v>4038</v>
      </c>
      <c r="B209" s="25" t="s">
        <v>411</v>
      </c>
      <c r="C209" s="12" t="s">
        <v>412</v>
      </c>
      <c r="D209" s="12" t="s">
        <v>413</v>
      </c>
      <c r="E209" s="12" t="s">
        <v>219</v>
      </c>
      <c r="F209" s="25" t="s">
        <v>803</v>
      </c>
      <c r="G209" s="25" t="n">
        <v>2020</v>
      </c>
      <c r="H209" s="25" t="n">
        <v>5</v>
      </c>
      <c r="I209" s="25" t="s">
        <v>3879</v>
      </c>
      <c r="J209" s="18" t="n">
        <v>1</v>
      </c>
      <c r="K209" s="14" t="n">
        <v>12</v>
      </c>
      <c r="L209" s="29"/>
      <c r="M209" s="14" t="n">
        <v>12.5</v>
      </c>
      <c r="N209" s="14" t="n">
        <v>13.8</v>
      </c>
      <c r="O209" s="32" t="n">
        <v>-0.5</v>
      </c>
      <c r="P209" s="14" t="n">
        <v>11.4</v>
      </c>
      <c r="Q209" s="25" t="n">
        <v>1</v>
      </c>
      <c r="R209" s="25" t="n">
        <v>1</v>
      </c>
      <c r="S209" s="25" t="n">
        <v>1</v>
      </c>
      <c r="T209" s="25" t="n">
        <v>1</v>
      </c>
      <c r="U209" s="29"/>
      <c r="V209" s="29"/>
      <c r="W209" s="29"/>
      <c r="X209" s="29"/>
      <c r="Y209" s="29"/>
      <c r="Z209" s="25" t="s">
        <v>3836</v>
      </c>
      <c r="AA209" s="12" t="s">
        <v>3880</v>
      </c>
      <c r="AB209" s="25" t="s">
        <v>86</v>
      </c>
      <c r="AC209" s="22" t="s">
        <v>713</v>
      </c>
    </row>
    <row r="210" customFormat="false" ht="19.5" hidden="false" customHeight="true" outlineLevel="0" collapsed="false">
      <c r="A210" s="27" t="s">
        <v>4039</v>
      </c>
      <c r="B210" s="27" t="s">
        <v>411</v>
      </c>
      <c r="C210" s="9" t="s">
        <v>412</v>
      </c>
      <c r="D210" s="9" t="s">
        <v>413</v>
      </c>
      <c r="E210" s="9" t="s">
        <v>219</v>
      </c>
      <c r="F210" s="27" t="s">
        <v>816</v>
      </c>
      <c r="G210" s="27" t="n">
        <v>2020</v>
      </c>
      <c r="H210" s="27" t="n">
        <v>5</v>
      </c>
      <c r="I210" s="27" t="s">
        <v>3879</v>
      </c>
      <c r="J210" s="20" t="n">
        <v>1</v>
      </c>
      <c r="K210" s="11" t="n">
        <v>11.4</v>
      </c>
      <c r="L210" s="30"/>
      <c r="M210" s="11" t="n">
        <v>12</v>
      </c>
      <c r="N210" s="11" t="n">
        <v>12.5</v>
      </c>
      <c r="O210" s="31" t="n">
        <v>-0.6</v>
      </c>
      <c r="P210" s="30"/>
      <c r="Q210" s="27" t="n">
        <v>1</v>
      </c>
      <c r="R210" s="27" t="n">
        <v>1</v>
      </c>
      <c r="S210" s="27" t="n">
        <v>1</v>
      </c>
      <c r="T210" s="27" t="n">
        <v>1</v>
      </c>
      <c r="U210" s="30"/>
      <c r="V210" s="30"/>
      <c r="W210" s="30"/>
      <c r="X210" s="30"/>
      <c r="Y210" s="30"/>
      <c r="Z210" s="27" t="s">
        <v>3836</v>
      </c>
      <c r="AA210" s="9" t="s">
        <v>3880</v>
      </c>
      <c r="AB210" s="27" t="s">
        <v>86</v>
      </c>
      <c r="AC210" s="23" t="s">
        <v>729</v>
      </c>
    </row>
    <row r="211" customFormat="false" ht="19.5" hidden="false" customHeight="true" outlineLevel="0" collapsed="false">
      <c r="A211" s="25" t="s">
        <v>4040</v>
      </c>
      <c r="B211" s="25" t="s">
        <v>411</v>
      </c>
      <c r="C211" s="12" t="s">
        <v>412</v>
      </c>
      <c r="D211" s="12" t="s">
        <v>413</v>
      </c>
      <c r="E211" s="12" t="s">
        <v>219</v>
      </c>
      <c r="F211" s="25" t="s">
        <v>975</v>
      </c>
      <c r="G211" s="25" t="n">
        <v>2025</v>
      </c>
      <c r="H211" s="25" t="n">
        <v>2</v>
      </c>
      <c r="I211" s="25" t="s">
        <v>3879</v>
      </c>
      <c r="J211" s="18" t="n">
        <v>1</v>
      </c>
      <c r="K211" s="14" t="n">
        <v>2.45</v>
      </c>
      <c r="L211" s="29"/>
      <c r="M211" s="29"/>
      <c r="N211" s="29"/>
      <c r="O211" s="29"/>
      <c r="P211" s="29"/>
      <c r="Q211" s="25" t="n">
        <v>1</v>
      </c>
      <c r="R211" s="25" t="n">
        <v>1</v>
      </c>
      <c r="S211" s="25" t="n">
        <v>1</v>
      </c>
      <c r="T211" s="25" t="n">
        <v>1</v>
      </c>
      <c r="U211" s="29"/>
      <c r="V211" s="29"/>
      <c r="W211" s="29"/>
      <c r="X211" s="29"/>
      <c r="Y211" s="29"/>
      <c r="Z211" s="25" t="s">
        <v>3836</v>
      </c>
      <c r="AA211" s="12" t="s">
        <v>3887</v>
      </c>
      <c r="AB211" s="25" t="s">
        <v>86</v>
      </c>
      <c r="AC211" s="22" t="s">
        <v>197</v>
      </c>
    </row>
    <row r="212" customFormat="false" ht="19.5" hidden="false" customHeight="true" outlineLevel="0" collapsed="false">
      <c r="A212" s="27" t="s">
        <v>4041</v>
      </c>
      <c r="B212" s="27" t="s">
        <v>411</v>
      </c>
      <c r="C212" s="9" t="s">
        <v>412</v>
      </c>
      <c r="D212" s="9" t="s">
        <v>413</v>
      </c>
      <c r="E212" s="9" t="s">
        <v>219</v>
      </c>
      <c r="F212" s="27" t="s">
        <v>1102</v>
      </c>
      <c r="G212" s="27" t="n">
        <v>2025</v>
      </c>
      <c r="H212" s="27" t="n">
        <v>5</v>
      </c>
      <c r="I212" s="27" t="s">
        <v>3879</v>
      </c>
      <c r="J212" s="20" t="n">
        <v>1</v>
      </c>
      <c r="K212" s="11" t="n">
        <v>3.94</v>
      </c>
      <c r="L212" s="30"/>
      <c r="M212" s="30"/>
      <c r="N212" s="30"/>
      <c r="O212" s="30"/>
      <c r="P212" s="11" t="n">
        <v>2.7</v>
      </c>
      <c r="Q212" s="27" t="n">
        <v>1</v>
      </c>
      <c r="R212" s="27" t="n">
        <v>1</v>
      </c>
      <c r="S212" s="27" t="n">
        <v>1</v>
      </c>
      <c r="T212" s="27" t="n">
        <v>1</v>
      </c>
      <c r="U212" s="30"/>
      <c r="V212" s="30"/>
      <c r="W212" s="30"/>
      <c r="X212" s="30"/>
      <c r="Y212" s="30"/>
      <c r="Z212" s="27" t="s">
        <v>3836</v>
      </c>
      <c r="AA212" s="9" t="s">
        <v>3887</v>
      </c>
      <c r="AB212" s="27" t="s">
        <v>86</v>
      </c>
      <c r="AC212" s="23" t="s">
        <v>664</v>
      </c>
    </row>
    <row r="213" customFormat="false" ht="19.5" hidden="false" customHeight="true" outlineLevel="0" collapsed="false">
      <c r="A213" s="25" t="s">
        <v>4042</v>
      </c>
      <c r="B213" s="25" t="s">
        <v>411</v>
      </c>
      <c r="C213" s="12" t="s">
        <v>412</v>
      </c>
      <c r="D213" s="12" t="s">
        <v>413</v>
      </c>
      <c r="E213" s="12" t="s">
        <v>219</v>
      </c>
      <c r="F213" s="25" t="s">
        <v>1117</v>
      </c>
      <c r="G213" s="25" t="n">
        <v>2025</v>
      </c>
      <c r="H213" s="25" t="n">
        <v>5</v>
      </c>
      <c r="I213" s="25" t="s">
        <v>3879</v>
      </c>
      <c r="J213" s="18" t="n">
        <v>1</v>
      </c>
      <c r="K213" s="14" t="n">
        <v>2.7</v>
      </c>
      <c r="L213" s="29"/>
      <c r="M213" s="14" t="n">
        <v>3.94</v>
      </c>
      <c r="N213" s="29"/>
      <c r="O213" s="32" t="n">
        <v>-1.24</v>
      </c>
      <c r="P213" s="14" t="n">
        <v>2.45</v>
      </c>
      <c r="Q213" s="25" t="n">
        <v>1</v>
      </c>
      <c r="R213" s="25" t="n">
        <v>1</v>
      </c>
      <c r="S213" s="25" t="n">
        <v>1</v>
      </c>
      <c r="T213" s="25" t="n">
        <v>1</v>
      </c>
      <c r="U213" s="29"/>
      <c r="V213" s="29"/>
      <c r="W213" s="29"/>
      <c r="X213" s="29"/>
      <c r="Y213" s="29"/>
      <c r="Z213" s="25" t="s">
        <v>3836</v>
      </c>
      <c r="AA213" s="12" t="s">
        <v>3887</v>
      </c>
      <c r="AB213" s="25" t="s">
        <v>86</v>
      </c>
      <c r="AC213" s="22" t="s">
        <v>681</v>
      </c>
    </row>
    <row r="214" customFormat="false" ht="19.5" hidden="false" customHeight="true" outlineLevel="0" collapsed="false">
      <c r="A214" s="27" t="s">
        <v>4043</v>
      </c>
      <c r="B214" s="27" t="s">
        <v>411</v>
      </c>
      <c r="C214" s="9" t="s">
        <v>412</v>
      </c>
      <c r="D214" s="9" t="s">
        <v>413</v>
      </c>
      <c r="E214" s="9" t="s">
        <v>219</v>
      </c>
      <c r="F214" s="27" t="s">
        <v>1132</v>
      </c>
      <c r="G214" s="27" t="n">
        <v>2025</v>
      </c>
      <c r="H214" s="27" t="n">
        <v>5</v>
      </c>
      <c r="I214" s="27" t="s">
        <v>3879</v>
      </c>
      <c r="J214" s="20" t="n">
        <v>1</v>
      </c>
      <c r="K214" s="11" t="n">
        <v>2.45</v>
      </c>
      <c r="L214" s="30"/>
      <c r="M214" s="11" t="n">
        <v>2.7</v>
      </c>
      <c r="N214" s="11" t="n">
        <v>3.94</v>
      </c>
      <c r="O214" s="31" t="n">
        <v>-0.25</v>
      </c>
      <c r="P214" s="11" t="n">
        <v>2.4</v>
      </c>
      <c r="Q214" s="27" t="n">
        <v>1</v>
      </c>
      <c r="R214" s="27" t="n">
        <v>1</v>
      </c>
      <c r="S214" s="27" t="n">
        <v>1</v>
      </c>
      <c r="T214" s="27" t="n">
        <v>1</v>
      </c>
      <c r="U214" s="30"/>
      <c r="V214" s="30"/>
      <c r="W214" s="30"/>
      <c r="X214" s="30"/>
      <c r="Y214" s="30"/>
      <c r="Z214" s="27" t="s">
        <v>3836</v>
      </c>
      <c r="AA214" s="9" t="s">
        <v>3887</v>
      </c>
      <c r="AB214" s="27" t="s">
        <v>86</v>
      </c>
      <c r="AC214" s="23" t="s">
        <v>697</v>
      </c>
    </row>
    <row r="215" customFormat="false" ht="19.5" hidden="false" customHeight="true" outlineLevel="0" collapsed="false">
      <c r="A215" s="25" t="s">
        <v>4044</v>
      </c>
      <c r="B215" s="25" t="s">
        <v>411</v>
      </c>
      <c r="C215" s="12" t="s">
        <v>412</v>
      </c>
      <c r="D215" s="12" t="s">
        <v>413</v>
      </c>
      <c r="E215" s="12" t="s">
        <v>219</v>
      </c>
      <c r="F215" s="25" t="s">
        <v>1147</v>
      </c>
      <c r="G215" s="25" t="n">
        <v>2025</v>
      </c>
      <c r="H215" s="25" t="n">
        <v>5</v>
      </c>
      <c r="I215" s="25" t="s">
        <v>3879</v>
      </c>
      <c r="J215" s="18" t="n">
        <v>1</v>
      </c>
      <c r="K215" s="14" t="n">
        <v>2.4</v>
      </c>
      <c r="L215" s="29"/>
      <c r="M215" s="14" t="n">
        <v>2.45</v>
      </c>
      <c r="N215" s="14" t="n">
        <v>2.7</v>
      </c>
      <c r="O215" s="32" t="n">
        <v>-0.05</v>
      </c>
      <c r="P215" s="14" t="n">
        <v>2.4</v>
      </c>
      <c r="Q215" s="25" t="n">
        <v>1</v>
      </c>
      <c r="R215" s="25" t="n">
        <v>1</v>
      </c>
      <c r="S215" s="25" t="n">
        <v>1</v>
      </c>
      <c r="T215" s="25" t="n">
        <v>1</v>
      </c>
      <c r="U215" s="29"/>
      <c r="V215" s="29"/>
      <c r="W215" s="29"/>
      <c r="X215" s="29"/>
      <c r="Y215" s="29"/>
      <c r="Z215" s="25" t="s">
        <v>3836</v>
      </c>
      <c r="AA215" s="12" t="s">
        <v>3887</v>
      </c>
      <c r="AB215" s="25" t="s">
        <v>86</v>
      </c>
      <c r="AC215" s="22" t="s">
        <v>713</v>
      </c>
    </row>
    <row r="216" customFormat="false" ht="19.5" hidden="false" customHeight="true" outlineLevel="0" collapsed="false">
      <c r="A216" s="27" t="s">
        <v>4045</v>
      </c>
      <c r="B216" s="27" t="s">
        <v>411</v>
      </c>
      <c r="C216" s="9" t="s">
        <v>412</v>
      </c>
      <c r="D216" s="9" t="s">
        <v>413</v>
      </c>
      <c r="E216" s="9" t="s">
        <v>219</v>
      </c>
      <c r="F216" s="27" t="s">
        <v>1162</v>
      </c>
      <c r="G216" s="27" t="n">
        <v>2025</v>
      </c>
      <c r="H216" s="27" t="n">
        <v>5</v>
      </c>
      <c r="I216" s="27" t="s">
        <v>3879</v>
      </c>
      <c r="J216" s="20" t="n">
        <v>1</v>
      </c>
      <c r="K216" s="11" t="n">
        <v>2.4</v>
      </c>
      <c r="L216" s="30"/>
      <c r="M216" s="11" t="n">
        <v>2.4</v>
      </c>
      <c r="N216" s="11" t="n">
        <v>2.45</v>
      </c>
      <c r="O216" s="31" t="n">
        <v>0</v>
      </c>
      <c r="P216" s="30"/>
      <c r="Q216" s="27" t="n">
        <v>1</v>
      </c>
      <c r="R216" s="27" t="n">
        <v>1</v>
      </c>
      <c r="S216" s="27" t="n">
        <v>1</v>
      </c>
      <c r="T216" s="27" t="n">
        <v>1</v>
      </c>
      <c r="U216" s="30"/>
      <c r="V216" s="30"/>
      <c r="W216" s="30"/>
      <c r="X216" s="30"/>
      <c r="Y216" s="30"/>
      <c r="Z216" s="27" t="s">
        <v>3836</v>
      </c>
      <c r="AA216" s="9" t="s">
        <v>3887</v>
      </c>
      <c r="AB216" s="27" t="s">
        <v>86</v>
      </c>
      <c r="AC216" s="23" t="s">
        <v>729</v>
      </c>
    </row>
    <row r="217" customFormat="false" ht="19.5" hidden="false" customHeight="true" outlineLevel="0" collapsed="false">
      <c r="A217" s="25" t="s">
        <v>4046</v>
      </c>
      <c r="B217" s="25" t="s">
        <v>411</v>
      </c>
      <c r="C217" s="12" t="s">
        <v>412</v>
      </c>
      <c r="D217" s="12" t="s">
        <v>413</v>
      </c>
      <c r="E217" s="12" t="s">
        <v>219</v>
      </c>
      <c r="F217" s="25" t="s">
        <v>1177</v>
      </c>
      <c r="G217" s="25" t="n">
        <v>2026</v>
      </c>
      <c r="H217" s="25" t="n">
        <v>2</v>
      </c>
      <c r="I217" s="25" t="s">
        <v>3879</v>
      </c>
      <c r="J217" s="18" t="n">
        <v>1</v>
      </c>
      <c r="K217" s="14" t="n">
        <v>4.93</v>
      </c>
      <c r="L217" s="29"/>
      <c r="M217" s="29"/>
      <c r="N217" s="29"/>
      <c r="O217" s="29"/>
      <c r="P217" s="14" t="n">
        <v>4.83</v>
      </c>
      <c r="Q217" s="25" t="n">
        <v>1</v>
      </c>
      <c r="R217" s="25" t="n">
        <v>1</v>
      </c>
      <c r="S217" s="25" t="n">
        <v>1</v>
      </c>
      <c r="T217" s="25" t="n">
        <v>1</v>
      </c>
      <c r="U217" s="29"/>
      <c r="V217" s="29"/>
      <c r="W217" s="29"/>
      <c r="X217" s="14" t="n">
        <v>0.51</v>
      </c>
      <c r="Y217" s="29"/>
      <c r="Z217" s="25" t="s">
        <v>3836</v>
      </c>
      <c r="AA217" s="12" t="s">
        <v>3894</v>
      </c>
      <c r="AB217" s="25" t="s">
        <v>86</v>
      </c>
      <c r="AC217" s="22" t="s">
        <v>197</v>
      </c>
    </row>
    <row r="218" customFormat="false" ht="19.5" hidden="false" customHeight="true" outlineLevel="0" collapsed="false">
      <c r="A218" s="27" t="s">
        <v>4047</v>
      </c>
      <c r="B218" s="27" t="s">
        <v>411</v>
      </c>
      <c r="C218" s="9" t="s">
        <v>412</v>
      </c>
      <c r="D218" s="9" t="s">
        <v>413</v>
      </c>
      <c r="E218" s="9" t="s">
        <v>219</v>
      </c>
      <c r="F218" s="27" t="s">
        <v>1194</v>
      </c>
      <c r="G218" s="27" t="n">
        <v>2026</v>
      </c>
      <c r="H218" s="27" t="n">
        <v>2</v>
      </c>
      <c r="I218" s="27" t="s">
        <v>3879</v>
      </c>
      <c r="J218" s="20" t="n">
        <v>1</v>
      </c>
      <c r="K218" s="11" t="n">
        <v>4.83</v>
      </c>
      <c r="L218" s="30"/>
      <c r="M218" s="11" t="n">
        <v>4.93</v>
      </c>
      <c r="N218" s="30"/>
      <c r="O218" s="31" t="n">
        <v>-0.1</v>
      </c>
      <c r="P218" s="30"/>
      <c r="Q218" s="27" t="n">
        <v>1</v>
      </c>
      <c r="R218" s="27" t="n">
        <v>1</v>
      </c>
      <c r="S218" s="27" t="n">
        <v>1</v>
      </c>
      <c r="T218" s="27" t="n">
        <v>1</v>
      </c>
      <c r="U218" s="11" t="n">
        <v>1.55</v>
      </c>
      <c r="V218" s="30"/>
      <c r="W218" s="30"/>
      <c r="X218" s="11" t="n">
        <v>0.485</v>
      </c>
      <c r="Y218" s="30"/>
      <c r="Z218" s="27" t="s">
        <v>2931</v>
      </c>
      <c r="AA218" s="9" t="s">
        <v>3894</v>
      </c>
      <c r="AB218" s="27" t="s">
        <v>86</v>
      </c>
      <c r="AC218" s="23" t="s">
        <v>197</v>
      </c>
    </row>
    <row r="219" customFormat="false" ht="19.5" hidden="false" customHeight="true" outlineLevel="0" collapsed="false">
      <c r="A219" s="25" t="s">
        <v>4048</v>
      </c>
      <c r="B219" s="25" t="s">
        <v>411</v>
      </c>
      <c r="C219" s="12" t="s">
        <v>412</v>
      </c>
      <c r="D219" s="12" t="s">
        <v>413</v>
      </c>
      <c r="E219" s="12" t="s">
        <v>219</v>
      </c>
      <c r="F219" s="25" t="s">
        <v>1231</v>
      </c>
      <c r="G219" s="25" t="n">
        <v>2026</v>
      </c>
      <c r="H219" s="25" t="n">
        <v>5</v>
      </c>
      <c r="I219" s="25" t="s">
        <v>3879</v>
      </c>
      <c r="J219" s="18" t="n">
        <v>1</v>
      </c>
      <c r="K219" s="14" t="n">
        <v>13.96</v>
      </c>
      <c r="L219" s="29"/>
      <c r="M219" s="29"/>
      <c r="N219" s="29"/>
      <c r="O219" s="29"/>
      <c r="P219" s="14" t="n">
        <v>12.05</v>
      </c>
      <c r="Q219" s="25" t="n">
        <v>1</v>
      </c>
      <c r="R219" s="25" t="n">
        <v>1</v>
      </c>
      <c r="S219" s="25" t="n">
        <v>1</v>
      </c>
      <c r="T219" s="25" t="n">
        <v>1</v>
      </c>
      <c r="U219" s="29"/>
      <c r="V219" s="29"/>
      <c r="W219" s="29"/>
      <c r="X219" s="14" t="n">
        <v>0.12</v>
      </c>
      <c r="Y219" s="29"/>
      <c r="Z219" s="25" t="s">
        <v>2939</v>
      </c>
      <c r="AA219" s="12" t="s">
        <v>3894</v>
      </c>
      <c r="AB219" s="25" t="s">
        <v>86</v>
      </c>
      <c r="AC219" s="22" t="s">
        <v>664</v>
      </c>
    </row>
    <row r="220" customFormat="false" ht="19.5" hidden="false" customHeight="true" outlineLevel="0" collapsed="false">
      <c r="A220" s="27" t="s">
        <v>4049</v>
      </c>
      <c r="B220" s="27" t="s">
        <v>411</v>
      </c>
      <c r="C220" s="9" t="s">
        <v>412</v>
      </c>
      <c r="D220" s="9" t="s">
        <v>413</v>
      </c>
      <c r="E220" s="9" t="s">
        <v>219</v>
      </c>
      <c r="F220" s="27" t="s">
        <v>1246</v>
      </c>
      <c r="G220" s="27" t="n">
        <v>2026</v>
      </c>
      <c r="H220" s="27" t="n">
        <v>5</v>
      </c>
      <c r="I220" s="27" t="s">
        <v>3879</v>
      </c>
      <c r="J220" s="20" t="n">
        <v>1</v>
      </c>
      <c r="K220" s="11" t="n">
        <v>12.05</v>
      </c>
      <c r="L220" s="30"/>
      <c r="M220" s="11" t="n">
        <v>13.96</v>
      </c>
      <c r="N220" s="30"/>
      <c r="O220" s="31" t="n">
        <v>-1.91</v>
      </c>
      <c r="P220" s="11" t="n">
        <v>11.4</v>
      </c>
      <c r="Q220" s="27" t="n">
        <v>1</v>
      </c>
      <c r="R220" s="27" t="n">
        <v>1</v>
      </c>
      <c r="S220" s="27" t="n">
        <v>1</v>
      </c>
      <c r="T220" s="27" t="n">
        <v>1</v>
      </c>
      <c r="U220" s="30"/>
      <c r="V220" s="30"/>
      <c r="W220" s="30"/>
      <c r="X220" s="11" t="n">
        <v>0.13</v>
      </c>
      <c r="Y220" s="30"/>
      <c r="Z220" s="27" t="s">
        <v>2939</v>
      </c>
      <c r="AA220" s="9" t="s">
        <v>3894</v>
      </c>
      <c r="AB220" s="27" t="s">
        <v>86</v>
      </c>
      <c r="AC220" s="23" t="s">
        <v>664</v>
      </c>
    </row>
    <row r="221" customFormat="false" ht="19.5" hidden="false" customHeight="true" outlineLevel="0" collapsed="false">
      <c r="A221" s="25" t="s">
        <v>4050</v>
      </c>
      <c r="B221" s="25" t="s">
        <v>411</v>
      </c>
      <c r="C221" s="12" t="s">
        <v>412</v>
      </c>
      <c r="D221" s="12" t="s">
        <v>413</v>
      </c>
      <c r="E221" s="12" t="s">
        <v>219</v>
      </c>
      <c r="F221" s="25" t="s">
        <v>1261</v>
      </c>
      <c r="G221" s="25" t="n">
        <v>2026</v>
      </c>
      <c r="H221" s="25" t="n">
        <v>5</v>
      </c>
      <c r="I221" s="25" t="s">
        <v>3879</v>
      </c>
      <c r="J221" s="18" t="n">
        <v>1</v>
      </c>
      <c r="K221" s="14" t="n">
        <v>11.4</v>
      </c>
      <c r="L221" s="29"/>
      <c r="M221" s="14" t="n">
        <v>12.05</v>
      </c>
      <c r="N221" s="14" t="n">
        <v>13.96</v>
      </c>
      <c r="O221" s="32" t="n">
        <v>-0.65</v>
      </c>
      <c r="P221" s="14" t="n">
        <v>11.4</v>
      </c>
      <c r="Q221" s="25" t="n">
        <v>1</v>
      </c>
      <c r="R221" s="25" t="n">
        <v>1</v>
      </c>
      <c r="S221" s="25" t="n">
        <v>1</v>
      </c>
      <c r="T221" s="25" t="n">
        <v>1</v>
      </c>
      <c r="U221" s="29"/>
      <c r="V221" s="29"/>
      <c r="W221" s="29"/>
      <c r="X221" s="14" t="n">
        <v>0.145</v>
      </c>
      <c r="Y221" s="29"/>
      <c r="Z221" s="25" t="s">
        <v>2939</v>
      </c>
      <c r="AA221" s="12" t="s">
        <v>3894</v>
      </c>
      <c r="AB221" s="25" t="s">
        <v>86</v>
      </c>
      <c r="AC221" s="22" t="s">
        <v>681</v>
      </c>
    </row>
    <row r="222" customFormat="false" ht="19.5" hidden="false" customHeight="true" outlineLevel="0" collapsed="false">
      <c r="A222" s="27" t="s">
        <v>4051</v>
      </c>
      <c r="B222" s="27" t="s">
        <v>411</v>
      </c>
      <c r="C222" s="9" t="s">
        <v>412</v>
      </c>
      <c r="D222" s="9" t="s">
        <v>413</v>
      </c>
      <c r="E222" s="9" t="s">
        <v>219</v>
      </c>
      <c r="F222" s="27" t="s">
        <v>1276</v>
      </c>
      <c r="G222" s="27" t="n">
        <v>2026</v>
      </c>
      <c r="H222" s="27" t="n">
        <v>5</v>
      </c>
      <c r="I222" s="27" t="s">
        <v>3879</v>
      </c>
      <c r="J222" s="20" t="n">
        <v>1</v>
      </c>
      <c r="K222" s="11" t="n">
        <v>11.4</v>
      </c>
      <c r="L222" s="30"/>
      <c r="M222" s="11" t="n">
        <v>11.4</v>
      </c>
      <c r="N222" s="11" t="n">
        <v>12.05</v>
      </c>
      <c r="O222" s="31" t="n">
        <v>0</v>
      </c>
      <c r="P222" s="11" t="n">
        <v>8.6</v>
      </c>
      <c r="Q222" s="27" t="n">
        <v>1</v>
      </c>
      <c r="R222" s="27" t="n">
        <v>1</v>
      </c>
      <c r="S222" s="27" t="n">
        <v>1</v>
      </c>
      <c r="T222" s="27" t="n">
        <v>1</v>
      </c>
      <c r="U222" s="30"/>
      <c r="V222" s="30"/>
      <c r="W222" s="30"/>
      <c r="X222" s="11" t="n">
        <v>0.16</v>
      </c>
      <c r="Y222" s="30"/>
      <c r="Z222" s="27" t="s">
        <v>2939</v>
      </c>
      <c r="AA222" s="9" t="s">
        <v>3894</v>
      </c>
      <c r="AB222" s="27" t="s">
        <v>86</v>
      </c>
      <c r="AC222" s="23" t="s">
        <v>697</v>
      </c>
    </row>
    <row r="223" customFormat="false" ht="19.5" hidden="false" customHeight="true" outlineLevel="0" collapsed="false">
      <c r="A223" s="25" t="s">
        <v>4052</v>
      </c>
      <c r="B223" s="25" t="s">
        <v>411</v>
      </c>
      <c r="C223" s="12" t="s">
        <v>412</v>
      </c>
      <c r="D223" s="12" t="s">
        <v>413</v>
      </c>
      <c r="E223" s="12" t="s">
        <v>219</v>
      </c>
      <c r="F223" s="25" t="s">
        <v>1291</v>
      </c>
      <c r="G223" s="25" t="n">
        <v>2026</v>
      </c>
      <c r="H223" s="25" t="n">
        <v>5</v>
      </c>
      <c r="I223" s="25" t="s">
        <v>3879</v>
      </c>
      <c r="J223" s="18" t="n">
        <v>1</v>
      </c>
      <c r="K223" s="14" t="n">
        <v>8.6</v>
      </c>
      <c r="L223" s="29"/>
      <c r="M223" s="14" t="n">
        <v>11.4</v>
      </c>
      <c r="N223" s="14" t="n">
        <v>11.4</v>
      </c>
      <c r="O223" s="32" t="n">
        <v>-2.8</v>
      </c>
      <c r="P223" s="14" t="n">
        <v>8.6</v>
      </c>
      <c r="Q223" s="25" t="n">
        <v>1</v>
      </c>
      <c r="R223" s="25" t="n">
        <v>1</v>
      </c>
      <c r="S223" s="25" t="n">
        <v>1</v>
      </c>
      <c r="T223" s="25" t="n">
        <v>1</v>
      </c>
      <c r="U223" s="29"/>
      <c r="V223" s="29"/>
      <c r="W223" s="29"/>
      <c r="X223" s="14" t="n">
        <v>0.18</v>
      </c>
      <c r="Y223" s="29"/>
      <c r="Z223" s="25" t="s">
        <v>2939</v>
      </c>
      <c r="AA223" s="12" t="s">
        <v>3894</v>
      </c>
      <c r="AB223" s="25" t="s">
        <v>86</v>
      </c>
      <c r="AC223" s="22" t="s">
        <v>713</v>
      </c>
    </row>
    <row r="224" customFormat="false" ht="19.5" hidden="false" customHeight="true" outlineLevel="0" collapsed="false">
      <c r="A224" s="27" t="s">
        <v>4053</v>
      </c>
      <c r="B224" s="27" t="s">
        <v>411</v>
      </c>
      <c r="C224" s="9" t="s">
        <v>412</v>
      </c>
      <c r="D224" s="9" t="s">
        <v>413</v>
      </c>
      <c r="E224" s="9" t="s">
        <v>219</v>
      </c>
      <c r="F224" s="27" t="s">
        <v>1306</v>
      </c>
      <c r="G224" s="27" t="n">
        <v>2026</v>
      </c>
      <c r="H224" s="27" t="n">
        <v>5</v>
      </c>
      <c r="I224" s="27" t="s">
        <v>3879</v>
      </c>
      <c r="J224" s="20" t="n">
        <v>1</v>
      </c>
      <c r="K224" s="11" t="n">
        <v>8.6</v>
      </c>
      <c r="L224" s="30"/>
      <c r="M224" s="11" t="n">
        <v>8.6</v>
      </c>
      <c r="N224" s="11" t="n">
        <v>11.4</v>
      </c>
      <c r="O224" s="31" t="n">
        <v>0</v>
      </c>
      <c r="P224" s="30"/>
      <c r="Q224" s="27" t="n">
        <v>1</v>
      </c>
      <c r="R224" s="27" t="n">
        <v>1</v>
      </c>
      <c r="S224" s="27" t="n">
        <v>1</v>
      </c>
      <c r="T224" s="27" t="n">
        <v>1</v>
      </c>
      <c r="U224" s="30"/>
      <c r="V224" s="30"/>
      <c r="W224" s="30"/>
      <c r="X224" s="11" t="n">
        <v>0.205</v>
      </c>
      <c r="Y224" s="30"/>
      <c r="Z224" s="27" t="s">
        <v>2939</v>
      </c>
      <c r="AA224" s="9" t="s">
        <v>3894</v>
      </c>
      <c r="AB224" s="27" t="s">
        <v>86</v>
      </c>
      <c r="AC224" s="23" t="s">
        <v>729</v>
      </c>
    </row>
    <row r="225" customFormat="false" ht="19.5" hidden="false" customHeight="true" outlineLevel="0" collapsed="false">
      <c r="A225" s="25" t="s">
        <v>4054</v>
      </c>
      <c r="B225" s="25" t="s">
        <v>411</v>
      </c>
      <c r="C225" s="12" t="s">
        <v>412</v>
      </c>
      <c r="D225" s="12" t="s">
        <v>413</v>
      </c>
      <c r="E225" s="12" t="s">
        <v>219</v>
      </c>
      <c r="F225" s="25" t="s">
        <v>1374</v>
      </c>
      <c r="G225" s="25" t="n">
        <v>2026</v>
      </c>
      <c r="H225" s="25" t="n">
        <v>9</v>
      </c>
      <c r="I225" s="25" t="s">
        <v>3827</v>
      </c>
      <c r="J225" s="18" t="n">
        <v>1</v>
      </c>
      <c r="K225" s="14" t="n">
        <v>0</v>
      </c>
      <c r="L225" s="14" t="n">
        <v>0</v>
      </c>
      <c r="M225" s="29"/>
      <c r="N225" s="29"/>
      <c r="O225" s="29"/>
      <c r="P225" s="14" t="n">
        <v>0</v>
      </c>
      <c r="Q225" s="25" t="n">
        <v>0</v>
      </c>
      <c r="R225" s="25" t="n">
        <v>0</v>
      </c>
      <c r="S225" s="25" t="n">
        <v>0</v>
      </c>
      <c r="T225" s="25" t="n">
        <v>0</v>
      </c>
      <c r="U225" s="14" t="n">
        <v>0.96</v>
      </c>
      <c r="V225" s="14" t="n">
        <v>-1.01</v>
      </c>
      <c r="W225" s="14" t="n">
        <v>1.97</v>
      </c>
      <c r="X225" s="14" t="n">
        <v>0.37</v>
      </c>
      <c r="Y225" s="13" t="n">
        <v>9.4</v>
      </c>
      <c r="Z225" s="25" t="s">
        <v>2961</v>
      </c>
      <c r="AA225" s="12" t="s">
        <v>3828</v>
      </c>
      <c r="AB225" s="25" t="s">
        <v>86</v>
      </c>
      <c r="AC225" s="22" t="s">
        <v>1326</v>
      </c>
    </row>
    <row r="226" customFormat="false" ht="19.5" hidden="false" customHeight="true" outlineLevel="0" collapsed="false">
      <c r="A226" s="27" t="s">
        <v>4055</v>
      </c>
      <c r="B226" s="27" t="s">
        <v>411</v>
      </c>
      <c r="C226" s="9" t="s">
        <v>412</v>
      </c>
      <c r="D226" s="9" t="s">
        <v>413</v>
      </c>
      <c r="E226" s="9" t="s">
        <v>219</v>
      </c>
      <c r="F226" s="27" t="s">
        <v>1400</v>
      </c>
      <c r="G226" s="27" t="n">
        <v>2026</v>
      </c>
      <c r="H226" s="27" t="n">
        <v>9</v>
      </c>
      <c r="I226" s="27" t="s">
        <v>3827</v>
      </c>
      <c r="J226" s="20" t="n">
        <v>1</v>
      </c>
      <c r="K226" s="11" t="n">
        <v>0</v>
      </c>
      <c r="L226" s="11" t="n">
        <v>0</v>
      </c>
      <c r="M226" s="11" t="n">
        <v>0</v>
      </c>
      <c r="N226" s="30"/>
      <c r="O226" s="31" t="n">
        <v>0</v>
      </c>
      <c r="P226" s="11" t="n">
        <v>0</v>
      </c>
      <c r="Q226" s="27" t="n">
        <v>0</v>
      </c>
      <c r="R226" s="27" t="n">
        <v>0</v>
      </c>
      <c r="S226" s="27" t="n">
        <v>0</v>
      </c>
      <c r="T226" s="27" t="n">
        <v>0</v>
      </c>
      <c r="U226" s="11" t="n">
        <v>0.3</v>
      </c>
      <c r="V226" s="11" t="n">
        <v>-0.98</v>
      </c>
      <c r="W226" s="11" t="n">
        <v>1.28</v>
      </c>
      <c r="X226" s="11" t="n">
        <v>0.44</v>
      </c>
      <c r="Y226" s="10" t="n">
        <v>2.5</v>
      </c>
      <c r="Z226" s="27" t="s">
        <v>2961</v>
      </c>
      <c r="AA226" s="9" t="s">
        <v>3828</v>
      </c>
      <c r="AB226" s="27" t="s">
        <v>86</v>
      </c>
      <c r="AC226" s="23" t="s">
        <v>1383</v>
      </c>
    </row>
    <row r="227" customFormat="false" ht="19.5" hidden="false" customHeight="true" outlineLevel="0" collapsed="false">
      <c r="A227" s="25" t="s">
        <v>4056</v>
      </c>
      <c r="B227" s="25" t="s">
        <v>411</v>
      </c>
      <c r="C227" s="12" t="s">
        <v>412</v>
      </c>
      <c r="D227" s="12" t="s">
        <v>413</v>
      </c>
      <c r="E227" s="12" t="s">
        <v>219</v>
      </c>
      <c r="F227" s="25" t="s">
        <v>1419</v>
      </c>
      <c r="G227" s="25" t="n">
        <v>2026</v>
      </c>
      <c r="H227" s="25" t="n">
        <v>9</v>
      </c>
      <c r="I227" s="25" t="s">
        <v>3827</v>
      </c>
      <c r="J227" s="18" t="n">
        <v>1</v>
      </c>
      <c r="K227" s="14" t="n">
        <v>0</v>
      </c>
      <c r="L227" s="14" t="n">
        <v>0</v>
      </c>
      <c r="M227" s="14" t="n">
        <v>0</v>
      </c>
      <c r="N227" s="14" t="n">
        <v>0</v>
      </c>
      <c r="O227" s="32" t="n">
        <v>0</v>
      </c>
      <c r="P227" s="29"/>
      <c r="Q227" s="25" t="n">
        <v>0</v>
      </c>
      <c r="R227" s="25" t="n">
        <v>0</v>
      </c>
      <c r="S227" s="25" t="n">
        <v>0</v>
      </c>
      <c r="T227" s="25" t="n">
        <v>0</v>
      </c>
      <c r="U227" s="14" t="n">
        <v>0.97</v>
      </c>
      <c r="V227" s="14" t="n">
        <v>0.97</v>
      </c>
      <c r="W227" s="14" t="n">
        <v>0</v>
      </c>
      <c r="X227" s="14" t="n">
        <v>0.56</v>
      </c>
      <c r="Y227" s="13" t="n">
        <v>84.5</v>
      </c>
      <c r="Z227" s="25" t="s">
        <v>2961</v>
      </c>
      <c r="AA227" s="12" t="s">
        <v>3828</v>
      </c>
      <c r="AB227" s="25" t="s">
        <v>86</v>
      </c>
      <c r="AC227" s="22" t="s">
        <v>1376</v>
      </c>
    </row>
    <row r="228" customFormat="false" ht="19.5" hidden="false" customHeight="true" outlineLevel="0" collapsed="false">
      <c r="A228" s="27" t="s">
        <v>4057</v>
      </c>
      <c r="B228" s="27" t="s">
        <v>411</v>
      </c>
      <c r="C228" s="9" t="s">
        <v>412</v>
      </c>
      <c r="D228" s="9" t="s">
        <v>413</v>
      </c>
      <c r="E228" s="9" t="s">
        <v>219</v>
      </c>
      <c r="F228" s="27" t="s">
        <v>1469</v>
      </c>
      <c r="G228" s="27" t="n">
        <v>2026</v>
      </c>
      <c r="H228" s="27" t="n">
        <v>10</v>
      </c>
      <c r="I228" s="27" t="s">
        <v>3827</v>
      </c>
      <c r="J228" s="20" t="n">
        <v>1</v>
      </c>
      <c r="K228" s="11" t="n">
        <v>0</v>
      </c>
      <c r="L228" s="11" t="n">
        <v>0</v>
      </c>
      <c r="M228" s="30"/>
      <c r="N228" s="30"/>
      <c r="O228" s="30"/>
      <c r="P228" s="11" t="n">
        <v>0</v>
      </c>
      <c r="Q228" s="27" t="n">
        <v>0</v>
      </c>
      <c r="R228" s="27" t="n">
        <v>0</v>
      </c>
      <c r="S228" s="27" t="n">
        <v>0</v>
      </c>
      <c r="T228" s="27" t="n">
        <v>0</v>
      </c>
      <c r="U228" s="11" t="n">
        <v>1.51</v>
      </c>
      <c r="V228" s="11" t="n">
        <v>-0.78</v>
      </c>
      <c r="W228" s="11" t="n">
        <v>2.29</v>
      </c>
      <c r="X228" s="11" t="n">
        <v>0.2</v>
      </c>
      <c r="Y228" s="10" t="n">
        <v>0.5</v>
      </c>
      <c r="Z228" s="27" t="s">
        <v>3014</v>
      </c>
      <c r="AA228" s="9" t="s">
        <v>3832</v>
      </c>
      <c r="AB228" s="27" t="s">
        <v>86</v>
      </c>
      <c r="AC228" s="23" t="s">
        <v>1437</v>
      </c>
    </row>
    <row r="229" customFormat="false" ht="19.5" hidden="false" customHeight="true" outlineLevel="0" collapsed="false">
      <c r="A229" s="25" t="s">
        <v>4058</v>
      </c>
      <c r="B229" s="25" t="s">
        <v>411</v>
      </c>
      <c r="C229" s="12" t="s">
        <v>412</v>
      </c>
      <c r="D229" s="12" t="s">
        <v>413</v>
      </c>
      <c r="E229" s="12" t="s">
        <v>219</v>
      </c>
      <c r="F229" s="25" t="s">
        <v>1490</v>
      </c>
      <c r="G229" s="25" t="n">
        <v>2026</v>
      </c>
      <c r="H229" s="25" t="n">
        <v>10</v>
      </c>
      <c r="I229" s="25" t="s">
        <v>3827</v>
      </c>
      <c r="J229" s="18" t="n">
        <v>1</v>
      </c>
      <c r="K229" s="14" t="n">
        <v>0</v>
      </c>
      <c r="L229" s="14" t="n">
        <v>0</v>
      </c>
      <c r="M229" s="14" t="n">
        <v>0</v>
      </c>
      <c r="N229" s="29"/>
      <c r="O229" s="32" t="n">
        <v>0</v>
      </c>
      <c r="P229" s="14" t="n">
        <v>0</v>
      </c>
      <c r="Q229" s="25" t="n">
        <v>0</v>
      </c>
      <c r="R229" s="25" t="n">
        <v>0</v>
      </c>
      <c r="S229" s="25" t="n">
        <v>0</v>
      </c>
      <c r="T229" s="25" t="n">
        <v>0</v>
      </c>
      <c r="U229" s="14" t="n">
        <v>1.85</v>
      </c>
      <c r="V229" s="14" t="n">
        <v>-0.59</v>
      </c>
      <c r="W229" s="14" t="n">
        <v>2.44</v>
      </c>
      <c r="X229" s="14" t="n">
        <v>0.43</v>
      </c>
      <c r="Y229" s="13" t="n">
        <v>6.5</v>
      </c>
      <c r="Z229" s="25" t="s">
        <v>3014</v>
      </c>
      <c r="AA229" s="12" t="s">
        <v>3832</v>
      </c>
      <c r="AB229" s="25" t="s">
        <v>86</v>
      </c>
      <c r="AC229" s="22" t="s">
        <v>1476</v>
      </c>
    </row>
    <row r="230" customFormat="false" ht="19.5" hidden="false" customHeight="true" outlineLevel="0" collapsed="false">
      <c r="A230" s="27" t="s">
        <v>4059</v>
      </c>
      <c r="B230" s="27" t="s">
        <v>411</v>
      </c>
      <c r="C230" s="9" t="s">
        <v>412</v>
      </c>
      <c r="D230" s="9" t="s">
        <v>413</v>
      </c>
      <c r="E230" s="9" t="s">
        <v>219</v>
      </c>
      <c r="F230" s="27" t="s">
        <v>1510</v>
      </c>
      <c r="G230" s="27" t="n">
        <v>2026</v>
      </c>
      <c r="H230" s="27" t="n">
        <v>10</v>
      </c>
      <c r="I230" s="27" t="s">
        <v>3827</v>
      </c>
      <c r="J230" s="20" t="n">
        <v>1</v>
      </c>
      <c r="K230" s="11" t="n">
        <v>0</v>
      </c>
      <c r="L230" s="11" t="n">
        <v>0</v>
      </c>
      <c r="M230" s="11" t="n">
        <v>0</v>
      </c>
      <c r="N230" s="11" t="n">
        <v>0</v>
      </c>
      <c r="O230" s="31" t="n">
        <v>0</v>
      </c>
      <c r="P230" s="11" t="n">
        <v>0</v>
      </c>
      <c r="Q230" s="27" t="n">
        <v>0</v>
      </c>
      <c r="R230" s="27" t="n">
        <v>0</v>
      </c>
      <c r="S230" s="27" t="n">
        <v>0</v>
      </c>
      <c r="T230" s="27" t="n">
        <v>0</v>
      </c>
      <c r="U230" s="11" t="n">
        <v>1.87</v>
      </c>
      <c r="V230" s="11" t="n">
        <v>-0.82</v>
      </c>
      <c r="W230" s="11" t="n">
        <v>2.69</v>
      </c>
      <c r="X230" s="11" t="n">
        <v>0.33</v>
      </c>
      <c r="Y230" s="10" t="n">
        <v>0</v>
      </c>
      <c r="Z230" s="27" t="s">
        <v>2897</v>
      </c>
      <c r="AA230" s="9" t="s">
        <v>3832</v>
      </c>
      <c r="AB230" s="27" t="s">
        <v>86</v>
      </c>
      <c r="AC230" s="23" t="s">
        <v>1497</v>
      </c>
    </row>
    <row r="231" customFormat="false" ht="19.5" hidden="false" customHeight="true" outlineLevel="0" collapsed="false">
      <c r="A231" s="25" t="s">
        <v>4060</v>
      </c>
      <c r="B231" s="25" t="s">
        <v>411</v>
      </c>
      <c r="C231" s="12" t="s">
        <v>412</v>
      </c>
      <c r="D231" s="12" t="s">
        <v>413</v>
      </c>
      <c r="E231" s="12" t="s">
        <v>219</v>
      </c>
      <c r="F231" s="25" t="s">
        <v>1532</v>
      </c>
      <c r="G231" s="25" t="n">
        <v>2026</v>
      </c>
      <c r="H231" s="25" t="n">
        <v>10</v>
      </c>
      <c r="I231" s="25" t="s">
        <v>3827</v>
      </c>
      <c r="J231" s="18" t="n">
        <v>1</v>
      </c>
      <c r="K231" s="14" t="n">
        <v>0</v>
      </c>
      <c r="L231" s="14" t="n">
        <v>0</v>
      </c>
      <c r="M231" s="14" t="n">
        <v>0</v>
      </c>
      <c r="N231" s="14" t="n">
        <v>0</v>
      </c>
      <c r="O231" s="32" t="n">
        <v>0</v>
      </c>
      <c r="P231" s="14" t="n">
        <v>0</v>
      </c>
      <c r="Q231" s="25" t="n">
        <v>0</v>
      </c>
      <c r="R231" s="25" t="n">
        <v>0</v>
      </c>
      <c r="S231" s="25" t="n">
        <v>0</v>
      </c>
      <c r="T231" s="25" t="n">
        <v>0</v>
      </c>
      <c r="U231" s="14" t="n">
        <v>1.81</v>
      </c>
      <c r="V231" s="14" t="n">
        <v>-0.96</v>
      </c>
      <c r="W231" s="14" t="n">
        <v>2.77</v>
      </c>
      <c r="X231" s="14" t="n">
        <v>0.34</v>
      </c>
      <c r="Y231" s="13" t="n">
        <v>0</v>
      </c>
      <c r="Z231" s="25" t="s">
        <v>2998</v>
      </c>
      <c r="AA231" s="12" t="s">
        <v>3832</v>
      </c>
      <c r="AB231" s="25" t="s">
        <v>86</v>
      </c>
      <c r="AC231" s="22" t="s">
        <v>1517</v>
      </c>
    </row>
    <row r="232" customFormat="false" ht="19.5" hidden="false" customHeight="true" outlineLevel="0" collapsed="false">
      <c r="A232" s="27" t="s">
        <v>4061</v>
      </c>
      <c r="B232" s="27" t="s">
        <v>411</v>
      </c>
      <c r="C232" s="9" t="s">
        <v>412</v>
      </c>
      <c r="D232" s="9" t="s">
        <v>413</v>
      </c>
      <c r="E232" s="9" t="s">
        <v>219</v>
      </c>
      <c r="F232" s="27" t="s">
        <v>1555</v>
      </c>
      <c r="G232" s="27" t="n">
        <v>2026</v>
      </c>
      <c r="H232" s="27" t="n">
        <v>10</v>
      </c>
      <c r="I232" s="27" t="s">
        <v>3827</v>
      </c>
      <c r="J232" s="20" t="n">
        <v>1</v>
      </c>
      <c r="K232" s="11" t="n">
        <v>0</v>
      </c>
      <c r="L232" s="11" t="n">
        <v>0</v>
      </c>
      <c r="M232" s="11" t="n">
        <v>0</v>
      </c>
      <c r="N232" s="11" t="n">
        <v>0</v>
      </c>
      <c r="O232" s="31" t="n">
        <v>0</v>
      </c>
      <c r="P232" s="30"/>
      <c r="Q232" s="27" t="n">
        <v>0</v>
      </c>
      <c r="R232" s="27" t="n">
        <v>0</v>
      </c>
      <c r="S232" s="27" t="n">
        <v>0</v>
      </c>
      <c r="T232" s="27" t="n">
        <v>0</v>
      </c>
      <c r="U232" s="11" t="n">
        <v>1.6</v>
      </c>
      <c r="V232" s="11" t="n">
        <v>1.6</v>
      </c>
      <c r="W232" s="11" t="n">
        <v>0</v>
      </c>
      <c r="X232" s="11" t="n">
        <v>0.34</v>
      </c>
      <c r="Y232" s="10" t="n">
        <v>0.2</v>
      </c>
      <c r="Z232" s="27" t="s">
        <v>2998</v>
      </c>
      <c r="AA232" s="9" t="s">
        <v>3832</v>
      </c>
      <c r="AB232" s="27" t="s">
        <v>86</v>
      </c>
      <c r="AC232" s="23" t="s">
        <v>93</v>
      </c>
    </row>
    <row r="233" customFormat="false" ht="19.5" hidden="false" customHeight="true" outlineLevel="0" collapsed="false">
      <c r="A233" s="25" t="s">
        <v>4062</v>
      </c>
      <c r="B233" s="25" t="s">
        <v>416</v>
      </c>
      <c r="C233" s="12" t="s">
        <v>417</v>
      </c>
      <c r="D233" s="12" t="s">
        <v>418</v>
      </c>
      <c r="E233" s="12" t="s">
        <v>219</v>
      </c>
      <c r="F233" s="25" t="s">
        <v>1374</v>
      </c>
      <c r="G233" s="25" t="n">
        <v>2026</v>
      </c>
      <c r="H233" s="25" t="n">
        <v>9</v>
      </c>
      <c r="I233" s="25" t="s">
        <v>3827</v>
      </c>
      <c r="J233" s="18" t="n">
        <v>1</v>
      </c>
      <c r="K233" s="14" t="n">
        <v>0</v>
      </c>
      <c r="L233" s="14" t="n">
        <v>0</v>
      </c>
      <c r="M233" s="29"/>
      <c r="N233" s="29"/>
      <c r="O233" s="29"/>
      <c r="P233" s="14" t="n">
        <v>0</v>
      </c>
      <c r="Q233" s="25" t="n">
        <v>0</v>
      </c>
      <c r="R233" s="25" t="n">
        <v>0</v>
      </c>
      <c r="S233" s="25" t="n">
        <v>0</v>
      </c>
      <c r="T233" s="25" t="n">
        <v>0</v>
      </c>
      <c r="U233" s="14" t="n">
        <v>0.96</v>
      </c>
      <c r="V233" s="14" t="n">
        <v>-1.01</v>
      </c>
      <c r="W233" s="14" t="n">
        <v>1.97</v>
      </c>
      <c r="X233" s="14" t="n">
        <v>0.23</v>
      </c>
      <c r="Y233" s="13" t="n">
        <v>0</v>
      </c>
      <c r="Z233" s="25" t="s">
        <v>2961</v>
      </c>
      <c r="AA233" s="12" t="s">
        <v>3828</v>
      </c>
      <c r="AB233" s="25" t="s">
        <v>86</v>
      </c>
      <c r="AC233" s="22" t="s">
        <v>1326</v>
      </c>
    </row>
    <row r="234" customFormat="false" ht="19.5" hidden="false" customHeight="true" outlineLevel="0" collapsed="false">
      <c r="A234" s="27" t="s">
        <v>4063</v>
      </c>
      <c r="B234" s="27" t="s">
        <v>416</v>
      </c>
      <c r="C234" s="9" t="s">
        <v>417</v>
      </c>
      <c r="D234" s="9" t="s">
        <v>418</v>
      </c>
      <c r="E234" s="9" t="s">
        <v>219</v>
      </c>
      <c r="F234" s="27" t="s">
        <v>1400</v>
      </c>
      <c r="G234" s="27" t="n">
        <v>2026</v>
      </c>
      <c r="H234" s="27" t="n">
        <v>9</v>
      </c>
      <c r="I234" s="27" t="s">
        <v>3827</v>
      </c>
      <c r="J234" s="20" t="n">
        <v>1</v>
      </c>
      <c r="K234" s="11" t="n">
        <v>0</v>
      </c>
      <c r="L234" s="11" t="n">
        <v>0</v>
      </c>
      <c r="M234" s="11" t="n">
        <v>0</v>
      </c>
      <c r="N234" s="30"/>
      <c r="O234" s="31" t="n">
        <v>0</v>
      </c>
      <c r="P234" s="11" t="n">
        <v>0</v>
      </c>
      <c r="Q234" s="27" t="n">
        <v>0</v>
      </c>
      <c r="R234" s="27" t="n">
        <v>0</v>
      </c>
      <c r="S234" s="27" t="n">
        <v>0</v>
      </c>
      <c r="T234" s="27" t="n">
        <v>0</v>
      </c>
      <c r="U234" s="11" t="n">
        <v>0.3</v>
      </c>
      <c r="V234" s="11" t="n">
        <v>-0.98</v>
      </c>
      <c r="W234" s="11" t="n">
        <v>1.28</v>
      </c>
      <c r="X234" s="11" t="n">
        <v>0.42</v>
      </c>
      <c r="Y234" s="10" t="n">
        <v>0</v>
      </c>
      <c r="Z234" s="27" t="s">
        <v>2961</v>
      </c>
      <c r="AA234" s="9" t="s">
        <v>3828</v>
      </c>
      <c r="AB234" s="27" t="s">
        <v>86</v>
      </c>
      <c r="AC234" s="23" t="s">
        <v>1383</v>
      </c>
    </row>
    <row r="235" customFormat="false" ht="19.5" hidden="false" customHeight="true" outlineLevel="0" collapsed="false">
      <c r="A235" s="25" t="s">
        <v>4064</v>
      </c>
      <c r="B235" s="25" t="s">
        <v>416</v>
      </c>
      <c r="C235" s="12" t="s">
        <v>417</v>
      </c>
      <c r="D235" s="12" t="s">
        <v>418</v>
      </c>
      <c r="E235" s="12" t="s">
        <v>219</v>
      </c>
      <c r="F235" s="25" t="s">
        <v>1419</v>
      </c>
      <c r="G235" s="25" t="n">
        <v>2026</v>
      </c>
      <c r="H235" s="25" t="n">
        <v>9</v>
      </c>
      <c r="I235" s="25" t="s">
        <v>3827</v>
      </c>
      <c r="J235" s="18" t="n">
        <v>1</v>
      </c>
      <c r="K235" s="14" t="n">
        <v>0</v>
      </c>
      <c r="L235" s="14" t="n">
        <v>0</v>
      </c>
      <c r="M235" s="14" t="n">
        <v>0</v>
      </c>
      <c r="N235" s="14" t="n">
        <v>0</v>
      </c>
      <c r="O235" s="32" t="n">
        <v>0</v>
      </c>
      <c r="P235" s="29"/>
      <c r="Q235" s="25" t="n">
        <v>0</v>
      </c>
      <c r="R235" s="25" t="n">
        <v>0</v>
      </c>
      <c r="S235" s="25" t="n">
        <v>0</v>
      </c>
      <c r="T235" s="25" t="n">
        <v>0</v>
      </c>
      <c r="U235" s="14" t="n">
        <v>0.97</v>
      </c>
      <c r="V235" s="14" t="n">
        <v>0.97</v>
      </c>
      <c r="W235" s="14" t="n">
        <v>0</v>
      </c>
      <c r="X235" s="14" t="n">
        <v>0.51</v>
      </c>
      <c r="Y235" s="13" t="n">
        <v>0</v>
      </c>
      <c r="Z235" s="25" t="s">
        <v>2961</v>
      </c>
      <c r="AA235" s="12" t="s">
        <v>3828</v>
      </c>
      <c r="AB235" s="25" t="s">
        <v>86</v>
      </c>
      <c r="AC235" s="22" t="s">
        <v>1376</v>
      </c>
    </row>
    <row r="236" customFormat="false" ht="19.5" hidden="false" customHeight="true" outlineLevel="0" collapsed="false">
      <c r="A236" s="27" t="s">
        <v>4065</v>
      </c>
      <c r="B236" s="27" t="s">
        <v>416</v>
      </c>
      <c r="C236" s="9" t="s">
        <v>417</v>
      </c>
      <c r="D236" s="9" t="s">
        <v>418</v>
      </c>
      <c r="E236" s="9" t="s">
        <v>219</v>
      </c>
      <c r="F236" s="27" t="s">
        <v>1469</v>
      </c>
      <c r="G236" s="27" t="n">
        <v>2026</v>
      </c>
      <c r="H236" s="27" t="n">
        <v>10</v>
      </c>
      <c r="I236" s="27" t="s">
        <v>3827</v>
      </c>
      <c r="J236" s="20" t="n">
        <v>1</v>
      </c>
      <c r="K236" s="11" t="n">
        <v>0</v>
      </c>
      <c r="L236" s="11" t="n">
        <v>0</v>
      </c>
      <c r="M236" s="30"/>
      <c r="N236" s="30"/>
      <c r="O236" s="30"/>
      <c r="P236" s="11" t="n">
        <v>0</v>
      </c>
      <c r="Q236" s="27" t="n">
        <v>0</v>
      </c>
      <c r="R236" s="27" t="n">
        <v>0</v>
      </c>
      <c r="S236" s="27" t="n">
        <v>0</v>
      </c>
      <c r="T236" s="27" t="n">
        <v>0</v>
      </c>
      <c r="U236" s="11" t="n">
        <v>1.51</v>
      </c>
      <c r="V236" s="11" t="n">
        <v>-0.78</v>
      </c>
      <c r="W236" s="11" t="n">
        <v>2.29</v>
      </c>
      <c r="X236" s="11" t="n">
        <v>0.25</v>
      </c>
      <c r="Y236" s="10" t="n">
        <v>0</v>
      </c>
      <c r="Z236" s="27" t="s">
        <v>3014</v>
      </c>
      <c r="AA236" s="9" t="s">
        <v>3832</v>
      </c>
      <c r="AB236" s="27" t="s">
        <v>86</v>
      </c>
      <c r="AC236" s="23" t="s">
        <v>1437</v>
      </c>
    </row>
    <row r="237" customFormat="false" ht="19.5" hidden="false" customHeight="true" outlineLevel="0" collapsed="false">
      <c r="A237" s="25" t="s">
        <v>4066</v>
      </c>
      <c r="B237" s="25" t="s">
        <v>416</v>
      </c>
      <c r="C237" s="12" t="s">
        <v>417</v>
      </c>
      <c r="D237" s="12" t="s">
        <v>418</v>
      </c>
      <c r="E237" s="12" t="s">
        <v>219</v>
      </c>
      <c r="F237" s="25" t="s">
        <v>1490</v>
      </c>
      <c r="G237" s="25" t="n">
        <v>2026</v>
      </c>
      <c r="H237" s="25" t="n">
        <v>10</v>
      </c>
      <c r="I237" s="25" t="s">
        <v>3827</v>
      </c>
      <c r="J237" s="18" t="n">
        <v>1</v>
      </c>
      <c r="K237" s="14" t="n">
        <v>0</v>
      </c>
      <c r="L237" s="14" t="n">
        <v>0</v>
      </c>
      <c r="M237" s="14" t="n">
        <v>0</v>
      </c>
      <c r="N237" s="29"/>
      <c r="O237" s="32" t="n">
        <v>0</v>
      </c>
      <c r="P237" s="14" t="n">
        <v>0</v>
      </c>
      <c r="Q237" s="25" t="n">
        <v>0</v>
      </c>
      <c r="R237" s="25" t="n">
        <v>0</v>
      </c>
      <c r="S237" s="25" t="n">
        <v>0</v>
      </c>
      <c r="T237" s="25" t="n">
        <v>0</v>
      </c>
      <c r="U237" s="14" t="n">
        <v>1.85</v>
      </c>
      <c r="V237" s="14" t="n">
        <v>-0.59</v>
      </c>
      <c r="W237" s="14" t="n">
        <v>2.44</v>
      </c>
      <c r="X237" s="14" t="n">
        <v>0.41</v>
      </c>
      <c r="Y237" s="13" t="n">
        <v>0</v>
      </c>
      <c r="Z237" s="25" t="s">
        <v>3014</v>
      </c>
      <c r="AA237" s="12" t="s">
        <v>3832</v>
      </c>
      <c r="AB237" s="25" t="s">
        <v>86</v>
      </c>
      <c r="AC237" s="22" t="s">
        <v>1476</v>
      </c>
    </row>
    <row r="238" customFormat="false" ht="19.5" hidden="false" customHeight="true" outlineLevel="0" collapsed="false">
      <c r="A238" s="27" t="s">
        <v>4067</v>
      </c>
      <c r="B238" s="27" t="s">
        <v>416</v>
      </c>
      <c r="C238" s="9" t="s">
        <v>417</v>
      </c>
      <c r="D238" s="9" t="s">
        <v>418</v>
      </c>
      <c r="E238" s="9" t="s">
        <v>219</v>
      </c>
      <c r="F238" s="27" t="s">
        <v>1510</v>
      </c>
      <c r="G238" s="27" t="n">
        <v>2026</v>
      </c>
      <c r="H238" s="27" t="n">
        <v>10</v>
      </c>
      <c r="I238" s="27" t="s">
        <v>3827</v>
      </c>
      <c r="J238" s="20" t="n">
        <v>1</v>
      </c>
      <c r="K238" s="11" t="n">
        <v>0</v>
      </c>
      <c r="L238" s="11" t="n">
        <v>0</v>
      </c>
      <c r="M238" s="11" t="n">
        <v>0</v>
      </c>
      <c r="N238" s="11" t="n">
        <v>0</v>
      </c>
      <c r="O238" s="31" t="n">
        <v>0</v>
      </c>
      <c r="P238" s="11" t="n">
        <v>0</v>
      </c>
      <c r="Q238" s="27" t="n">
        <v>0</v>
      </c>
      <c r="R238" s="27" t="n">
        <v>0</v>
      </c>
      <c r="S238" s="27" t="n">
        <v>0</v>
      </c>
      <c r="T238" s="27" t="n">
        <v>0</v>
      </c>
      <c r="U238" s="11" t="n">
        <v>1.87</v>
      </c>
      <c r="V238" s="11" t="n">
        <v>-0.82</v>
      </c>
      <c r="W238" s="11" t="n">
        <v>2.69</v>
      </c>
      <c r="X238" s="11" t="n">
        <v>0.31</v>
      </c>
      <c r="Y238" s="10" t="n">
        <v>0</v>
      </c>
      <c r="Z238" s="27" t="s">
        <v>2897</v>
      </c>
      <c r="AA238" s="9" t="s">
        <v>3832</v>
      </c>
      <c r="AB238" s="27" t="s">
        <v>86</v>
      </c>
      <c r="AC238" s="23" t="s">
        <v>1497</v>
      </c>
    </row>
    <row r="239" customFormat="false" ht="19.5" hidden="false" customHeight="true" outlineLevel="0" collapsed="false">
      <c r="A239" s="25" t="s">
        <v>4068</v>
      </c>
      <c r="B239" s="25" t="s">
        <v>416</v>
      </c>
      <c r="C239" s="12" t="s">
        <v>417</v>
      </c>
      <c r="D239" s="12" t="s">
        <v>418</v>
      </c>
      <c r="E239" s="12" t="s">
        <v>219</v>
      </c>
      <c r="F239" s="25" t="s">
        <v>1532</v>
      </c>
      <c r="G239" s="25" t="n">
        <v>2026</v>
      </c>
      <c r="H239" s="25" t="n">
        <v>10</v>
      </c>
      <c r="I239" s="25" t="s">
        <v>3827</v>
      </c>
      <c r="J239" s="18" t="n">
        <v>1</v>
      </c>
      <c r="K239" s="14" t="n">
        <v>0</v>
      </c>
      <c r="L239" s="14" t="n">
        <v>0</v>
      </c>
      <c r="M239" s="14" t="n">
        <v>0</v>
      </c>
      <c r="N239" s="14" t="n">
        <v>0</v>
      </c>
      <c r="O239" s="32" t="n">
        <v>0</v>
      </c>
      <c r="P239" s="14" t="n">
        <v>0</v>
      </c>
      <c r="Q239" s="25" t="n">
        <v>0</v>
      </c>
      <c r="R239" s="25" t="n">
        <v>0</v>
      </c>
      <c r="S239" s="25" t="n">
        <v>0</v>
      </c>
      <c r="T239" s="25" t="n">
        <v>0</v>
      </c>
      <c r="U239" s="14" t="n">
        <v>1.81</v>
      </c>
      <c r="V239" s="14" t="n">
        <v>-0.96</v>
      </c>
      <c r="W239" s="14" t="n">
        <v>2.77</v>
      </c>
      <c r="X239" s="14" t="n">
        <v>0.35</v>
      </c>
      <c r="Y239" s="13" t="n">
        <v>0</v>
      </c>
      <c r="Z239" s="25" t="s">
        <v>2998</v>
      </c>
      <c r="AA239" s="12" t="s">
        <v>3832</v>
      </c>
      <c r="AB239" s="25" t="s">
        <v>86</v>
      </c>
      <c r="AC239" s="22" t="s">
        <v>1517</v>
      </c>
    </row>
    <row r="240" customFormat="false" ht="19.5" hidden="false" customHeight="true" outlineLevel="0" collapsed="false">
      <c r="A240" s="27" t="s">
        <v>4069</v>
      </c>
      <c r="B240" s="27" t="s">
        <v>416</v>
      </c>
      <c r="C240" s="9" t="s">
        <v>417</v>
      </c>
      <c r="D240" s="9" t="s">
        <v>418</v>
      </c>
      <c r="E240" s="9" t="s">
        <v>219</v>
      </c>
      <c r="F240" s="27" t="s">
        <v>1555</v>
      </c>
      <c r="G240" s="27" t="n">
        <v>2026</v>
      </c>
      <c r="H240" s="27" t="n">
        <v>10</v>
      </c>
      <c r="I240" s="27" t="s">
        <v>3827</v>
      </c>
      <c r="J240" s="20" t="n">
        <v>1</v>
      </c>
      <c r="K240" s="11" t="n">
        <v>0</v>
      </c>
      <c r="L240" s="11" t="n">
        <v>0</v>
      </c>
      <c r="M240" s="11" t="n">
        <v>0</v>
      </c>
      <c r="N240" s="11" t="n">
        <v>0</v>
      </c>
      <c r="O240" s="31" t="n">
        <v>0</v>
      </c>
      <c r="P240" s="30"/>
      <c r="Q240" s="27" t="n">
        <v>0</v>
      </c>
      <c r="R240" s="27" t="n">
        <v>0</v>
      </c>
      <c r="S240" s="27" t="n">
        <v>0</v>
      </c>
      <c r="T240" s="27" t="n">
        <v>0</v>
      </c>
      <c r="U240" s="11" t="n">
        <v>1.6</v>
      </c>
      <c r="V240" s="11" t="n">
        <v>1.6</v>
      </c>
      <c r="W240" s="11" t="n">
        <v>0</v>
      </c>
      <c r="X240" s="11" t="n">
        <v>0.26</v>
      </c>
      <c r="Y240" s="10" t="n">
        <v>0</v>
      </c>
      <c r="Z240" s="27" t="s">
        <v>2998</v>
      </c>
      <c r="AA240" s="9" t="s">
        <v>3832</v>
      </c>
      <c r="AB240" s="27" t="s">
        <v>86</v>
      </c>
      <c r="AC240" s="23" t="s">
        <v>93</v>
      </c>
    </row>
    <row r="241" customFormat="false" ht="19.5" hidden="false" customHeight="true" outlineLevel="0" collapsed="false">
      <c r="A241" s="25" t="s">
        <v>4070</v>
      </c>
      <c r="B241" s="25" t="s">
        <v>377</v>
      </c>
      <c r="C241" s="12" t="s">
        <v>378</v>
      </c>
      <c r="D241" s="12" t="s">
        <v>379</v>
      </c>
      <c r="E241" s="12" t="s">
        <v>219</v>
      </c>
      <c r="F241" s="25" t="s">
        <v>625</v>
      </c>
      <c r="G241" s="25" t="n">
        <v>2016</v>
      </c>
      <c r="H241" s="25" t="n">
        <v>2</v>
      </c>
      <c r="I241" s="25" t="s">
        <v>3879</v>
      </c>
      <c r="J241" s="18" t="n">
        <v>1</v>
      </c>
      <c r="K241" s="14" t="n">
        <v>3.36</v>
      </c>
      <c r="L241" s="29"/>
      <c r="M241" s="29"/>
      <c r="N241" s="29"/>
      <c r="O241" s="29"/>
      <c r="P241" s="29"/>
      <c r="Q241" s="25" t="n">
        <v>1</v>
      </c>
      <c r="R241" s="25" t="n">
        <v>1</v>
      </c>
      <c r="S241" s="25" t="n">
        <v>1</v>
      </c>
      <c r="T241" s="25" t="n">
        <v>1</v>
      </c>
      <c r="U241" s="29"/>
      <c r="V241" s="29"/>
      <c r="W241" s="29"/>
      <c r="X241" s="29"/>
      <c r="Y241" s="29"/>
      <c r="Z241" s="25" t="s">
        <v>3836</v>
      </c>
      <c r="AA241" s="12" t="s">
        <v>3880</v>
      </c>
      <c r="AB241" s="25" t="s">
        <v>86</v>
      </c>
      <c r="AC241" s="22" t="s">
        <v>197</v>
      </c>
    </row>
    <row r="242" customFormat="false" ht="19.5" hidden="false" customHeight="true" outlineLevel="0" collapsed="false">
      <c r="A242" s="27" t="s">
        <v>4071</v>
      </c>
      <c r="B242" s="27" t="s">
        <v>377</v>
      </c>
      <c r="C242" s="9" t="s">
        <v>378</v>
      </c>
      <c r="D242" s="9" t="s">
        <v>379</v>
      </c>
      <c r="E242" s="9" t="s">
        <v>219</v>
      </c>
      <c r="F242" s="27" t="s">
        <v>663</v>
      </c>
      <c r="G242" s="27" t="n">
        <v>2016</v>
      </c>
      <c r="H242" s="27" t="n">
        <v>5</v>
      </c>
      <c r="I242" s="27" t="s">
        <v>3879</v>
      </c>
      <c r="J242" s="20" t="n">
        <v>1</v>
      </c>
      <c r="K242" s="11" t="n">
        <v>5.4</v>
      </c>
      <c r="L242" s="30"/>
      <c r="M242" s="30"/>
      <c r="N242" s="30"/>
      <c r="O242" s="30"/>
      <c r="P242" s="11" t="n">
        <v>5.55</v>
      </c>
      <c r="Q242" s="27" t="n">
        <v>1</v>
      </c>
      <c r="R242" s="27" t="n">
        <v>1</v>
      </c>
      <c r="S242" s="27" t="n">
        <v>1</v>
      </c>
      <c r="T242" s="27" t="n">
        <v>1</v>
      </c>
      <c r="U242" s="30"/>
      <c r="V242" s="30"/>
      <c r="W242" s="30"/>
      <c r="X242" s="30"/>
      <c r="Y242" s="30"/>
      <c r="Z242" s="27" t="s">
        <v>3836</v>
      </c>
      <c r="AA242" s="9" t="s">
        <v>3880</v>
      </c>
      <c r="AB242" s="27" t="s">
        <v>86</v>
      </c>
      <c r="AC242" s="23" t="s">
        <v>664</v>
      </c>
    </row>
    <row r="243" customFormat="false" ht="19.5" hidden="false" customHeight="true" outlineLevel="0" collapsed="false">
      <c r="A243" s="25" t="s">
        <v>4072</v>
      </c>
      <c r="B243" s="25" t="s">
        <v>377</v>
      </c>
      <c r="C243" s="12" t="s">
        <v>378</v>
      </c>
      <c r="D243" s="12" t="s">
        <v>379</v>
      </c>
      <c r="E243" s="12" t="s">
        <v>219</v>
      </c>
      <c r="F243" s="25" t="s">
        <v>680</v>
      </c>
      <c r="G243" s="25" t="n">
        <v>2016</v>
      </c>
      <c r="H243" s="25" t="n">
        <v>5</v>
      </c>
      <c r="I243" s="25" t="s">
        <v>3879</v>
      </c>
      <c r="J243" s="18" t="n">
        <v>1</v>
      </c>
      <c r="K243" s="14" t="n">
        <v>5.55</v>
      </c>
      <c r="L243" s="29"/>
      <c r="M243" s="14" t="n">
        <v>5.4</v>
      </c>
      <c r="N243" s="29"/>
      <c r="O243" s="32" t="n">
        <v>0.15</v>
      </c>
      <c r="P243" s="14" t="n">
        <v>5.55</v>
      </c>
      <c r="Q243" s="25" t="n">
        <v>1</v>
      </c>
      <c r="R243" s="25" t="n">
        <v>1</v>
      </c>
      <c r="S243" s="25" t="n">
        <v>1</v>
      </c>
      <c r="T243" s="25" t="n">
        <v>1</v>
      </c>
      <c r="U243" s="29"/>
      <c r="V243" s="29"/>
      <c r="W243" s="29"/>
      <c r="X243" s="29"/>
      <c r="Y243" s="29"/>
      <c r="Z243" s="25" t="s">
        <v>3836</v>
      </c>
      <c r="AA243" s="12" t="s">
        <v>3880</v>
      </c>
      <c r="AB243" s="25" t="s">
        <v>86</v>
      </c>
      <c r="AC243" s="22" t="s">
        <v>681</v>
      </c>
    </row>
    <row r="244" customFormat="false" ht="19.5" hidden="false" customHeight="true" outlineLevel="0" collapsed="false">
      <c r="A244" s="27" t="s">
        <v>4073</v>
      </c>
      <c r="B244" s="27" t="s">
        <v>377</v>
      </c>
      <c r="C244" s="9" t="s">
        <v>378</v>
      </c>
      <c r="D244" s="9" t="s">
        <v>379</v>
      </c>
      <c r="E244" s="9" t="s">
        <v>219</v>
      </c>
      <c r="F244" s="27" t="s">
        <v>696</v>
      </c>
      <c r="G244" s="27" t="n">
        <v>2016</v>
      </c>
      <c r="H244" s="27" t="n">
        <v>5</v>
      </c>
      <c r="I244" s="27" t="s">
        <v>3879</v>
      </c>
      <c r="J244" s="20" t="n">
        <v>1</v>
      </c>
      <c r="K244" s="11" t="n">
        <v>5.55</v>
      </c>
      <c r="L244" s="30"/>
      <c r="M244" s="11" t="n">
        <v>5.55</v>
      </c>
      <c r="N244" s="11" t="n">
        <v>5.4</v>
      </c>
      <c r="O244" s="31" t="n">
        <v>0</v>
      </c>
      <c r="P244" s="11" t="n">
        <v>5.7</v>
      </c>
      <c r="Q244" s="27" t="n">
        <v>1</v>
      </c>
      <c r="R244" s="27" t="n">
        <v>1</v>
      </c>
      <c r="S244" s="27" t="n">
        <v>1</v>
      </c>
      <c r="T244" s="27" t="n">
        <v>1</v>
      </c>
      <c r="U244" s="30"/>
      <c r="V244" s="30"/>
      <c r="W244" s="30"/>
      <c r="X244" s="30"/>
      <c r="Y244" s="30"/>
      <c r="Z244" s="27" t="s">
        <v>3836</v>
      </c>
      <c r="AA244" s="9" t="s">
        <v>3880</v>
      </c>
      <c r="AB244" s="27" t="s">
        <v>86</v>
      </c>
      <c r="AC244" s="23" t="s">
        <v>697</v>
      </c>
    </row>
    <row r="245" customFormat="false" ht="19.5" hidden="false" customHeight="true" outlineLevel="0" collapsed="false">
      <c r="A245" s="25" t="s">
        <v>4074</v>
      </c>
      <c r="B245" s="25" t="s">
        <v>377</v>
      </c>
      <c r="C245" s="12" t="s">
        <v>378</v>
      </c>
      <c r="D245" s="12" t="s">
        <v>379</v>
      </c>
      <c r="E245" s="12" t="s">
        <v>219</v>
      </c>
      <c r="F245" s="25" t="s">
        <v>712</v>
      </c>
      <c r="G245" s="25" t="n">
        <v>2016</v>
      </c>
      <c r="H245" s="25" t="n">
        <v>5</v>
      </c>
      <c r="I245" s="25" t="s">
        <v>3879</v>
      </c>
      <c r="J245" s="18" t="n">
        <v>1</v>
      </c>
      <c r="K245" s="14" t="n">
        <v>5.7</v>
      </c>
      <c r="L245" s="29"/>
      <c r="M245" s="14" t="n">
        <v>5.55</v>
      </c>
      <c r="N245" s="14" t="n">
        <v>5.55</v>
      </c>
      <c r="O245" s="32" t="n">
        <v>0.15</v>
      </c>
      <c r="P245" s="14" t="n">
        <v>6</v>
      </c>
      <c r="Q245" s="25" t="n">
        <v>1</v>
      </c>
      <c r="R245" s="25" t="n">
        <v>1</v>
      </c>
      <c r="S245" s="25" t="n">
        <v>1</v>
      </c>
      <c r="T245" s="25" t="n">
        <v>1</v>
      </c>
      <c r="U245" s="29"/>
      <c r="V245" s="29"/>
      <c r="W245" s="29"/>
      <c r="X245" s="29"/>
      <c r="Y245" s="29"/>
      <c r="Z245" s="25" t="s">
        <v>3836</v>
      </c>
      <c r="AA245" s="12" t="s">
        <v>3880</v>
      </c>
      <c r="AB245" s="25" t="s">
        <v>86</v>
      </c>
      <c r="AC245" s="22" t="s">
        <v>713</v>
      </c>
    </row>
    <row r="246" customFormat="false" ht="19.5" hidden="false" customHeight="true" outlineLevel="0" collapsed="false">
      <c r="A246" s="27" t="s">
        <v>4075</v>
      </c>
      <c r="B246" s="27" t="s">
        <v>377</v>
      </c>
      <c r="C246" s="9" t="s">
        <v>378</v>
      </c>
      <c r="D246" s="9" t="s">
        <v>379</v>
      </c>
      <c r="E246" s="9" t="s">
        <v>219</v>
      </c>
      <c r="F246" s="27" t="s">
        <v>728</v>
      </c>
      <c r="G246" s="27" t="n">
        <v>2016</v>
      </c>
      <c r="H246" s="27" t="n">
        <v>5</v>
      </c>
      <c r="I246" s="27" t="s">
        <v>3879</v>
      </c>
      <c r="J246" s="20" t="n">
        <v>1</v>
      </c>
      <c r="K246" s="11" t="n">
        <v>6</v>
      </c>
      <c r="L246" s="30"/>
      <c r="M246" s="11" t="n">
        <v>5.7</v>
      </c>
      <c r="N246" s="11" t="n">
        <v>5.55</v>
      </c>
      <c r="O246" s="31" t="n">
        <v>0.3</v>
      </c>
      <c r="P246" s="30"/>
      <c r="Q246" s="27" t="n">
        <v>1</v>
      </c>
      <c r="R246" s="27" t="n">
        <v>1</v>
      </c>
      <c r="S246" s="27" t="n">
        <v>1</v>
      </c>
      <c r="T246" s="27" t="n">
        <v>1</v>
      </c>
      <c r="U246" s="30"/>
      <c r="V246" s="30"/>
      <c r="W246" s="30"/>
      <c r="X246" s="30"/>
      <c r="Y246" s="30"/>
      <c r="Z246" s="27" t="s">
        <v>3836</v>
      </c>
      <c r="AA246" s="9" t="s">
        <v>3880</v>
      </c>
      <c r="AB246" s="27" t="s">
        <v>86</v>
      </c>
      <c r="AC246" s="23" t="s">
        <v>729</v>
      </c>
    </row>
    <row r="247" customFormat="false" ht="19.5" hidden="false" customHeight="true" outlineLevel="0" collapsed="false">
      <c r="A247" s="25" t="s">
        <v>4076</v>
      </c>
      <c r="B247" s="25" t="s">
        <v>377</v>
      </c>
      <c r="C247" s="12" t="s">
        <v>378</v>
      </c>
      <c r="D247" s="12" t="s">
        <v>379</v>
      </c>
      <c r="E247" s="12" t="s">
        <v>219</v>
      </c>
      <c r="F247" s="25" t="s">
        <v>744</v>
      </c>
      <c r="G247" s="25" t="n">
        <v>2020</v>
      </c>
      <c r="H247" s="25" t="n">
        <v>2</v>
      </c>
      <c r="I247" s="25" t="s">
        <v>3879</v>
      </c>
      <c r="J247" s="18" t="n">
        <v>1</v>
      </c>
      <c r="K247" s="14" t="n">
        <v>6.02</v>
      </c>
      <c r="L247" s="29"/>
      <c r="M247" s="29"/>
      <c r="N247" s="29"/>
      <c r="O247" s="29"/>
      <c r="P247" s="29"/>
      <c r="Q247" s="25" t="n">
        <v>1</v>
      </c>
      <c r="R247" s="25" t="n">
        <v>1</v>
      </c>
      <c r="S247" s="25" t="n">
        <v>1</v>
      </c>
      <c r="T247" s="25" t="n">
        <v>1</v>
      </c>
      <c r="U247" s="29"/>
      <c r="V247" s="29"/>
      <c r="W247" s="29"/>
      <c r="X247" s="29"/>
      <c r="Y247" s="29"/>
      <c r="Z247" s="25" t="s">
        <v>3836</v>
      </c>
      <c r="AA247" s="12" t="s">
        <v>3880</v>
      </c>
      <c r="AB247" s="25" t="s">
        <v>86</v>
      </c>
      <c r="AC247" s="22" t="s">
        <v>197</v>
      </c>
    </row>
    <row r="248" customFormat="false" ht="19.5" hidden="false" customHeight="true" outlineLevel="0" collapsed="false">
      <c r="A248" s="27" t="s">
        <v>4077</v>
      </c>
      <c r="B248" s="27" t="s">
        <v>377</v>
      </c>
      <c r="C248" s="9" t="s">
        <v>378</v>
      </c>
      <c r="D248" s="9" t="s">
        <v>379</v>
      </c>
      <c r="E248" s="9" t="s">
        <v>219</v>
      </c>
      <c r="F248" s="27" t="s">
        <v>764</v>
      </c>
      <c r="G248" s="27" t="n">
        <v>2020</v>
      </c>
      <c r="H248" s="27" t="n">
        <v>5</v>
      </c>
      <c r="I248" s="27" t="s">
        <v>3879</v>
      </c>
      <c r="J248" s="20" t="n">
        <v>1</v>
      </c>
      <c r="K248" s="11" t="n">
        <v>8.2</v>
      </c>
      <c r="L248" s="30"/>
      <c r="M248" s="30"/>
      <c r="N248" s="30"/>
      <c r="O248" s="30"/>
      <c r="P248" s="11" t="n">
        <v>7</v>
      </c>
      <c r="Q248" s="27" t="n">
        <v>1</v>
      </c>
      <c r="R248" s="27" t="n">
        <v>1</v>
      </c>
      <c r="S248" s="27" t="n">
        <v>1</v>
      </c>
      <c r="T248" s="27" t="n">
        <v>1</v>
      </c>
      <c r="U248" s="30"/>
      <c r="V248" s="30"/>
      <c r="W248" s="30"/>
      <c r="X248" s="30"/>
      <c r="Y248" s="30"/>
      <c r="Z248" s="27" t="s">
        <v>3836</v>
      </c>
      <c r="AA248" s="9" t="s">
        <v>3880</v>
      </c>
      <c r="AB248" s="27" t="s">
        <v>86</v>
      </c>
      <c r="AC248" s="23" t="s">
        <v>664</v>
      </c>
    </row>
    <row r="249" customFormat="false" ht="19.5" hidden="false" customHeight="true" outlineLevel="0" collapsed="false">
      <c r="A249" s="25" t="s">
        <v>4078</v>
      </c>
      <c r="B249" s="25" t="s">
        <v>377</v>
      </c>
      <c r="C249" s="12" t="s">
        <v>378</v>
      </c>
      <c r="D249" s="12" t="s">
        <v>379</v>
      </c>
      <c r="E249" s="12" t="s">
        <v>219</v>
      </c>
      <c r="F249" s="25" t="s">
        <v>777</v>
      </c>
      <c r="G249" s="25" t="n">
        <v>2020</v>
      </c>
      <c r="H249" s="25" t="n">
        <v>5</v>
      </c>
      <c r="I249" s="25" t="s">
        <v>3879</v>
      </c>
      <c r="J249" s="18" t="n">
        <v>1</v>
      </c>
      <c r="K249" s="14" t="n">
        <v>7</v>
      </c>
      <c r="L249" s="29"/>
      <c r="M249" s="14" t="n">
        <v>8.2</v>
      </c>
      <c r="N249" s="29"/>
      <c r="O249" s="32" t="n">
        <v>-1.2</v>
      </c>
      <c r="P249" s="14" t="n">
        <v>6.4</v>
      </c>
      <c r="Q249" s="25" t="n">
        <v>1</v>
      </c>
      <c r="R249" s="25" t="n">
        <v>1</v>
      </c>
      <c r="S249" s="25" t="n">
        <v>1</v>
      </c>
      <c r="T249" s="25" t="n">
        <v>1</v>
      </c>
      <c r="U249" s="29"/>
      <c r="V249" s="29"/>
      <c r="W249" s="29"/>
      <c r="X249" s="29"/>
      <c r="Y249" s="29"/>
      <c r="Z249" s="25" t="s">
        <v>3836</v>
      </c>
      <c r="AA249" s="12" t="s">
        <v>3880</v>
      </c>
      <c r="AB249" s="25" t="s">
        <v>86</v>
      </c>
      <c r="AC249" s="22" t="s">
        <v>681</v>
      </c>
    </row>
    <row r="250" customFormat="false" ht="19.5" hidden="false" customHeight="true" outlineLevel="0" collapsed="false">
      <c r="A250" s="27" t="s">
        <v>4079</v>
      </c>
      <c r="B250" s="27" t="s">
        <v>377</v>
      </c>
      <c r="C250" s="9" t="s">
        <v>378</v>
      </c>
      <c r="D250" s="9" t="s">
        <v>379</v>
      </c>
      <c r="E250" s="9" t="s">
        <v>219</v>
      </c>
      <c r="F250" s="27" t="s">
        <v>790</v>
      </c>
      <c r="G250" s="27" t="n">
        <v>2020</v>
      </c>
      <c r="H250" s="27" t="n">
        <v>5</v>
      </c>
      <c r="I250" s="27" t="s">
        <v>3879</v>
      </c>
      <c r="J250" s="20" t="n">
        <v>1</v>
      </c>
      <c r="K250" s="11" t="n">
        <v>6.4</v>
      </c>
      <c r="L250" s="30"/>
      <c r="M250" s="11" t="n">
        <v>7</v>
      </c>
      <c r="N250" s="11" t="n">
        <v>8.2</v>
      </c>
      <c r="O250" s="31" t="n">
        <v>-0.6</v>
      </c>
      <c r="P250" s="11" t="n">
        <v>6.2</v>
      </c>
      <c r="Q250" s="27" t="n">
        <v>1</v>
      </c>
      <c r="R250" s="27" t="n">
        <v>1</v>
      </c>
      <c r="S250" s="27" t="n">
        <v>1</v>
      </c>
      <c r="T250" s="27" t="n">
        <v>1</v>
      </c>
      <c r="U250" s="30"/>
      <c r="V250" s="30"/>
      <c r="W250" s="30"/>
      <c r="X250" s="30"/>
      <c r="Y250" s="30"/>
      <c r="Z250" s="27" t="s">
        <v>3836</v>
      </c>
      <c r="AA250" s="9" t="s">
        <v>3880</v>
      </c>
      <c r="AB250" s="27" t="s">
        <v>86</v>
      </c>
      <c r="AC250" s="23" t="s">
        <v>697</v>
      </c>
    </row>
    <row r="251" customFormat="false" ht="19.5" hidden="false" customHeight="true" outlineLevel="0" collapsed="false">
      <c r="A251" s="25" t="s">
        <v>4080</v>
      </c>
      <c r="B251" s="25" t="s">
        <v>377</v>
      </c>
      <c r="C251" s="12" t="s">
        <v>378</v>
      </c>
      <c r="D251" s="12" t="s">
        <v>379</v>
      </c>
      <c r="E251" s="12" t="s">
        <v>219</v>
      </c>
      <c r="F251" s="25" t="s">
        <v>803</v>
      </c>
      <c r="G251" s="25" t="n">
        <v>2020</v>
      </c>
      <c r="H251" s="25" t="n">
        <v>5</v>
      </c>
      <c r="I251" s="25" t="s">
        <v>3879</v>
      </c>
      <c r="J251" s="18" t="n">
        <v>1</v>
      </c>
      <c r="K251" s="14" t="n">
        <v>6.2</v>
      </c>
      <c r="L251" s="29"/>
      <c r="M251" s="14" t="n">
        <v>6.4</v>
      </c>
      <c r="N251" s="14" t="n">
        <v>7</v>
      </c>
      <c r="O251" s="32" t="n">
        <v>-0.2</v>
      </c>
      <c r="P251" s="14" t="n">
        <v>5.8</v>
      </c>
      <c r="Q251" s="25" t="n">
        <v>1</v>
      </c>
      <c r="R251" s="25" t="n">
        <v>1</v>
      </c>
      <c r="S251" s="25" t="n">
        <v>1</v>
      </c>
      <c r="T251" s="25" t="n">
        <v>1</v>
      </c>
      <c r="U251" s="29"/>
      <c r="V251" s="29"/>
      <c r="W251" s="29"/>
      <c r="X251" s="29"/>
      <c r="Y251" s="29"/>
      <c r="Z251" s="25" t="s">
        <v>3836</v>
      </c>
      <c r="AA251" s="12" t="s">
        <v>3880</v>
      </c>
      <c r="AB251" s="25" t="s">
        <v>86</v>
      </c>
      <c r="AC251" s="22" t="s">
        <v>713</v>
      </c>
    </row>
    <row r="252" customFormat="false" ht="19.5" hidden="false" customHeight="true" outlineLevel="0" collapsed="false">
      <c r="A252" s="27" t="s">
        <v>4081</v>
      </c>
      <c r="B252" s="27" t="s">
        <v>377</v>
      </c>
      <c r="C252" s="9" t="s">
        <v>378</v>
      </c>
      <c r="D252" s="9" t="s">
        <v>379</v>
      </c>
      <c r="E252" s="9" t="s">
        <v>219</v>
      </c>
      <c r="F252" s="27" t="s">
        <v>816</v>
      </c>
      <c r="G252" s="27" t="n">
        <v>2020</v>
      </c>
      <c r="H252" s="27" t="n">
        <v>5</v>
      </c>
      <c r="I252" s="27" t="s">
        <v>3879</v>
      </c>
      <c r="J252" s="20" t="n">
        <v>1</v>
      </c>
      <c r="K252" s="11" t="n">
        <v>5.8</v>
      </c>
      <c r="L252" s="30"/>
      <c r="M252" s="11" t="n">
        <v>6.2</v>
      </c>
      <c r="N252" s="11" t="n">
        <v>6.4</v>
      </c>
      <c r="O252" s="31" t="n">
        <v>-0.4</v>
      </c>
      <c r="P252" s="30"/>
      <c r="Q252" s="27" t="n">
        <v>1</v>
      </c>
      <c r="R252" s="27" t="n">
        <v>1</v>
      </c>
      <c r="S252" s="27" t="n">
        <v>1</v>
      </c>
      <c r="T252" s="27" t="n">
        <v>1</v>
      </c>
      <c r="U252" s="30"/>
      <c r="V252" s="30"/>
      <c r="W252" s="30"/>
      <c r="X252" s="30"/>
      <c r="Y252" s="30"/>
      <c r="Z252" s="27" t="s">
        <v>3836</v>
      </c>
      <c r="AA252" s="9" t="s">
        <v>3880</v>
      </c>
      <c r="AB252" s="27" t="s">
        <v>86</v>
      </c>
      <c r="AC252" s="23" t="s">
        <v>729</v>
      </c>
    </row>
    <row r="253" customFormat="false" ht="19.5" hidden="false" customHeight="true" outlineLevel="0" collapsed="false">
      <c r="A253" s="25" t="s">
        <v>4082</v>
      </c>
      <c r="B253" s="25" t="s">
        <v>377</v>
      </c>
      <c r="C253" s="12" t="s">
        <v>378</v>
      </c>
      <c r="D253" s="12" t="s">
        <v>379</v>
      </c>
      <c r="E253" s="12" t="s">
        <v>219</v>
      </c>
      <c r="F253" s="25" t="s">
        <v>975</v>
      </c>
      <c r="G253" s="25" t="n">
        <v>2025</v>
      </c>
      <c r="H253" s="25" t="n">
        <v>2</v>
      </c>
      <c r="I253" s="25" t="s">
        <v>3879</v>
      </c>
      <c r="J253" s="18" t="n">
        <v>1</v>
      </c>
      <c r="K253" s="14" t="n">
        <v>4.43</v>
      </c>
      <c r="L253" s="29"/>
      <c r="M253" s="29"/>
      <c r="N253" s="29"/>
      <c r="O253" s="29"/>
      <c r="P253" s="29"/>
      <c r="Q253" s="25" t="n">
        <v>1</v>
      </c>
      <c r="R253" s="25" t="n">
        <v>1</v>
      </c>
      <c r="S253" s="25" t="n">
        <v>1</v>
      </c>
      <c r="T253" s="25" t="n">
        <v>1</v>
      </c>
      <c r="U253" s="29"/>
      <c r="V253" s="29"/>
      <c r="W253" s="29"/>
      <c r="X253" s="29"/>
      <c r="Y253" s="29"/>
      <c r="Z253" s="25" t="s">
        <v>3836</v>
      </c>
      <c r="AA253" s="12" t="s">
        <v>3887</v>
      </c>
      <c r="AB253" s="25" t="s">
        <v>86</v>
      </c>
      <c r="AC253" s="22" t="s">
        <v>197</v>
      </c>
    </row>
    <row r="254" customFormat="false" ht="19.5" hidden="false" customHeight="true" outlineLevel="0" collapsed="false">
      <c r="A254" s="27" t="s">
        <v>4083</v>
      </c>
      <c r="B254" s="27" t="s">
        <v>377</v>
      </c>
      <c r="C254" s="9" t="s">
        <v>378</v>
      </c>
      <c r="D254" s="9" t="s">
        <v>379</v>
      </c>
      <c r="E254" s="9" t="s">
        <v>219</v>
      </c>
      <c r="F254" s="27" t="s">
        <v>1102</v>
      </c>
      <c r="G254" s="27" t="n">
        <v>2025</v>
      </c>
      <c r="H254" s="27" t="n">
        <v>5</v>
      </c>
      <c r="I254" s="27" t="s">
        <v>3879</v>
      </c>
      <c r="J254" s="20" t="n">
        <v>1</v>
      </c>
      <c r="K254" s="11" t="n">
        <v>5.44</v>
      </c>
      <c r="L254" s="30"/>
      <c r="M254" s="30"/>
      <c r="N254" s="30"/>
      <c r="O254" s="30"/>
      <c r="P254" s="11" t="n">
        <v>4.43</v>
      </c>
      <c r="Q254" s="27" t="n">
        <v>1</v>
      </c>
      <c r="R254" s="27" t="n">
        <v>1</v>
      </c>
      <c r="S254" s="27" t="n">
        <v>1</v>
      </c>
      <c r="T254" s="27" t="n">
        <v>1</v>
      </c>
      <c r="U254" s="30"/>
      <c r="V254" s="30"/>
      <c r="W254" s="30"/>
      <c r="X254" s="30"/>
      <c r="Y254" s="30"/>
      <c r="Z254" s="27" t="s">
        <v>3836</v>
      </c>
      <c r="AA254" s="9" t="s">
        <v>3887</v>
      </c>
      <c r="AB254" s="27" t="s">
        <v>86</v>
      </c>
      <c r="AC254" s="23" t="s">
        <v>664</v>
      </c>
    </row>
    <row r="255" customFormat="false" ht="19.5" hidden="false" customHeight="true" outlineLevel="0" collapsed="false">
      <c r="A255" s="25" t="s">
        <v>4084</v>
      </c>
      <c r="B255" s="25" t="s">
        <v>377</v>
      </c>
      <c r="C255" s="12" t="s">
        <v>378</v>
      </c>
      <c r="D255" s="12" t="s">
        <v>379</v>
      </c>
      <c r="E255" s="12" t="s">
        <v>219</v>
      </c>
      <c r="F255" s="25" t="s">
        <v>1117</v>
      </c>
      <c r="G255" s="25" t="n">
        <v>2025</v>
      </c>
      <c r="H255" s="25" t="n">
        <v>5</v>
      </c>
      <c r="I255" s="25" t="s">
        <v>3879</v>
      </c>
      <c r="J255" s="18" t="n">
        <v>1</v>
      </c>
      <c r="K255" s="14" t="n">
        <v>4.43</v>
      </c>
      <c r="L255" s="29"/>
      <c r="M255" s="14" t="n">
        <v>5.44</v>
      </c>
      <c r="N255" s="29"/>
      <c r="O255" s="32" t="n">
        <v>-1.01</v>
      </c>
      <c r="P255" s="14" t="n">
        <v>7.35</v>
      </c>
      <c r="Q255" s="25" t="n">
        <v>1</v>
      </c>
      <c r="R255" s="25" t="n">
        <v>1</v>
      </c>
      <c r="S255" s="25" t="n">
        <v>1</v>
      </c>
      <c r="T255" s="25" t="n">
        <v>1</v>
      </c>
      <c r="U255" s="29"/>
      <c r="V255" s="29"/>
      <c r="W255" s="29"/>
      <c r="X255" s="29"/>
      <c r="Y255" s="29"/>
      <c r="Z255" s="25" t="s">
        <v>3836</v>
      </c>
      <c r="AA255" s="12" t="s">
        <v>3887</v>
      </c>
      <c r="AB255" s="25" t="s">
        <v>86</v>
      </c>
      <c r="AC255" s="22" t="s">
        <v>681</v>
      </c>
    </row>
    <row r="256" customFormat="false" ht="19.5" hidden="false" customHeight="true" outlineLevel="0" collapsed="false">
      <c r="A256" s="27" t="s">
        <v>4085</v>
      </c>
      <c r="B256" s="27" t="s">
        <v>377</v>
      </c>
      <c r="C256" s="9" t="s">
        <v>378</v>
      </c>
      <c r="D256" s="9" t="s">
        <v>379</v>
      </c>
      <c r="E256" s="9" t="s">
        <v>219</v>
      </c>
      <c r="F256" s="27" t="s">
        <v>1132</v>
      </c>
      <c r="G256" s="27" t="n">
        <v>2025</v>
      </c>
      <c r="H256" s="27" t="n">
        <v>5</v>
      </c>
      <c r="I256" s="27" t="s">
        <v>3879</v>
      </c>
      <c r="J256" s="20" t="n">
        <v>1</v>
      </c>
      <c r="K256" s="11" t="n">
        <v>7.35</v>
      </c>
      <c r="L256" s="30"/>
      <c r="M256" s="11" t="n">
        <v>4.43</v>
      </c>
      <c r="N256" s="11" t="n">
        <v>5.44</v>
      </c>
      <c r="O256" s="31" t="n">
        <v>2.92</v>
      </c>
      <c r="P256" s="11" t="n">
        <v>8.06</v>
      </c>
      <c r="Q256" s="27" t="n">
        <v>1</v>
      </c>
      <c r="R256" s="27" t="n">
        <v>1</v>
      </c>
      <c r="S256" s="27" t="n">
        <v>1</v>
      </c>
      <c r="T256" s="27" t="n">
        <v>1</v>
      </c>
      <c r="U256" s="30"/>
      <c r="V256" s="30"/>
      <c r="W256" s="30"/>
      <c r="X256" s="30"/>
      <c r="Y256" s="30"/>
      <c r="Z256" s="27" t="s">
        <v>3836</v>
      </c>
      <c r="AA256" s="9" t="s">
        <v>3887</v>
      </c>
      <c r="AB256" s="27" t="s">
        <v>86</v>
      </c>
      <c r="AC256" s="23" t="s">
        <v>697</v>
      </c>
    </row>
    <row r="257" customFormat="false" ht="19.5" hidden="false" customHeight="true" outlineLevel="0" collapsed="false">
      <c r="A257" s="25" t="s">
        <v>4086</v>
      </c>
      <c r="B257" s="25" t="s">
        <v>377</v>
      </c>
      <c r="C257" s="12" t="s">
        <v>378</v>
      </c>
      <c r="D257" s="12" t="s">
        <v>379</v>
      </c>
      <c r="E257" s="12" t="s">
        <v>219</v>
      </c>
      <c r="F257" s="25" t="s">
        <v>1147</v>
      </c>
      <c r="G257" s="25" t="n">
        <v>2025</v>
      </c>
      <c r="H257" s="25" t="n">
        <v>5</v>
      </c>
      <c r="I257" s="25" t="s">
        <v>3879</v>
      </c>
      <c r="J257" s="18" t="n">
        <v>1</v>
      </c>
      <c r="K257" s="14" t="n">
        <v>8.06</v>
      </c>
      <c r="L257" s="29"/>
      <c r="M257" s="14" t="n">
        <v>7.35</v>
      </c>
      <c r="N257" s="14" t="n">
        <v>4.43</v>
      </c>
      <c r="O257" s="32" t="n">
        <v>0.71</v>
      </c>
      <c r="P257" s="14" t="n">
        <v>8.7</v>
      </c>
      <c r="Q257" s="25" t="n">
        <v>1</v>
      </c>
      <c r="R257" s="25" t="n">
        <v>1</v>
      </c>
      <c r="S257" s="25" t="n">
        <v>1</v>
      </c>
      <c r="T257" s="25" t="n">
        <v>1</v>
      </c>
      <c r="U257" s="29"/>
      <c r="V257" s="29"/>
      <c r="W257" s="29"/>
      <c r="X257" s="29"/>
      <c r="Y257" s="29"/>
      <c r="Z257" s="25" t="s">
        <v>3836</v>
      </c>
      <c r="AA257" s="12" t="s">
        <v>3887</v>
      </c>
      <c r="AB257" s="25" t="s">
        <v>86</v>
      </c>
      <c r="AC257" s="22" t="s">
        <v>713</v>
      </c>
    </row>
    <row r="258" customFormat="false" ht="19.5" hidden="false" customHeight="true" outlineLevel="0" collapsed="false">
      <c r="A258" s="27" t="s">
        <v>4087</v>
      </c>
      <c r="B258" s="27" t="s">
        <v>377</v>
      </c>
      <c r="C258" s="9" t="s">
        <v>378</v>
      </c>
      <c r="D258" s="9" t="s">
        <v>379</v>
      </c>
      <c r="E258" s="9" t="s">
        <v>219</v>
      </c>
      <c r="F258" s="27" t="s">
        <v>1162</v>
      </c>
      <c r="G258" s="27" t="n">
        <v>2025</v>
      </c>
      <c r="H258" s="27" t="n">
        <v>5</v>
      </c>
      <c r="I258" s="27" t="s">
        <v>3879</v>
      </c>
      <c r="J258" s="20" t="n">
        <v>1</v>
      </c>
      <c r="K258" s="11" t="n">
        <v>8.7</v>
      </c>
      <c r="L258" s="30"/>
      <c r="M258" s="11" t="n">
        <v>8.06</v>
      </c>
      <c r="N258" s="11" t="n">
        <v>7.35</v>
      </c>
      <c r="O258" s="31" t="n">
        <v>0.64</v>
      </c>
      <c r="P258" s="30"/>
      <c r="Q258" s="27" t="n">
        <v>1</v>
      </c>
      <c r="R258" s="27" t="n">
        <v>1</v>
      </c>
      <c r="S258" s="27" t="n">
        <v>1</v>
      </c>
      <c r="T258" s="27" t="n">
        <v>1</v>
      </c>
      <c r="U258" s="30"/>
      <c r="V258" s="30"/>
      <c r="W258" s="30"/>
      <c r="X258" s="30"/>
      <c r="Y258" s="30"/>
      <c r="Z258" s="27" t="s">
        <v>3836</v>
      </c>
      <c r="AA258" s="9" t="s">
        <v>3887</v>
      </c>
      <c r="AB258" s="27" t="s">
        <v>86</v>
      </c>
      <c r="AC258" s="23" t="s">
        <v>729</v>
      </c>
    </row>
    <row r="259" customFormat="false" ht="19.5" hidden="false" customHeight="true" outlineLevel="0" collapsed="false">
      <c r="A259" s="25" t="s">
        <v>4088</v>
      </c>
      <c r="B259" s="25" t="s">
        <v>377</v>
      </c>
      <c r="C259" s="12" t="s">
        <v>378</v>
      </c>
      <c r="D259" s="12" t="s">
        <v>379</v>
      </c>
      <c r="E259" s="12" t="s">
        <v>219</v>
      </c>
      <c r="F259" s="25" t="s">
        <v>1177</v>
      </c>
      <c r="G259" s="25" t="n">
        <v>2026</v>
      </c>
      <c r="H259" s="25" t="n">
        <v>2</v>
      </c>
      <c r="I259" s="25" t="s">
        <v>3879</v>
      </c>
      <c r="J259" s="18" t="n">
        <v>1</v>
      </c>
      <c r="K259" s="14" t="n">
        <v>3.43</v>
      </c>
      <c r="L259" s="29"/>
      <c r="M259" s="29"/>
      <c r="N259" s="29"/>
      <c r="O259" s="29"/>
      <c r="P259" s="14" t="n">
        <v>4.08</v>
      </c>
      <c r="Q259" s="25" t="n">
        <v>1</v>
      </c>
      <c r="R259" s="25" t="n">
        <v>1</v>
      </c>
      <c r="S259" s="25" t="n">
        <v>1</v>
      </c>
      <c r="T259" s="25" t="n">
        <v>1</v>
      </c>
      <c r="U259" s="29"/>
      <c r="V259" s="29"/>
      <c r="W259" s="29"/>
      <c r="X259" s="14" t="n">
        <v>0.51</v>
      </c>
      <c r="Y259" s="29"/>
      <c r="Z259" s="25" t="s">
        <v>3836</v>
      </c>
      <c r="AA259" s="12" t="s">
        <v>3894</v>
      </c>
      <c r="AB259" s="25" t="s">
        <v>86</v>
      </c>
      <c r="AC259" s="22" t="s">
        <v>197</v>
      </c>
    </row>
    <row r="260" customFormat="false" ht="19.5" hidden="false" customHeight="true" outlineLevel="0" collapsed="false">
      <c r="A260" s="27" t="s">
        <v>4089</v>
      </c>
      <c r="B260" s="27" t="s">
        <v>377</v>
      </c>
      <c r="C260" s="9" t="s">
        <v>378</v>
      </c>
      <c r="D260" s="9" t="s">
        <v>379</v>
      </c>
      <c r="E260" s="9" t="s">
        <v>219</v>
      </c>
      <c r="F260" s="27" t="s">
        <v>1194</v>
      </c>
      <c r="G260" s="27" t="n">
        <v>2026</v>
      </c>
      <c r="H260" s="27" t="n">
        <v>2</v>
      </c>
      <c r="I260" s="27" t="s">
        <v>3879</v>
      </c>
      <c r="J260" s="20" t="n">
        <v>1</v>
      </c>
      <c r="K260" s="11" t="n">
        <v>4.08</v>
      </c>
      <c r="L260" s="30"/>
      <c r="M260" s="11" t="n">
        <v>3.43</v>
      </c>
      <c r="N260" s="30"/>
      <c r="O260" s="31" t="n">
        <v>0.65</v>
      </c>
      <c r="P260" s="30"/>
      <c r="Q260" s="27" t="n">
        <v>1</v>
      </c>
      <c r="R260" s="27" t="n">
        <v>1</v>
      </c>
      <c r="S260" s="27" t="n">
        <v>1</v>
      </c>
      <c r="T260" s="27" t="n">
        <v>1</v>
      </c>
      <c r="U260" s="11" t="n">
        <v>1.55</v>
      </c>
      <c r="V260" s="30"/>
      <c r="W260" s="30"/>
      <c r="X260" s="11" t="n">
        <v>0.485</v>
      </c>
      <c r="Y260" s="30"/>
      <c r="Z260" s="27" t="s">
        <v>2931</v>
      </c>
      <c r="AA260" s="9" t="s">
        <v>3894</v>
      </c>
      <c r="AB260" s="27" t="s">
        <v>86</v>
      </c>
      <c r="AC260" s="23" t="s">
        <v>197</v>
      </c>
    </row>
    <row r="261" customFormat="false" ht="19.5" hidden="false" customHeight="true" outlineLevel="0" collapsed="false">
      <c r="A261" s="25" t="s">
        <v>4090</v>
      </c>
      <c r="B261" s="25" t="s">
        <v>377</v>
      </c>
      <c r="C261" s="12" t="s">
        <v>378</v>
      </c>
      <c r="D261" s="12" t="s">
        <v>379</v>
      </c>
      <c r="E261" s="12" t="s">
        <v>219</v>
      </c>
      <c r="F261" s="25" t="s">
        <v>1231</v>
      </c>
      <c r="G261" s="25" t="n">
        <v>2026</v>
      </c>
      <c r="H261" s="25" t="n">
        <v>5</v>
      </c>
      <c r="I261" s="25" t="s">
        <v>3879</v>
      </c>
      <c r="J261" s="18" t="n">
        <v>1</v>
      </c>
      <c r="K261" s="14" t="n">
        <v>5.83</v>
      </c>
      <c r="L261" s="29"/>
      <c r="M261" s="29"/>
      <c r="N261" s="29"/>
      <c r="O261" s="29"/>
      <c r="P261" s="14" t="n">
        <v>6.58</v>
      </c>
      <c r="Q261" s="25" t="n">
        <v>1</v>
      </c>
      <c r="R261" s="25" t="n">
        <v>1</v>
      </c>
      <c r="S261" s="25" t="n">
        <v>1</v>
      </c>
      <c r="T261" s="25" t="n">
        <v>1</v>
      </c>
      <c r="U261" s="29"/>
      <c r="V261" s="29"/>
      <c r="W261" s="29"/>
      <c r="X261" s="14" t="n">
        <v>0.12</v>
      </c>
      <c r="Y261" s="29"/>
      <c r="Z261" s="25" t="s">
        <v>2939</v>
      </c>
      <c r="AA261" s="12" t="s">
        <v>3894</v>
      </c>
      <c r="AB261" s="25" t="s">
        <v>86</v>
      </c>
      <c r="AC261" s="22" t="s">
        <v>664</v>
      </c>
    </row>
    <row r="262" customFormat="false" ht="19.5" hidden="false" customHeight="true" outlineLevel="0" collapsed="false">
      <c r="A262" s="27" t="s">
        <v>4091</v>
      </c>
      <c r="B262" s="27" t="s">
        <v>377</v>
      </c>
      <c r="C262" s="9" t="s">
        <v>378</v>
      </c>
      <c r="D262" s="9" t="s">
        <v>379</v>
      </c>
      <c r="E262" s="9" t="s">
        <v>219</v>
      </c>
      <c r="F262" s="27" t="s">
        <v>1246</v>
      </c>
      <c r="G262" s="27" t="n">
        <v>2026</v>
      </c>
      <c r="H262" s="27" t="n">
        <v>5</v>
      </c>
      <c r="I262" s="27" t="s">
        <v>3879</v>
      </c>
      <c r="J262" s="20" t="n">
        <v>1</v>
      </c>
      <c r="K262" s="11" t="n">
        <v>6.58</v>
      </c>
      <c r="L262" s="30"/>
      <c r="M262" s="11" t="n">
        <v>5.83</v>
      </c>
      <c r="N262" s="30"/>
      <c r="O262" s="31" t="n">
        <v>0.75</v>
      </c>
      <c r="P262" s="11" t="n">
        <v>5.8</v>
      </c>
      <c r="Q262" s="27" t="n">
        <v>1</v>
      </c>
      <c r="R262" s="27" t="n">
        <v>1</v>
      </c>
      <c r="S262" s="27" t="n">
        <v>1</v>
      </c>
      <c r="T262" s="27" t="n">
        <v>1</v>
      </c>
      <c r="U262" s="30"/>
      <c r="V262" s="30"/>
      <c r="W262" s="30"/>
      <c r="X262" s="11" t="n">
        <v>0.13</v>
      </c>
      <c r="Y262" s="30"/>
      <c r="Z262" s="27" t="s">
        <v>2939</v>
      </c>
      <c r="AA262" s="9" t="s">
        <v>3894</v>
      </c>
      <c r="AB262" s="27" t="s">
        <v>86</v>
      </c>
      <c r="AC262" s="23" t="s">
        <v>664</v>
      </c>
    </row>
    <row r="263" customFormat="false" ht="19.5" hidden="false" customHeight="true" outlineLevel="0" collapsed="false">
      <c r="A263" s="25" t="s">
        <v>4092</v>
      </c>
      <c r="B263" s="25" t="s">
        <v>377</v>
      </c>
      <c r="C263" s="12" t="s">
        <v>378</v>
      </c>
      <c r="D263" s="12" t="s">
        <v>379</v>
      </c>
      <c r="E263" s="12" t="s">
        <v>219</v>
      </c>
      <c r="F263" s="25" t="s">
        <v>1261</v>
      </c>
      <c r="G263" s="25" t="n">
        <v>2026</v>
      </c>
      <c r="H263" s="25" t="n">
        <v>5</v>
      </c>
      <c r="I263" s="25" t="s">
        <v>3879</v>
      </c>
      <c r="J263" s="18" t="n">
        <v>1</v>
      </c>
      <c r="K263" s="14" t="n">
        <v>5.8</v>
      </c>
      <c r="L263" s="29"/>
      <c r="M263" s="14" t="n">
        <v>6.58</v>
      </c>
      <c r="N263" s="14" t="n">
        <v>5.83</v>
      </c>
      <c r="O263" s="32" t="n">
        <v>-0.78</v>
      </c>
      <c r="P263" s="14" t="n">
        <v>5.2</v>
      </c>
      <c r="Q263" s="25" t="n">
        <v>1</v>
      </c>
      <c r="R263" s="25" t="n">
        <v>1</v>
      </c>
      <c r="S263" s="25" t="n">
        <v>1</v>
      </c>
      <c r="T263" s="25" t="n">
        <v>1</v>
      </c>
      <c r="U263" s="29"/>
      <c r="V263" s="29"/>
      <c r="W263" s="29"/>
      <c r="X263" s="14" t="n">
        <v>0.145</v>
      </c>
      <c r="Y263" s="29"/>
      <c r="Z263" s="25" t="s">
        <v>2939</v>
      </c>
      <c r="AA263" s="12" t="s">
        <v>3894</v>
      </c>
      <c r="AB263" s="25" t="s">
        <v>86</v>
      </c>
      <c r="AC263" s="22" t="s">
        <v>681</v>
      </c>
    </row>
    <row r="264" customFormat="false" ht="19.5" hidden="false" customHeight="true" outlineLevel="0" collapsed="false">
      <c r="A264" s="27" t="s">
        <v>4093</v>
      </c>
      <c r="B264" s="27" t="s">
        <v>377</v>
      </c>
      <c r="C264" s="9" t="s">
        <v>378</v>
      </c>
      <c r="D264" s="9" t="s">
        <v>379</v>
      </c>
      <c r="E264" s="9" t="s">
        <v>219</v>
      </c>
      <c r="F264" s="27" t="s">
        <v>1276</v>
      </c>
      <c r="G264" s="27" t="n">
        <v>2026</v>
      </c>
      <c r="H264" s="27" t="n">
        <v>5</v>
      </c>
      <c r="I264" s="27" t="s">
        <v>3879</v>
      </c>
      <c r="J264" s="20" t="n">
        <v>1</v>
      </c>
      <c r="K264" s="11" t="n">
        <v>5.2</v>
      </c>
      <c r="L264" s="30"/>
      <c r="M264" s="11" t="n">
        <v>5.8</v>
      </c>
      <c r="N264" s="11" t="n">
        <v>6.58</v>
      </c>
      <c r="O264" s="31" t="n">
        <v>-0.6</v>
      </c>
      <c r="P264" s="11" t="n">
        <v>4.1</v>
      </c>
      <c r="Q264" s="27" t="n">
        <v>1</v>
      </c>
      <c r="R264" s="27" t="n">
        <v>1</v>
      </c>
      <c r="S264" s="27" t="n">
        <v>1</v>
      </c>
      <c r="T264" s="27" t="n">
        <v>1</v>
      </c>
      <c r="U264" s="30"/>
      <c r="V264" s="30"/>
      <c r="W264" s="30"/>
      <c r="X264" s="11" t="n">
        <v>0.16</v>
      </c>
      <c r="Y264" s="30"/>
      <c r="Z264" s="27" t="s">
        <v>2939</v>
      </c>
      <c r="AA264" s="9" t="s">
        <v>3894</v>
      </c>
      <c r="AB264" s="27" t="s">
        <v>86</v>
      </c>
      <c r="AC264" s="23" t="s">
        <v>697</v>
      </c>
    </row>
    <row r="265" customFormat="false" ht="19.5" hidden="false" customHeight="true" outlineLevel="0" collapsed="false">
      <c r="A265" s="25" t="s">
        <v>4094</v>
      </c>
      <c r="B265" s="25" t="s">
        <v>377</v>
      </c>
      <c r="C265" s="12" t="s">
        <v>378</v>
      </c>
      <c r="D265" s="12" t="s">
        <v>379</v>
      </c>
      <c r="E265" s="12" t="s">
        <v>219</v>
      </c>
      <c r="F265" s="25" t="s">
        <v>1291</v>
      </c>
      <c r="G265" s="25" t="n">
        <v>2026</v>
      </c>
      <c r="H265" s="25" t="n">
        <v>5</v>
      </c>
      <c r="I265" s="25" t="s">
        <v>3879</v>
      </c>
      <c r="J265" s="18" t="n">
        <v>1</v>
      </c>
      <c r="K265" s="14" t="n">
        <v>4.1</v>
      </c>
      <c r="L265" s="29"/>
      <c r="M265" s="14" t="n">
        <v>5.2</v>
      </c>
      <c r="N265" s="14" t="n">
        <v>5.8</v>
      </c>
      <c r="O265" s="32" t="n">
        <v>-1.1</v>
      </c>
      <c r="P265" s="14" t="n">
        <v>4.1</v>
      </c>
      <c r="Q265" s="25" t="n">
        <v>1</v>
      </c>
      <c r="R265" s="25" t="n">
        <v>1</v>
      </c>
      <c r="S265" s="25" t="n">
        <v>1</v>
      </c>
      <c r="T265" s="25" t="n">
        <v>1</v>
      </c>
      <c r="U265" s="29"/>
      <c r="V265" s="29"/>
      <c r="W265" s="29"/>
      <c r="X265" s="14" t="n">
        <v>0.18</v>
      </c>
      <c r="Y265" s="29"/>
      <c r="Z265" s="25" t="s">
        <v>2939</v>
      </c>
      <c r="AA265" s="12" t="s">
        <v>3894</v>
      </c>
      <c r="AB265" s="25" t="s">
        <v>86</v>
      </c>
      <c r="AC265" s="22" t="s">
        <v>713</v>
      </c>
    </row>
    <row r="266" customFormat="false" ht="19.5" hidden="false" customHeight="true" outlineLevel="0" collapsed="false">
      <c r="A266" s="27" t="s">
        <v>4095</v>
      </c>
      <c r="B266" s="27" t="s">
        <v>377</v>
      </c>
      <c r="C266" s="9" t="s">
        <v>378</v>
      </c>
      <c r="D266" s="9" t="s">
        <v>379</v>
      </c>
      <c r="E266" s="9" t="s">
        <v>219</v>
      </c>
      <c r="F266" s="27" t="s">
        <v>1306</v>
      </c>
      <c r="G266" s="27" t="n">
        <v>2026</v>
      </c>
      <c r="H266" s="27" t="n">
        <v>5</v>
      </c>
      <c r="I266" s="27" t="s">
        <v>3879</v>
      </c>
      <c r="J266" s="20" t="n">
        <v>1</v>
      </c>
      <c r="K266" s="11" t="n">
        <v>4.1</v>
      </c>
      <c r="L266" s="30"/>
      <c r="M266" s="11" t="n">
        <v>4.1</v>
      </c>
      <c r="N266" s="11" t="n">
        <v>5.2</v>
      </c>
      <c r="O266" s="31" t="n">
        <v>0</v>
      </c>
      <c r="P266" s="30"/>
      <c r="Q266" s="27" t="n">
        <v>1</v>
      </c>
      <c r="R266" s="27" t="n">
        <v>1</v>
      </c>
      <c r="S266" s="27" t="n">
        <v>1</v>
      </c>
      <c r="T266" s="27" t="n">
        <v>1</v>
      </c>
      <c r="U266" s="30"/>
      <c r="V266" s="30"/>
      <c r="W266" s="30"/>
      <c r="X266" s="11" t="n">
        <v>0.205</v>
      </c>
      <c r="Y266" s="30"/>
      <c r="Z266" s="27" t="s">
        <v>2939</v>
      </c>
      <c r="AA266" s="9" t="s">
        <v>3894</v>
      </c>
      <c r="AB266" s="27" t="s">
        <v>86</v>
      </c>
      <c r="AC266" s="23" t="s">
        <v>729</v>
      </c>
    </row>
    <row r="267" customFormat="false" ht="19.5" hidden="false" customHeight="true" outlineLevel="0" collapsed="false">
      <c r="A267" s="25" t="s">
        <v>4096</v>
      </c>
      <c r="B267" s="25" t="s">
        <v>377</v>
      </c>
      <c r="C267" s="12" t="s">
        <v>378</v>
      </c>
      <c r="D267" s="12" t="s">
        <v>379</v>
      </c>
      <c r="E267" s="12" t="s">
        <v>219</v>
      </c>
      <c r="F267" s="25" t="s">
        <v>1374</v>
      </c>
      <c r="G267" s="25" t="n">
        <v>2026</v>
      </c>
      <c r="H267" s="25" t="n">
        <v>9</v>
      </c>
      <c r="I267" s="25" t="s">
        <v>3827</v>
      </c>
      <c r="J267" s="18" t="n">
        <v>1</v>
      </c>
      <c r="K267" s="14" t="n">
        <v>0</v>
      </c>
      <c r="L267" s="14" t="n">
        <v>0</v>
      </c>
      <c r="M267" s="29"/>
      <c r="N267" s="29"/>
      <c r="O267" s="29"/>
      <c r="P267" s="14" t="n">
        <v>0</v>
      </c>
      <c r="Q267" s="25" t="n">
        <v>0</v>
      </c>
      <c r="R267" s="25" t="n">
        <v>0</v>
      </c>
      <c r="S267" s="25" t="n">
        <v>0</v>
      </c>
      <c r="T267" s="25" t="n">
        <v>0</v>
      </c>
      <c r="U267" s="14" t="n">
        <v>0.96</v>
      </c>
      <c r="V267" s="14" t="n">
        <v>-1.01</v>
      </c>
      <c r="W267" s="14" t="n">
        <v>1.97</v>
      </c>
      <c r="X267" s="14" t="n">
        <v>0.57</v>
      </c>
      <c r="Y267" s="13" t="n">
        <v>8.5</v>
      </c>
      <c r="Z267" s="25" t="s">
        <v>2961</v>
      </c>
      <c r="AA267" s="12" t="s">
        <v>3828</v>
      </c>
      <c r="AB267" s="25" t="s">
        <v>86</v>
      </c>
      <c r="AC267" s="22" t="s">
        <v>1326</v>
      </c>
    </row>
    <row r="268" customFormat="false" ht="19.5" hidden="false" customHeight="true" outlineLevel="0" collapsed="false">
      <c r="A268" s="27" t="s">
        <v>4097</v>
      </c>
      <c r="B268" s="27" t="s">
        <v>377</v>
      </c>
      <c r="C268" s="9" t="s">
        <v>378</v>
      </c>
      <c r="D268" s="9" t="s">
        <v>379</v>
      </c>
      <c r="E268" s="9" t="s">
        <v>219</v>
      </c>
      <c r="F268" s="27" t="s">
        <v>1400</v>
      </c>
      <c r="G268" s="27" t="n">
        <v>2026</v>
      </c>
      <c r="H268" s="27" t="n">
        <v>9</v>
      </c>
      <c r="I268" s="27" t="s">
        <v>3827</v>
      </c>
      <c r="J268" s="20" t="n">
        <v>1</v>
      </c>
      <c r="K268" s="11" t="n">
        <v>0</v>
      </c>
      <c r="L268" s="11" t="n">
        <v>0</v>
      </c>
      <c r="M268" s="11" t="n">
        <v>0</v>
      </c>
      <c r="N268" s="30"/>
      <c r="O268" s="31" t="n">
        <v>0</v>
      </c>
      <c r="P268" s="11" t="n">
        <v>0</v>
      </c>
      <c r="Q268" s="27" t="n">
        <v>0</v>
      </c>
      <c r="R268" s="27" t="n">
        <v>0</v>
      </c>
      <c r="S268" s="27" t="n">
        <v>0</v>
      </c>
      <c r="T268" s="27" t="n">
        <v>0</v>
      </c>
      <c r="U268" s="11" t="n">
        <v>0.3</v>
      </c>
      <c r="V268" s="11" t="n">
        <v>-0.98</v>
      </c>
      <c r="W268" s="11" t="n">
        <v>1.28</v>
      </c>
      <c r="X268" s="11" t="n">
        <v>0.55</v>
      </c>
      <c r="Y268" s="10" t="n">
        <v>2.2</v>
      </c>
      <c r="Z268" s="27" t="s">
        <v>2961</v>
      </c>
      <c r="AA268" s="9" t="s">
        <v>3828</v>
      </c>
      <c r="AB268" s="27" t="s">
        <v>86</v>
      </c>
      <c r="AC268" s="23" t="s">
        <v>1383</v>
      </c>
    </row>
    <row r="269" customFormat="false" ht="19.5" hidden="false" customHeight="true" outlineLevel="0" collapsed="false">
      <c r="A269" s="25" t="s">
        <v>4098</v>
      </c>
      <c r="B269" s="25" t="s">
        <v>377</v>
      </c>
      <c r="C269" s="12" t="s">
        <v>378</v>
      </c>
      <c r="D269" s="12" t="s">
        <v>379</v>
      </c>
      <c r="E269" s="12" t="s">
        <v>219</v>
      </c>
      <c r="F269" s="25" t="s">
        <v>1419</v>
      </c>
      <c r="G269" s="25" t="n">
        <v>2026</v>
      </c>
      <c r="H269" s="25" t="n">
        <v>9</v>
      </c>
      <c r="I269" s="25" t="s">
        <v>3827</v>
      </c>
      <c r="J269" s="18" t="n">
        <v>1</v>
      </c>
      <c r="K269" s="14" t="n">
        <v>0</v>
      </c>
      <c r="L269" s="14" t="n">
        <v>0</v>
      </c>
      <c r="M269" s="14" t="n">
        <v>0</v>
      </c>
      <c r="N269" s="14" t="n">
        <v>0</v>
      </c>
      <c r="O269" s="32" t="n">
        <v>0</v>
      </c>
      <c r="P269" s="29"/>
      <c r="Q269" s="25" t="n">
        <v>0</v>
      </c>
      <c r="R269" s="25" t="n">
        <v>0</v>
      </c>
      <c r="S269" s="25" t="n">
        <v>0</v>
      </c>
      <c r="T269" s="25" t="n">
        <v>0</v>
      </c>
      <c r="U269" s="14" t="n">
        <v>0.97</v>
      </c>
      <c r="V269" s="14" t="n">
        <v>0.97</v>
      </c>
      <c r="W269" s="14" t="n">
        <v>0</v>
      </c>
      <c r="X269" s="14" t="n">
        <v>0.38</v>
      </c>
      <c r="Y269" s="13" t="n">
        <v>3.3</v>
      </c>
      <c r="Z269" s="25" t="s">
        <v>2961</v>
      </c>
      <c r="AA269" s="12" t="s">
        <v>3828</v>
      </c>
      <c r="AB269" s="25" t="s">
        <v>86</v>
      </c>
      <c r="AC269" s="22" t="s">
        <v>1376</v>
      </c>
    </row>
    <row r="270" customFormat="false" ht="19.5" hidden="false" customHeight="true" outlineLevel="0" collapsed="false">
      <c r="A270" s="27" t="s">
        <v>4099</v>
      </c>
      <c r="B270" s="27" t="s">
        <v>377</v>
      </c>
      <c r="C270" s="9" t="s">
        <v>378</v>
      </c>
      <c r="D270" s="9" t="s">
        <v>379</v>
      </c>
      <c r="E270" s="9" t="s">
        <v>219</v>
      </c>
      <c r="F270" s="27" t="s">
        <v>1469</v>
      </c>
      <c r="G270" s="27" t="n">
        <v>2026</v>
      </c>
      <c r="H270" s="27" t="n">
        <v>10</v>
      </c>
      <c r="I270" s="27" t="s">
        <v>3827</v>
      </c>
      <c r="J270" s="20" t="n">
        <v>1</v>
      </c>
      <c r="K270" s="11" t="n">
        <v>0</v>
      </c>
      <c r="L270" s="11" t="n">
        <v>0</v>
      </c>
      <c r="M270" s="30"/>
      <c r="N270" s="30"/>
      <c r="O270" s="30"/>
      <c r="P270" s="11" t="n">
        <v>0</v>
      </c>
      <c r="Q270" s="27" t="n">
        <v>0</v>
      </c>
      <c r="R270" s="27" t="n">
        <v>0</v>
      </c>
      <c r="S270" s="27" t="n">
        <v>0</v>
      </c>
      <c r="T270" s="27" t="n">
        <v>0</v>
      </c>
      <c r="U270" s="11" t="n">
        <v>1.51</v>
      </c>
      <c r="V270" s="11" t="n">
        <v>-0.78</v>
      </c>
      <c r="W270" s="11" t="n">
        <v>2.29</v>
      </c>
      <c r="X270" s="11" t="n">
        <v>0.55</v>
      </c>
      <c r="Y270" s="10" t="n">
        <v>2</v>
      </c>
      <c r="Z270" s="27" t="s">
        <v>3014</v>
      </c>
      <c r="AA270" s="9" t="s">
        <v>3832</v>
      </c>
      <c r="AB270" s="27" t="s">
        <v>86</v>
      </c>
      <c r="AC270" s="23" t="s">
        <v>1437</v>
      </c>
    </row>
    <row r="271" customFormat="false" ht="19.5" hidden="false" customHeight="true" outlineLevel="0" collapsed="false">
      <c r="A271" s="25" t="s">
        <v>4100</v>
      </c>
      <c r="B271" s="25" t="s">
        <v>377</v>
      </c>
      <c r="C271" s="12" t="s">
        <v>378</v>
      </c>
      <c r="D271" s="12" t="s">
        <v>379</v>
      </c>
      <c r="E271" s="12" t="s">
        <v>219</v>
      </c>
      <c r="F271" s="25" t="s">
        <v>1490</v>
      </c>
      <c r="G271" s="25" t="n">
        <v>2026</v>
      </c>
      <c r="H271" s="25" t="n">
        <v>10</v>
      </c>
      <c r="I271" s="25" t="s">
        <v>3827</v>
      </c>
      <c r="J271" s="18" t="n">
        <v>1</v>
      </c>
      <c r="K271" s="14" t="n">
        <v>0</v>
      </c>
      <c r="L271" s="14" t="n">
        <v>0</v>
      </c>
      <c r="M271" s="14" t="n">
        <v>0</v>
      </c>
      <c r="N271" s="29"/>
      <c r="O271" s="32" t="n">
        <v>0</v>
      </c>
      <c r="P271" s="14" t="n">
        <v>0</v>
      </c>
      <c r="Q271" s="25" t="n">
        <v>0</v>
      </c>
      <c r="R271" s="25" t="n">
        <v>0</v>
      </c>
      <c r="S271" s="25" t="n">
        <v>0</v>
      </c>
      <c r="T271" s="25" t="n">
        <v>0</v>
      </c>
      <c r="U271" s="14" t="n">
        <v>1.85</v>
      </c>
      <c r="V271" s="14" t="n">
        <v>-0.59</v>
      </c>
      <c r="W271" s="14" t="n">
        <v>2.44</v>
      </c>
      <c r="X271" s="14" t="n">
        <v>0.36</v>
      </c>
      <c r="Y271" s="13" t="n">
        <v>0</v>
      </c>
      <c r="Z271" s="25" t="s">
        <v>3014</v>
      </c>
      <c r="AA271" s="12" t="s">
        <v>3832</v>
      </c>
      <c r="AB271" s="25" t="s">
        <v>86</v>
      </c>
      <c r="AC271" s="22" t="s">
        <v>1476</v>
      </c>
    </row>
    <row r="272" customFormat="false" ht="19.5" hidden="false" customHeight="true" outlineLevel="0" collapsed="false">
      <c r="A272" s="27" t="s">
        <v>4101</v>
      </c>
      <c r="B272" s="27" t="s">
        <v>377</v>
      </c>
      <c r="C272" s="9" t="s">
        <v>378</v>
      </c>
      <c r="D272" s="9" t="s">
        <v>379</v>
      </c>
      <c r="E272" s="9" t="s">
        <v>219</v>
      </c>
      <c r="F272" s="27" t="s">
        <v>1510</v>
      </c>
      <c r="G272" s="27" t="n">
        <v>2026</v>
      </c>
      <c r="H272" s="27" t="n">
        <v>10</v>
      </c>
      <c r="I272" s="27" t="s">
        <v>3827</v>
      </c>
      <c r="J272" s="20" t="n">
        <v>1</v>
      </c>
      <c r="K272" s="11" t="n">
        <v>0</v>
      </c>
      <c r="L272" s="11" t="n">
        <v>0</v>
      </c>
      <c r="M272" s="11" t="n">
        <v>0</v>
      </c>
      <c r="N272" s="11" t="n">
        <v>0</v>
      </c>
      <c r="O272" s="31" t="n">
        <v>0</v>
      </c>
      <c r="P272" s="11" t="n">
        <v>0</v>
      </c>
      <c r="Q272" s="27" t="n">
        <v>0</v>
      </c>
      <c r="R272" s="27" t="n">
        <v>0</v>
      </c>
      <c r="S272" s="27" t="n">
        <v>0</v>
      </c>
      <c r="T272" s="27" t="n">
        <v>0</v>
      </c>
      <c r="U272" s="11" t="n">
        <v>1.87</v>
      </c>
      <c r="V272" s="11" t="n">
        <v>-0.82</v>
      </c>
      <c r="W272" s="11" t="n">
        <v>2.69</v>
      </c>
      <c r="X272" s="11" t="n">
        <v>0.33</v>
      </c>
      <c r="Y272" s="10" t="n">
        <v>0</v>
      </c>
      <c r="Z272" s="27" t="s">
        <v>2897</v>
      </c>
      <c r="AA272" s="9" t="s">
        <v>3832</v>
      </c>
      <c r="AB272" s="27" t="s">
        <v>86</v>
      </c>
      <c r="AC272" s="23" t="s">
        <v>1497</v>
      </c>
    </row>
    <row r="273" customFormat="false" ht="19.5" hidden="false" customHeight="true" outlineLevel="0" collapsed="false">
      <c r="A273" s="25" t="s">
        <v>4102</v>
      </c>
      <c r="B273" s="25" t="s">
        <v>377</v>
      </c>
      <c r="C273" s="12" t="s">
        <v>378</v>
      </c>
      <c r="D273" s="12" t="s">
        <v>379</v>
      </c>
      <c r="E273" s="12" t="s">
        <v>219</v>
      </c>
      <c r="F273" s="25" t="s">
        <v>1532</v>
      </c>
      <c r="G273" s="25" t="n">
        <v>2026</v>
      </c>
      <c r="H273" s="25" t="n">
        <v>10</v>
      </c>
      <c r="I273" s="25" t="s">
        <v>3827</v>
      </c>
      <c r="J273" s="18" t="n">
        <v>1</v>
      </c>
      <c r="K273" s="14" t="n">
        <v>0</v>
      </c>
      <c r="L273" s="14" t="n">
        <v>0</v>
      </c>
      <c r="M273" s="14" t="n">
        <v>0</v>
      </c>
      <c r="N273" s="14" t="n">
        <v>0</v>
      </c>
      <c r="O273" s="32" t="n">
        <v>0</v>
      </c>
      <c r="P273" s="14" t="n">
        <v>0</v>
      </c>
      <c r="Q273" s="25" t="n">
        <v>0</v>
      </c>
      <c r="R273" s="25" t="n">
        <v>0</v>
      </c>
      <c r="S273" s="25" t="n">
        <v>0</v>
      </c>
      <c r="T273" s="25" t="n">
        <v>0</v>
      </c>
      <c r="U273" s="14" t="n">
        <v>1.81</v>
      </c>
      <c r="V273" s="14" t="n">
        <v>-0.96</v>
      </c>
      <c r="W273" s="14" t="n">
        <v>2.77</v>
      </c>
      <c r="X273" s="14" t="n">
        <v>0.35</v>
      </c>
      <c r="Y273" s="13" t="n">
        <v>0</v>
      </c>
      <c r="Z273" s="25" t="s">
        <v>2998</v>
      </c>
      <c r="AA273" s="12" t="s">
        <v>3832</v>
      </c>
      <c r="AB273" s="25" t="s">
        <v>86</v>
      </c>
      <c r="AC273" s="22" t="s">
        <v>1517</v>
      </c>
    </row>
    <row r="274" customFormat="false" ht="19.5" hidden="false" customHeight="true" outlineLevel="0" collapsed="false">
      <c r="A274" s="27" t="s">
        <v>4103</v>
      </c>
      <c r="B274" s="27" t="s">
        <v>377</v>
      </c>
      <c r="C274" s="9" t="s">
        <v>378</v>
      </c>
      <c r="D274" s="9" t="s">
        <v>379</v>
      </c>
      <c r="E274" s="9" t="s">
        <v>219</v>
      </c>
      <c r="F274" s="27" t="s">
        <v>1555</v>
      </c>
      <c r="G274" s="27" t="n">
        <v>2026</v>
      </c>
      <c r="H274" s="27" t="n">
        <v>10</v>
      </c>
      <c r="I274" s="27" t="s">
        <v>3827</v>
      </c>
      <c r="J274" s="20" t="n">
        <v>1</v>
      </c>
      <c r="K274" s="11" t="n">
        <v>0</v>
      </c>
      <c r="L274" s="11" t="n">
        <v>0</v>
      </c>
      <c r="M274" s="11" t="n">
        <v>0</v>
      </c>
      <c r="N274" s="11" t="n">
        <v>0</v>
      </c>
      <c r="O274" s="31" t="n">
        <v>0</v>
      </c>
      <c r="P274" s="30"/>
      <c r="Q274" s="27" t="n">
        <v>0</v>
      </c>
      <c r="R274" s="27" t="n">
        <v>0</v>
      </c>
      <c r="S274" s="27" t="n">
        <v>0</v>
      </c>
      <c r="T274" s="27" t="n">
        <v>0</v>
      </c>
      <c r="U274" s="11" t="n">
        <v>1.6</v>
      </c>
      <c r="V274" s="11" t="n">
        <v>1.6</v>
      </c>
      <c r="W274" s="11" t="n">
        <v>0</v>
      </c>
      <c r="X274" s="11" t="n">
        <v>0.44</v>
      </c>
      <c r="Y274" s="10" t="n">
        <v>0</v>
      </c>
      <c r="Z274" s="27" t="s">
        <v>2998</v>
      </c>
      <c r="AA274" s="9" t="s">
        <v>3832</v>
      </c>
      <c r="AB274" s="27" t="s">
        <v>86</v>
      </c>
      <c r="AC274" s="23" t="s">
        <v>93</v>
      </c>
    </row>
    <row r="275" customFormat="false" ht="19.5" hidden="false" customHeight="true" outlineLevel="0" collapsed="false">
      <c r="A275" s="25" t="s">
        <v>4104</v>
      </c>
      <c r="B275" s="25" t="s">
        <v>420</v>
      </c>
      <c r="C275" s="12" t="s">
        <v>421</v>
      </c>
      <c r="D275" s="12" t="s">
        <v>422</v>
      </c>
      <c r="E275" s="12" t="s">
        <v>219</v>
      </c>
      <c r="F275" s="25" t="s">
        <v>1374</v>
      </c>
      <c r="G275" s="25" t="n">
        <v>2026</v>
      </c>
      <c r="H275" s="25" t="n">
        <v>9</v>
      </c>
      <c r="I275" s="25" t="s">
        <v>3827</v>
      </c>
      <c r="J275" s="18" t="n">
        <v>1</v>
      </c>
      <c r="K275" s="14" t="n">
        <v>0</v>
      </c>
      <c r="L275" s="14" t="n">
        <v>0</v>
      </c>
      <c r="M275" s="29"/>
      <c r="N275" s="29"/>
      <c r="O275" s="29"/>
      <c r="P275" s="14" t="n">
        <v>0</v>
      </c>
      <c r="Q275" s="25" t="n">
        <v>0</v>
      </c>
      <c r="R275" s="25" t="n">
        <v>0</v>
      </c>
      <c r="S275" s="25" t="n">
        <v>0</v>
      </c>
      <c r="T275" s="25" t="n">
        <v>0</v>
      </c>
      <c r="U275" s="14" t="n">
        <v>0.96</v>
      </c>
      <c r="V275" s="14" t="n">
        <v>-1.01</v>
      </c>
      <c r="W275" s="14" t="n">
        <v>1.97</v>
      </c>
      <c r="X275" s="14" t="n">
        <v>0.22</v>
      </c>
      <c r="Y275" s="13" t="n">
        <v>3</v>
      </c>
      <c r="Z275" s="25" t="s">
        <v>2961</v>
      </c>
      <c r="AA275" s="12" t="s">
        <v>3828</v>
      </c>
      <c r="AB275" s="25" t="s">
        <v>86</v>
      </c>
      <c r="AC275" s="22" t="s">
        <v>1326</v>
      </c>
    </row>
    <row r="276" customFormat="false" ht="19.5" hidden="false" customHeight="true" outlineLevel="0" collapsed="false">
      <c r="A276" s="27" t="s">
        <v>4105</v>
      </c>
      <c r="B276" s="27" t="s">
        <v>420</v>
      </c>
      <c r="C276" s="9" t="s">
        <v>421</v>
      </c>
      <c r="D276" s="9" t="s">
        <v>422</v>
      </c>
      <c r="E276" s="9" t="s">
        <v>219</v>
      </c>
      <c r="F276" s="27" t="s">
        <v>1400</v>
      </c>
      <c r="G276" s="27" t="n">
        <v>2026</v>
      </c>
      <c r="H276" s="27" t="n">
        <v>9</v>
      </c>
      <c r="I276" s="27" t="s">
        <v>3827</v>
      </c>
      <c r="J276" s="20" t="n">
        <v>1</v>
      </c>
      <c r="K276" s="11" t="n">
        <v>0</v>
      </c>
      <c r="L276" s="11" t="n">
        <v>0</v>
      </c>
      <c r="M276" s="11" t="n">
        <v>0</v>
      </c>
      <c r="N276" s="30"/>
      <c r="O276" s="31" t="n">
        <v>0</v>
      </c>
      <c r="P276" s="11" t="n">
        <v>0</v>
      </c>
      <c r="Q276" s="27" t="n">
        <v>0</v>
      </c>
      <c r="R276" s="27" t="n">
        <v>0</v>
      </c>
      <c r="S276" s="27" t="n">
        <v>0</v>
      </c>
      <c r="T276" s="27" t="n">
        <v>0</v>
      </c>
      <c r="U276" s="11" t="n">
        <v>0.3</v>
      </c>
      <c r="V276" s="11" t="n">
        <v>-0.98</v>
      </c>
      <c r="W276" s="11" t="n">
        <v>1.28</v>
      </c>
      <c r="X276" s="11" t="n">
        <v>0.14</v>
      </c>
      <c r="Y276" s="10" t="n">
        <v>0</v>
      </c>
      <c r="Z276" s="27" t="s">
        <v>2961</v>
      </c>
      <c r="AA276" s="9" t="s">
        <v>3828</v>
      </c>
      <c r="AB276" s="27" t="s">
        <v>86</v>
      </c>
      <c r="AC276" s="23" t="s">
        <v>1383</v>
      </c>
    </row>
    <row r="277" customFormat="false" ht="19.5" hidden="false" customHeight="true" outlineLevel="0" collapsed="false">
      <c r="A277" s="25" t="s">
        <v>4106</v>
      </c>
      <c r="B277" s="25" t="s">
        <v>420</v>
      </c>
      <c r="C277" s="12" t="s">
        <v>421</v>
      </c>
      <c r="D277" s="12" t="s">
        <v>422</v>
      </c>
      <c r="E277" s="12" t="s">
        <v>219</v>
      </c>
      <c r="F277" s="25" t="s">
        <v>1419</v>
      </c>
      <c r="G277" s="25" t="n">
        <v>2026</v>
      </c>
      <c r="H277" s="25" t="n">
        <v>9</v>
      </c>
      <c r="I277" s="25" t="s">
        <v>3827</v>
      </c>
      <c r="J277" s="18" t="n">
        <v>1</v>
      </c>
      <c r="K277" s="14" t="n">
        <v>0</v>
      </c>
      <c r="L277" s="14" t="n">
        <v>0</v>
      </c>
      <c r="M277" s="14" t="n">
        <v>0</v>
      </c>
      <c r="N277" s="14" t="n">
        <v>0</v>
      </c>
      <c r="O277" s="32" t="n">
        <v>0</v>
      </c>
      <c r="P277" s="29"/>
      <c r="Q277" s="25" t="n">
        <v>0</v>
      </c>
      <c r="R277" s="25" t="n">
        <v>0</v>
      </c>
      <c r="S277" s="25" t="n">
        <v>0</v>
      </c>
      <c r="T277" s="25" t="n">
        <v>0</v>
      </c>
      <c r="U277" s="14" t="n">
        <v>0.97</v>
      </c>
      <c r="V277" s="14" t="n">
        <v>0.97</v>
      </c>
      <c r="W277" s="14" t="n">
        <v>0</v>
      </c>
      <c r="X277" s="14" t="n">
        <v>0.15</v>
      </c>
      <c r="Y277" s="13" t="n">
        <v>31</v>
      </c>
      <c r="Z277" s="25" t="s">
        <v>2961</v>
      </c>
      <c r="AA277" s="12" t="s">
        <v>3828</v>
      </c>
      <c r="AB277" s="25" t="s">
        <v>86</v>
      </c>
      <c r="AC277" s="22" t="s">
        <v>1376</v>
      </c>
    </row>
    <row r="278" customFormat="false" ht="19.5" hidden="false" customHeight="true" outlineLevel="0" collapsed="false">
      <c r="A278" s="27" t="s">
        <v>4107</v>
      </c>
      <c r="B278" s="27" t="s">
        <v>420</v>
      </c>
      <c r="C278" s="9" t="s">
        <v>421</v>
      </c>
      <c r="D278" s="9" t="s">
        <v>422</v>
      </c>
      <c r="E278" s="9" t="s">
        <v>219</v>
      </c>
      <c r="F278" s="27" t="s">
        <v>1469</v>
      </c>
      <c r="G278" s="27" t="n">
        <v>2026</v>
      </c>
      <c r="H278" s="27" t="n">
        <v>10</v>
      </c>
      <c r="I278" s="27" t="s">
        <v>3827</v>
      </c>
      <c r="J278" s="20" t="n">
        <v>1</v>
      </c>
      <c r="K278" s="11" t="n">
        <v>0</v>
      </c>
      <c r="L278" s="11" t="n">
        <v>0</v>
      </c>
      <c r="M278" s="30"/>
      <c r="N278" s="30"/>
      <c r="O278" s="30"/>
      <c r="P278" s="11" t="n">
        <v>0.08</v>
      </c>
      <c r="Q278" s="27" t="n">
        <v>0</v>
      </c>
      <c r="R278" s="27" t="n">
        <v>0</v>
      </c>
      <c r="S278" s="27" t="n">
        <v>0</v>
      </c>
      <c r="T278" s="27" t="n">
        <v>0</v>
      </c>
      <c r="U278" s="11" t="n">
        <v>1.51</v>
      </c>
      <c r="V278" s="11" t="n">
        <v>-0.78</v>
      </c>
      <c r="W278" s="11" t="n">
        <v>2.29</v>
      </c>
      <c r="X278" s="11" t="n">
        <v>0.26</v>
      </c>
      <c r="Y278" s="10" t="n">
        <v>18</v>
      </c>
      <c r="Z278" s="27" t="s">
        <v>3014</v>
      </c>
      <c r="AA278" s="9" t="s">
        <v>3832</v>
      </c>
      <c r="AB278" s="27" t="s">
        <v>86</v>
      </c>
      <c r="AC278" s="23" t="s">
        <v>1437</v>
      </c>
    </row>
    <row r="279" customFormat="false" ht="19.5" hidden="false" customHeight="true" outlineLevel="0" collapsed="false">
      <c r="A279" s="25" t="s">
        <v>4108</v>
      </c>
      <c r="B279" s="25" t="s">
        <v>420</v>
      </c>
      <c r="C279" s="12" t="s">
        <v>421</v>
      </c>
      <c r="D279" s="12" t="s">
        <v>422</v>
      </c>
      <c r="E279" s="12" t="s">
        <v>219</v>
      </c>
      <c r="F279" s="25" t="s">
        <v>1490</v>
      </c>
      <c r="G279" s="25" t="n">
        <v>2026</v>
      </c>
      <c r="H279" s="25" t="n">
        <v>10</v>
      </c>
      <c r="I279" s="25" t="s">
        <v>3827</v>
      </c>
      <c r="J279" s="18" t="n">
        <v>1</v>
      </c>
      <c r="K279" s="14" t="n">
        <v>0.08</v>
      </c>
      <c r="L279" s="14" t="n">
        <v>0.08</v>
      </c>
      <c r="M279" s="14" t="n">
        <v>0</v>
      </c>
      <c r="N279" s="29"/>
      <c r="O279" s="32" t="n">
        <v>0.08</v>
      </c>
      <c r="P279" s="14" t="n">
        <v>0.1</v>
      </c>
      <c r="Q279" s="25" t="n">
        <v>0</v>
      </c>
      <c r="R279" s="25" t="n">
        <v>0</v>
      </c>
      <c r="S279" s="25" t="n">
        <v>0</v>
      </c>
      <c r="T279" s="25" t="n">
        <v>0</v>
      </c>
      <c r="U279" s="14" t="n">
        <v>1.85</v>
      </c>
      <c r="V279" s="14" t="n">
        <v>-0.59</v>
      </c>
      <c r="W279" s="14" t="n">
        <v>2.44</v>
      </c>
      <c r="X279" s="14" t="n">
        <v>0.21</v>
      </c>
      <c r="Y279" s="13" t="n">
        <v>0</v>
      </c>
      <c r="Z279" s="25" t="s">
        <v>3014</v>
      </c>
      <c r="AA279" s="12" t="s">
        <v>3832</v>
      </c>
      <c r="AB279" s="25" t="s">
        <v>86</v>
      </c>
      <c r="AC279" s="22" t="s">
        <v>1476</v>
      </c>
    </row>
    <row r="280" customFormat="false" ht="19.5" hidden="false" customHeight="true" outlineLevel="0" collapsed="false">
      <c r="A280" s="27" t="s">
        <v>4109</v>
      </c>
      <c r="B280" s="27" t="s">
        <v>420</v>
      </c>
      <c r="C280" s="9" t="s">
        <v>421</v>
      </c>
      <c r="D280" s="9" t="s">
        <v>422</v>
      </c>
      <c r="E280" s="9" t="s">
        <v>219</v>
      </c>
      <c r="F280" s="27" t="s">
        <v>1510</v>
      </c>
      <c r="G280" s="27" t="n">
        <v>2026</v>
      </c>
      <c r="H280" s="27" t="n">
        <v>10</v>
      </c>
      <c r="I280" s="27" t="s">
        <v>3827</v>
      </c>
      <c r="J280" s="20" t="n">
        <v>1</v>
      </c>
      <c r="K280" s="11" t="n">
        <v>0.1</v>
      </c>
      <c r="L280" s="11" t="n">
        <v>0.1</v>
      </c>
      <c r="M280" s="11" t="n">
        <v>0.08</v>
      </c>
      <c r="N280" s="11" t="n">
        <v>0</v>
      </c>
      <c r="O280" s="31" t="n">
        <v>0.02</v>
      </c>
      <c r="P280" s="11" t="n">
        <v>0.1</v>
      </c>
      <c r="Q280" s="27" t="n">
        <v>0</v>
      </c>
      <c r="R280" s="27" t="n">
        <v>0</v>
      </c>
      <c r="S280" s="27" t="n">
        <v>0</v>
      </c>
      <c r="T280" s="27" t="n">
        <v>0</v>
      </c>
      <c r="U280" s="11" t="n">
        <v>1.87</v>
      </c>
      <c r="V280" s="11" t="n">
        <v>-0.82</v>
      </c>
      <c r="W280" s="11" t="n">
        <v>2.69</v>
      </c>
      <c r="X280" s="11" t="n">
        <v>0.2</v>
      </c>
      <c r="Y280" s="10" t="n">
        <v>0</v>
      </c>
      <c r="Z280" s="27" t="s">
        <v>2897</v>
      </c>
      <c r="AA280" s="9" t="s">
        <v>3832</v>
      </c>
      <c r="AB280" s="27" t="s">
        <v>86</v>
      </c>
      <c r="AC280" s="23" t="s">
        <v>1497</v>
      </c>
    </row>
    <row r="281" customFormat="false" ht="19.5" hidden="false" customHeight="true" outlineLevel="0" collapsed="false">
      <c r="A281" s="25" t="s">
        <v>4110</v>
      </c>
      <c r="B281" s="25" t="s">
        <v>420</v>
      </c>
      <c r="C281" s="12" t="s">
        <v>421</v>
      </c>
      <c r="D281" s="12" t="s">
        <v>422</v>
      </c>
      <c r="E281" s="12" t="s">
        <v>219</v>
      </c>
      <c r="F281" s="25" t="s">
        <v>1532</v>
      </c>
      <c r="G281" s="25" t="n">
        <v>2026</v>
      </c>
      <c r="H281" s="25" t="n">
        <v>10</v>
      </c>
      <c r="I281" s="25" t="s">
        <v>3827</v>
      </c>
      <c r="J281" s="18" t="n">
        <v>1</v>
      </c>
      <c r="K281" s="14" t="n">
        <v>0.1</v>
      </c>
      <c r="L281" s="14" t="n">
        <v>0.1</v>
      </c>
      <c r="M281" s="14" t="n">
        <v>0.1</v>
      </c>
      <c r="N281" s="14" t="n">
        <v>0.08</v>
      </c>
      <c r="O281" s="32" t="n">
        <v>0</v>
      </c>
      <c r="P281" s="14" t="n">
        <v>0.1</v>
      </c>
      <c r="Q281" s="25" t="n">
        <v>0</v>
      </c>
      <c r="R281" s="25" t="n">
        <v>0</v>
      </c>
      <c r="S281" s="25" t="n">
        <v>0</v>
      </c>
      <c r="T281" s="25" t="n">
        <v>0</v>
      </c>
      <c r="U281" s="14" t="n">
        <v>1.81</v>
      </c>
      <c r="V281" s="14" t="n">
        <v>-0.96</v>
      </c>
      <c r="W281" s="14" t="n">
        <v>2.77</v>
      </c>
      <c r="X281" s="14" t="n">
        <v>0.32</v>
      </c>
      <c r="Y281" s="13" t="n">
        <v>0</v>
      </c>
      <c r="Z281" s="25" t="s">
        <v>2998</v>
      </c>
      <c r="AA281" s="12" t="s">
        <v>3832</v>
      </c>
      <c r="AB281" s="25" t="s">
        <v>86</v>
      </c>
      <c r="AC281" s="22" t="s">
        <v>1517</v>
      </c>
    </row>
    <row r="282" customFormat="false" ht="19.5" hidden="false" customHeight="true" outlineLevel="0" collapsed="false">
      <c r="A282" s="27" t="s">
        <v>4111</v>
      </c>
      <c r="B282" s="27" t="s">
        <v>420</v>
      </c>
      <c r="C282" s="9" t="s">
        <v>421</v>
      </c>
      <c r="D282" s="9" t="s">
        <v>422</v>
      </c>
      <c r="E282" s="9" t="s">
        <v>219</v>
      </c>
      <c r="F282" s="27" t="s">
        <v>1555</v>
      </c>
      <c r="G282" s="27" t="n">
        <v>2026</v>
      </c>
      <c r="H282" s="27" t="n">
        <v>10</v>
      </c>
      <c r="I282" s="27" t="s">
        <v>3827</v>
      </c>
      <c r="J282" s="20" t="n">
        <v>1</v>
      </c>
      <c r="K282" s="11" t="n">
        <v>0.1</v>
      </c>
      <c r="L282" s="11" t="n">
        <v>0.1</v>
      </c>
      <c r="M282" s="11" t="n">
        <v>0.1</v>
      </c>
      <c r="N282" s="11" t="n">
        <v>0.1</v>
      </c>
      <c r="O282" s="31" t="n">
        <v>0</v>
      </c>
      <c r="P282" s="30"/>
      <c r="Q282" s="27" t="n">
        <v>0</v>
      </c>
      <c r="R282" s="27" t="n">
        <v>0</v>
      </c>
      <c r="S282" s="27" t="n">
        <v>0</v>
      </c>
      <c r="T282" s="27" t="n">
        <v>0</v>
      </c>
      <c r="U282" s="11" t="n">
        <v>1.6</v>
      </c>
      <c r="V282" s="11" t="n">
        <v>1.6</v>
      </c>
      <c r="W282" s="11" t="n">
        <v>0</v>
      </c>
      <c r="X282" s="11" t="n">
        <v>0.32</v>
      </c>
      <c r="Y282" s="10" t="n">
        <v>2</v>
      </c>
      <c r="Z282" s="27" t="s">
        <v>2998</v>
      </c>
      <c r="AA282" s="9" t="s">
        <v>3832</v>
      </c>
      <c r="AB282" s="27" t="s">
        <v>86</v>
      </c>
      <c r="AC282" s="23" t="s">
        <v>93</v>
      </c>
    </row>
    <row r="283" customFormat="false" ht="19.5" hidden="false" customHeight="true" outlineLevel="0" collapsed="false">
      <c r="A283" s="25" t="s">
        <v>4112</v>
      </c>
      <c r="B283" s="25" t="s">
        <v>576</v>
      </c>
      <c r="C283" s="12" t="s">
        <v>577</v>
      </c>
      <c r="D283" s="12" t="s">
        <v>344</v>
      </c>
      <c r="E283" s="12" t="s">
        <v>572</v>
      </c>
      <c r="F283" s="25" t="s">
        <v>625</v>
      </c>
      <c r="G283" s="25" t="n">
        <v>2016</v>
      </c>
      <c r="H283" s="25" t="n">
        <v>2</v>
      </c>
      <c r="I283" s="25" t="s">
        <v>3879</v>
      </c>
      <c r="J283" s="18" t="n">
        <v>1</v>
      </c>
      <c r="K283" s="14" t="n">
        <v>3.3</v>
      </c>
      <c r="L283" s="29"/>
      <c r="M283" s="29"/>
      <c r="N283" s="29"/>
      <c r="O283" s="29"/>
      <c r="P283" s="29"/>
      <c r="Q283" s="25" t="n">
        <v>1</v>
      </c>
      <c r="R283" s="25" t="n">
        <v>1</v>
      </c>
      <c r="S283" s="25" t="n">
        <v>1</v>
      </c>
      <c r="T283" s="25" t="n">
        <v>1</v>
      </c>
      <c r="U283" s="29"/>
      <c r="V283" s="29"/>
      <c r="W283" s="29"/>
      <c r="X283" s="29"/>
      <c r="Y283" s="29"/>
      <c r="Z283" s="25" t="s">
        <v>4113</v>
      </c>
      <c r="AA283" s="12" t="s">
        <v>3880</v>
      </c>
      <c r="AB283" s="25" t="s">
        <v>86</v>
      </c>
      <c r="AC283" s="22" t="s">
        <v>197</v>
      </c>
    </row>
    <row r="284" customFormat="false" ht="19.5" hidden="false" customHeight="true" outlineLevel="0" collapsed="false">
      <c r="A284" s="27" t="s">
        <v>4114</v>
      </c>
      <c r="B284" s="27" t="s">
        <v>576</v>
      </c>
      <c r="C284" s="9" t="s">
        <v>577</v>
      </c>
      <c r="D284" s="9" t="s">
        <v>344</v>
      </c>
      <c r="E284" s="9" t="s">
        <v>572</v>
      </c>
      <c r="F284" s="27" t="s">
        <v>663</v>
      </c>
      <c r="G284" s="27" t="n">
        <v>2016</v>
      </c>
      <c r="H284" s="27" t="n">
        <v>5</v>
      </c>
      <c r="I284" s="27" t="s">
        <v>3879</v>
      </c>
      <c r="J284" s="20" t="n">
        <v>1</v>
      </c>
      <c r="K284" s="11" t="n">
        <v>3.2</v>
      </c>
      <c r="L284" s="30"/>
      <c r="M284" s="30"/>
      <c r="N284" s="30"/>
      <c r="O284" s="30"/>
      <c r="P284" s="11" t="n">
        <v>2.9</v>
      </c>
      <c r="Q284" s="27" t="n">
        <v>1</v>
      </c>
      <c r="R284" s="27" t="n">
        <v>1</v>
      </c>
      <c r="S284" s="27" t="n">
        <v>1</v>
      </c>
      <c r="T284" s="27" t="n">
        <v>1</v>
      </c>
      <c r="U284" s="30"/>
      <c r="V284" s="30"/>
      <c r="W284" s="30"/>
      <c r="X284" s="30"/>
      <c r="Y284" s="30"/>
      <c r="Z284" s="27" t="s">
        <v>4113</v>
      </c>
      <c r="AA284" s="9" t="s">
        <v>3880</v>
      </c>
      <c r="AB284" s="27" t="s">
        <v>86</v>
      </c>
      <c r="AC284" s="23" t="s">
        <v>664</v>
      </c>
    </row>
    <row r="285" customFormat="false" ht="19.5" hidden="false" customHeight="true" outlineLevel="0" collapsed="false">
      <c r="A285" s="25" t="s">
        <v>4115</v>
      </c>
      <c r="B285" s="25" t="s">
        <v>576</v>
      </c>
      <c r="C285" s="12" t="s">
        <v>577</v>
      </c>
      <c r="D285" s="12" t="s">
        <v>344</v>
      </c>
      <c r="E285" s="12" t="s">
        <v>572</v>
      </c>
      <c r="F285" s="25" t="s">
        <v>680</v>
      </c>
      <c r="G285" s="25" t="n">
        <v>2016</v>
      </c>
      <c r="H285" s="25" t="n">
        <v>5</v>
      </c>
      <c r="I285" s="25" t="s">
        <v>3879</v>
      </c>
      <c r="J285" s="18" t="n">
        <v>1</v>
      </c>
      <c r="K285" s="14" t="n">
        <v>2.9</v>
      </c>
      <c r="L285" s="29"/>
      <c r="M285" s="14" t="n">
        <v>3.2</v>
      </c>
      <c r="N285" s="29"/>
      <c r="O285" s="32" t="n">
        <v>-0.3</v>
      </c>
      <c r="P285" s="14" t="n">
        <v>2.8</v>
      </c>
      <c r="Q285" s="25" t="n">
        <v>1</v>
      </c>
      <c r="R285" s="25" t="n">
        <v>1</v>
      </c>
      <c r="S285" s="25" t="n">
        <v>1</v>
      </c>
      <c r="T285" s="25" t="n">
        <v>1</v>
      </c>
      <c r="U285" s="29"/>
      <c r="V285" s="29"/>
      <c r="W285" s="29"/>
      <c r="X285" s="29"/>
      <c r="Y285" s="29"/>
      <c r="Z285" s="25" t="s">
        <v>4113</v>
      </c>
      <c r="AA285" s="12" t="s">
        <v>3880</v>
      </c>
      <c r="AB285" s="25" t="s">
        <v>86</v>
      </c>
      <c r="AC285" s="22" t="s">
        <v>681</v>
      </c>
    </row>
    <row r="286" customFormat="false" ht="19.5" hidden="false" customHeight="true" outlineLevel="0" collapsed="false">
      <c r="A286" s="27" t="s">
        <v>4116</v>
      </c>
      <c r="B286" s="27" t="s">
        <v>576</v>
      </c>
      <c r="C286" s="9" t="s">
        <v>577</v>
      </c>
      <c r="D286" s="9" t="s">
        <v>344</v>
      </c>
      <c r="E286" s="9" t="s">
        <v>572</v>
      </c>
      <c r="F286" s="27" t="s">
        <v>696</v>
      </c>
      <c r="G286" s="27" t="n">
        <v>2016</v>
      </c>
      <c r="H286" s="27" t="n">
        <v>5</v>
      </c>
      <c r="I286" s="27" t="s">
        <v>3879</v>
      </c>
      <c r="J286" s="20" t="n">
        <v>1</v>
      </c>
      <c r="K286" s="11" t="n">
        <v>2.8</v>
      </c>
      <c r="L286" s="30"/>
      <c r="M286" s="11" t="n">
        <v>2.9</v>
      </c>
      <c r="N286" s="11" t="n">
        <v>3.2</v>
      </c>
      <c r="O286" s="31" t="n">
        <v>-0.1</v>
      </c>
      <c r="P286" s="11" t="n">
        <v>2.7</v>
      </c>
      <c r="Q286" s="27" t="n">
        <v>1</v>
      </c>
      <c r="R286" s="27" t="n">
        <v>1</v>
      </c>
      <c r="S286" s="27" t="n">
        <v>1</v>
      </c>
      <c r="T286" s="27" t="n">
        <v>1</v>
      </c>
      <c r="U286" s="30"/>
      <c r="V286" s="30"/>
      <c r="W286" s="30"/>
      <c r="X286" s="30"/>
      <c r="Y286" s="30"/>
      <c r="Z286" s="27" t="s">
        <v>4113</v>
      </c>
      <c r="AA286" s="9" t="s">
        <v>3880</v>
      </c>
      <c r="AB286" s="27" t="s">
        <v>86</v>
      </c>
      <c r="AC286" s="23" t="s">
        <v>697</v>
      </c>
    </row>
    <row r="287" customFormat="false" ht="19.5" hidden="false" customHeight="true" outlineLevel="0" collapsed="false">
      <c r="A287" s="25" t="s">
        <v>4117</v>
      </c>
      <c r="B287" s="25" t="s">
        <v>576</v>
      </c>
      <c r="C287" s="12" t="s">
        <v>577</v>
      </c>
      <c r="D287" s="12" t="s">
        <v>344</v>
      </c>
      <c r="E287" s="12" t="s">
        <v>572</v>
      </c>
      <c r="F287" s="25" t="s">
        <v>712</v>
      </c>
      <c r="G287" s="25" t="n">
        <v>2016</v>
      </c>
      <c r="H287" s="25" t="n">
        <v>5</v>
      </c>
      <c r="I287" s="25" t="s">
        <v>3879</v>
      </c>
      <c r="J287" s="18" t="n">
        <v>1</v>
      </c>
      <c r="K287" s="14" t="n">
        <v>2.7</v>
      </c>
      <c r="L287" s="29"/>
      <c r="M287" s="14" t="n">
        <v>2.8</v>
      </c>
      <c r="N287" s="14" t="n">
        <v>2.9</v>
      </c>
      <c r="O287" s="32" t="n">
        <v>-0.1</v>
      </c>
      <c r="P287" s="14" t="n">
        <v>2.6</v>
      </c>
      <c r="Q287" s="25" t="n">
        <v>1</v>
      </c>
      <c r="R287" s="25" t="n">
        <v>1</v>
      </c>
      <c r="S287" s="25" t="n">
        <v>1</v>
      </c>
      <c r="T287" s="25" t="n">
        <v>1</v>
      </c>
      <c r="U287" s="29"/>
      <c r="V287" s="29"/>
      <c r="W287" s="29"/>
      <c r="X287" s="29"/>
      <c r="Y287" s="29"/>
      <c r="Z287" s="25" t="s">
        <v>4113</v>
      </c>
      <c r="AA287" s="12" t="s">
        <v>3880</v>
      </c>
      <c r="AB287" s="25" t="s">
        <v>86</v>
      </c>
      <c r="AC287" s="22" t="s">
        <v>713</v>
      </c>
    </row>
    <row r="288" customFormat="false" ht="19.5" hidden="false" customHeight="true" outlineLevel="0" collapsed="false">
      <c r="A288" s="27" t="s">
        <v>4118</v>
      </c>
      <c r="B288" s="27" t="s">
        <v>576</v>
      </c>
      <c r="C288" s="9" t="s">
        <v>577</v>
      </c>
      <c r="D288" s="9" t="s">
        <v>344</v>
      </c>
      <c r="E288" s="9" t="s">
        <v>572</v>
      </c>
      <c r="F288" s="27" t="s">
        <v>728</v>
      </c>
      <c r="G288" s="27" t="n">
        <v>2016</v>
      </c>
      <c r="H288" s="27" t="n">
        <v>5</v>
      </c>
      <c r="I288" s="27" t="s">
        <v>3879</v>
      </c>
      <c r="J288" s="20" t="n">
        <v>1</v>
      </c>
      <c r="K288" s="11" t="n">
        <v>2.6</v>
      </c>
      <c r="L288" s="30"/>
      <c r="M288" s="11" t="n">
        <v>2.7</v>
      </c>
      <c r="N288" s="11" t="n">
        <v>2.8</v>
      </c>
      <c r="O288" s="31" t="n">
        <v>-0.1</v>
      </c>
      <c r="P288" s="30"/>
      <c r="Q288" s="27" t="n">
        <v>1</v>
      </c>
      <c r="R288" s="27" t="n">
        <v>1</v>
      </c>
      <c r="S288" s="27" t="n">
        <v>1</v>
      </c>
      <c r="T288" s="27" t="n">
        <v>1</v>
      </c>
      <c r="U288" s="30"/>
      <c r="V288" s="30"/>
      <c r="W288" s="30"/>
      <c r="X288" s="30"/>
      <c r="Y288" s="30"/>
      <c r="Z288" s="27" t="s">
        <v>4113</v>
      </c>
      <c r="AA288" s="9" t="s">
        <v>3880</v>
      </c>
      <c r="AB288" s="27" t="s">
        <v>86</v>
      </c>
      <c r="AC288" s="23" t="s">
        <v>729</v>
      </c>
    </row>
    <row r="289" customFormat="false" ht="19.5" hidden="false" customHeight="true" outlineLevel="0" collapsed="false">
      <c r="A289" s="25" t="s">
        <v>4119</v>
      </c>
      <c r="B289" s="25" t="s">
        <v>576</v>
      </c>
      <c r="C289" s="12" t="s">
        <v>577</v>
      </c>
      <c r="D289" s="12" t="s">
        <v>344</v>
      </c>
      <c r="E289" s="12" t="s">
        <v>572</v>
      </c>
      <c r="F289" s="25" t="s">
        <v>744</v>
      </c>
      <c r="G289" s="25" t="n">
        <v>2020</v>
      </c>
      <c r="H289" s="25" t="n">
        <v>2</v>
      </c>
      <c r="I289" s="25" t="s">
        <v>3879</v>
      </c>
      <c r="J289" s="18" t="n">
        <v>1</v>
      </c>
      <c r="K289" s="14" t="n">
        <v>5.2</v>
      </c>
      <c r="L289" s="29"/>
      <c r="M289" s="29"/>
      <c r="N289" s="29"/>
      <c r="O289" s="29"/>
      <c r="P289" s="29"/>
      <c r="Q289" s="25" t="n">
        <v>1</v>
      </c>
      <c r="R289" s="25" t="n">
        <v>1</v>
      </c>
      <c r="S289" s="25" t="n">
        <v>1</v>
      </c>
      <c r="T289" s="25" t="n">
        <v>1</v>
      </c>
      <c r="U289" s="29"/>
      <c r="V289" s="29"/>
      <c r="W289" s="29"/>
      <c r="X289" s="29"/>
      <c r="Y289" s="29"/>
      <c r="Z289" s="25" t="s">
        <v>4113</v>
      </c>
      <c r="AA289" s="12" t="s">
        <v>3880</v>
      </c>
      <c r="AB289" s="25" t="s">
        <v>86</v>
      </c>
      <c r="AC289" s="22" t="s">
        <v>197</v>
      </c>
    </row>
    <row r="290" customFormat="false" ht="19.5" hidden="false" customHeight="true" outlineLevel="0" collapsed="false">
      <c r="A290" s="27" t="s">
        <v>4120</v>
      </c>
      <c r="B290" s="27" t="s">
        <v>576</v>
      </c>
      <c r="C290" s="9" t="s">
        <v>577</v>
      </c>
      <c r="D290" s="9" t="s">
        <v>344</v>
      </c>
      <c r="E290" s="9" t="s">
        <v>572</v>
      </c>
      <c r="F290" s="27" t="s">
        <v>764</v>
      </c>
      <c r="G290" s="27" t="n">
        <v>2020</v>
      </c>
      <c r="H290" s="27" t="n">
        <v>5</v>
      </c>
      <c r="I290" s="27" t="s">
        <v>3879</v>
      </c>
      <c r="J290" s="20" t="n">
        <v>1</v>
      </c>
      <c r="K290" s="11" t="n">
        <v>9.8</v>
      </c>
      <c r="L290" s="30"/>
      <c r="M290" s="30"/>
      <c r="N290" s="30"/>
      <c r="O290" s="30"/>
      <c r="P290" s="11" t="n">
        <v>9.4</v>
      </c>
      <c r="Q290" s="27" t="n">
        <v>1</v>
      </c>
      <c r="R290" s="27" t="n">
        <v>1</v>
      </c>
      <c r="S290" s="27" t="n">
        <v>1</v>
      </c>
      <c r="T290" s="27" t="n">
        <v>1</v>
      </c>
      <c r="U290" s="30"/>
      <c r="V290" s="30"/>
      <c r="W290" s="30"/>
      <c r="X290" s="30"/>
      <c r="Y290" s="30"/>
      <c r="Z290" s="27" t="s">
        <v>4113</v>
      </c>
      <c r="AA290" s="9" t="s">
        <v>3880</v>
      </c>
      <c r="AB290" s="27" t="s">
        <v>86</v>
      </c>
      <c r="AC290" s="23" t="s">
        <v>664</v>
      </c>
    </row>
    <row r="291" customFormat="false" ht="19.5" hidden="false" customHeight="true" outlineLevel="0" collapsed="false">
      <c r="A291" s="25" t="s">
        <v>4121</v>
      </c>
      <c r="B291" s="25" t="s">
        <v>576</v>
      </c>
      <c r="C291" s="12" t="s">
        <v>577</v>
      </c>
      <c r="D291" s="12" t="s">
        <v>344</v>
      </c>
      <c r="E291" s="12" t="s">
        <v>572</v>
      </c>
      <c r="F291" s="25" t="s">
        <v>777</v>
      </c>
      <c r="G291" s="25" t="n">
        <v>2020</v>
      </c>
      <c r="H291" s="25" t="n">
        <v>5</v>
      </c>
      <c r="I291" s="25" t="s">
        <v>3879</v>
      </c>
      <c r="J291" s="18" t="n">
        <v>1</v>
      </c>
      <c r="K291" s="14" t="n">
        <v>9.4</v>
      </c>
      <c r="L291" s="29"/>
      <c r="M291" s="14" t="n">
        <v>9.8</v>
      </c>
      <c r="N291" s="29"/>
      <c r="O291" s="32" t="n">
        <v>-0.4</v>
      </c>
      <c r="P291" s="14" t="n">
        <v>8.7</v>
      </c>
      <c r="Q291" s="25" t="n">
        <v>1</v>
      </c>
      <c r="R291" s="25" t="n">
        <v>1</v>
      </c>
      <c r="S291" s="25" t="n">
        <v>1</v>
      </c>
      <c r="T291" s="25" t="n">
        <v>1</v>
      </c>
      <c r="U291" s="29"/>
      <c r="V291" s="29"/>
      <c r="W291" s="29"/>
      <c r="X291" s="29"/>
      <c r="Y291" s="29"/>
      <c r="Z291" s="25" t="s">
        <v>4113</v>
      </c>
      <c r="AA291" s="12" t="s">
        <v>3880</v>
      </c>
      <c r="AB291" s="25" t="s">
        <v>86</v>
      </c>
      <c r="AC291" s="22" t="s">
        <v>681</v>
      </c>
    </row>
    <row r="292" customFormat="false" ht="19.5" hidden="false" customHeight="true" outlineLevel="0" collapsed="false">
      <c r="A292" s="27" t="s">
        <v>4122</v>
      </c>
      <c r="B292" s="27" t="s">
        <v>576</v>
      </c>
      <c r="C292" s="9" t="s">
        <v>577</v>
      </c>
      <c r="D292" s="9" t="s">
        <v>344</v>
      </c>
      <c r="E292" s="9" t="s">
        <v>572</v>
      </c>
      <c r="F292" s="27" t="s">
        <v>790</v>
      </c>
      <c r="G292" s="27" t="n">
        <v>2020</v>
      </c>
      <c r="H292" s="27" t="n">
        <v>5</v>
      </c>
      <c r="I292" s="27" t="s">
        <v>3879</v>
      </c>
      <c r="J292" s="20" t="n">
        <v>1</v>
      </c>
      <c r="K292" s="11" t="n">
        <v>8.7</v>
      </c>
      <c r="L292" s="30"/>
      <c r="M292" s="11" t="n">
        <v>9.4</v>
      </c>
      <c r="N292" s="11" t="n">
        <v>9.8</v>
      </c>
      <c r="O292" s="31" t="n">
        <v>-0.7</v>
      </c>
      <c r="P292" s="11" t="n">
        <v>7.9</v>
      </c>
      <c r="Q292" s="27" t="n">
        <v>1</v>
      </c>
      <c r="R292" s="27" t="n">
        <v>1</v>
      </c>
      <c r="S292" s="27" t="n">
        <v>1</v>
      </c>
      <c r="T292" s="27" t="n">
        <v>1</v>
      </c>
      <c r="U292" s="30"/>
      <c r="V292" s="30"/>
      <c r="W292" s="30"/>
      <c r="X292" s="30"/>
      <c r="Y292" s="30"/>
      <c r="Z292" s="27" t="s">
        <v>4113</v>
      </c>
      <c r="AA292" s="9" t="s">
        <v>3880</v>
      </c>
      <c r="AB292" s="27" t="s">
        <v>86</v>
      </c>
      <c r="AC292" s="23" t="s">
        <v>697</v>
      </c>
    </row>
    <row r="293" customFormat="false" ht="19.5" hidden="false" customHeight="true" outlineLevel="0" collapsed="false">
      <c r="A293" s="25" t="s">
        <v>4123</v>
      </c>
      <c r="B293" s="25" t="s">
        <v>576</v>
      </c>
      <c r="C293" s="12" t="s">
        <v>577</v>
      </c>
      <c r="D293" s="12" t="s">
        <v>344</v>
      </c>
      <c r="E293" s="12" t="s">
        <v>572</v>
      </c>
      <c r="F293" s="25" t="s">
        <v>803</v>
      </c>
      <c r="G293" s="25" t="n">
        <v>2020</v>
      </c>
      <c r="H293" s="25" t="n">
        <v>5</v>
      </c>
      <c r="I293" s="25" t="s">
        <v>3879</v>
      </c>
      <c r="J293" s="18" t="n">
        <v>1</v>
      </c>
      <c r="K293" s="14" t="n">
        <v>7.9</v>
      </c>
      <c r="L293" s="29"/>
      <c r="M293" s="14" t="n">
        <v>8.7</v>
      </c>
      <c r="N293" s="14" t="n">
        <v>9.4</v>
      </c>
      <c r="O293" s="32" t="n">
        <v>-0.8</v>
      </c>
      <c r="P293" s="14" t="n">
        <v>7.4</v>
      </c>
      <c r="Q293" s="25" t="n">
        <v>1</v>
      </c>
      <c r="R293" s="25" t="n">
        <v>1</v>
      </c>
      <c r="S293" s="25" t="n">
        <v>1</v>
      </c>
      <c r="T293" s="25" t="n">
        <v>1</v>
      </c>
      <c r="U293" s="29"/>
      <c r="V293" s="29"/>
      <c r="W293" s="29"/>
      <c r="X293" s="29"/>
      <c r="Y293" s="29"/>
      <c r="Z293" s="25" t="s">
        <v>4113</v>
      </c>
      <c r="AA293" s="12" t="s">
        <v>3880</v>
      </c>
      <c r="AB293" s="25" t="s">
        <v>86</v>
      </c>
      <c r="AC293" s="22" t="s">
        <v>713</v>
      </c>
    </row>
    <row r="294" customFormat="false" ht="19.5" hidden="false" customHeight="true" outlineLevel="0" collapsed="false">
      <c r="A294" s="27" t="s">
        <v>4124</v>
      </c>
      <c r="B294" s="27" t="s">
        <v>576</v>
      </c>
      <c r="C294" s="9" t="s">
        <v>577</v>
      </c>
      <c r="D294" s="9" t="s">
        <v>344</v>
      </c>
      <c r="E294" s="9" t="s">
        <v>572</v>
      </c>
      <c r="F294" s="27" t="s">
        <v>816</v>
      </c>
      <c r="G294" s="27" t="n">
        <v>2020</v>
      </c>
      <c r="H294" s="27" t="n">
        <v>5</v>
      </c>
      <c r="I294" s="27" t="s">
        <v>3879</v>
      </c>
      <c r="J294" s="20" t="n">
        <v>1</v>
      </c>
      <c r="K294" s="11" t="n">
        <v>7.4</v>
      </c>
      <c r="L294" s="30"/>
      <c r="M294" s="11" t="n">
        <v>7.9</v>
      </c>
      <c r="N294" s="11" t="n">
        <v>8.7</v>
      </c>
      <c r="O294" s="31" t="n">
        <v>-0.5</v>
      </c>
      <c r="P294" s="30"/>
      <c r="Q294" s="27" t="n">
        <v>1</v>
      </c>
      <c r="R294" s="27" t="n">
        <v>1</v>
      </c>
      <c r="S294" s="27" t="n">
        <v>1</v>
      </c>
      <c r="T294" s="27" t="n">
        <v>1</v>
      </c>
      <c r="U294" s="30"/>
      <c r="V294" s="30"/>
      <c r="W294" s="30"/>
      <c r="X294" s="30"/>
      <c r="Y294" s="30"/>
      <c r="Z294" s="27" t="s">
        <v>4113</v>
      </c>
      <c r="AA294" s="9" t="s">
        <v>3880</v>
      </c>
      <c r="AB294" s="27" t="s">
        <v>86</v>
      </c>
      <c r="AC294" s="23" t="s">
        <v>729</v>
      </c>
    </row>
    <row r="295" customFormat="false" ht="19.5" hidden="false" customHeight="true" outlineLevel="0" collapsed="false">
      <c r="A295" s="25" t="s">
        <v>4125</v>
      </c>
      <c r="B295" s="25" t="s">
        <v>576</v>
      </c>
      <c r="C295" s="12" t="s">
        <v>577</v>
      </c>
      <c r="D295" s="12" t="s">
        <v>344</v>
      </c>
      <c r="E295" s="12" t="s">
        <v>572</v>
      </c>
      <c r="F295" s="25" t="s">
        <v>975</v>
      </c>
      <c r="G295" s="25" t="n">
        <v>2025</v>
      </c>
      <c r="H295" s="25" t="n">
        <v>2</v>
      </c>
      <c r="I295" s="25" t="s">
        <v>3879</v>
      </c>
      <c r="J295" s="18" t="n">
        <v>1</v>
      </c>
      <c r="K295" s="14" t="n">
        <v>2.9</v>
      </c>
      <c r="L295" s="29"/>
      <c r="M295" s="29"/>
      <c r="N295" s="29"/>
      <c r="O295" s="29"/>
      <c r="P295" s="29"/>
      <c r="Q295" s="25" t="n">
        <v>1</v>
      </c>
      <c r="R295" s="25" t="n">
        <v>1</v>
      </c>
      <c r="S295" s="25" t="n">
        <v>1</v>
      </c>
      <c r="T295" s="25" t="n">
        <v>1</v>
      </c>
      <c r="U295" s="29"/>
      <c r="V295" s="29"/>
      <c r="W295" s="29"/>
      <c r="X295" s="29"/>
      <c r="Y295" s="29"/>
      <c r="Z295" s="25" t="s">
        <v>4113</v>
      </c>
      <c r="AA295" s="12" t="s">
        <v>3887</v>
      </c>
      <c r="AB295" s="25" t="s">
        <v>86</v>
      </c>
      <c r="AC295" s="22" t="s">
        <v>197</v>
      </c>
    </row>
    <row r="296" customFormat="false" ht="19.5" hidden="false" customHeight="true" outlineLevel="0" collapsed="false">
      <c r="A296" s="27" t="s">
        <v>4126</v>
      </c>
      <c r="B296" s="27" t="s">
        <v>576</v>
      </c>
      <c r="C296" s="9" t="s">
        <v>577</v>
      </c>
      <c r="D296" s="9" t="s">
        <v>344</v>
      </c>
      <c r="E296" s="9" t="s">
        <v>572</v>
      </c>
      <c r="F296" s="27" t="s">
        <v>1102</v>
      </c>
      <c r="G296" s="27" t="n">
        <v>2025</v>
      </c>
      <c r="H296" s="27" t="n">
        <v>5</v>
      </c>
      <c r="I296" s="27" t="s">
        <v>3879</v>
      </c>
      <c r="J296" s="20" t="n">
        <v>1</v>
      </c>
      <c r="K296" s="11" t="n">
        <v>2.4</v>
      </c>
      <c r="L296" s="30"/>
      <c r="M296" s="30"/>
      <c r="N296" s="30"/>
      <c r="O296" s="30"/>
      <c r="P296" s="11" t="n">
        <v>2.1</v>
      </c>
      <c r="Q296" s="27" t="n">
        <v>1</v>
      </c>
      <c r="R296" s="27" t="n">
        <v>1</v>
      </c>
      <c r="S296" s="27" t="n">
        <v>1</v>
      </c>
      <c r="T296" s="27" t="n">
        <v>1</v>
      </c>
      <c r="U296" s="30"/>
      <c r="V296" s="30"/>
      <c r="W296" s="30"/>
      <c r="X296" s="30"/>
      <c r="Y296" s="30"/>
      <c r="Z296" s="27" t="s">
        <v>4113</v>
      </c>
      <c r="AA296" s="9" t="s">
        <v>3887</v>
      </c>
      <c r="AB296" s="27" t="s">
        <v>86</v>
      </c>
      <c r="AC296" s="23" t="s">
        <v>664</v>
      </c>
    </row>
    <row r="297" customFormat="false" ht="19.5" hidden="false" customHeight="true" outlineLevel="0" collapsed="false">
      <c r="A297" s="25" t="s">
        <v>4127</v>
      </c>
      <c r="B297" s="25" t="s">
        <v>576</v>
      </c>
      <c r="C297" s="12" t="s">
        <v>577</v>
      </c>
      <c r="D297" s="12" t="s">
        <v>344</v>
      </c>
      <c r="E297" s="12" t="s">
        <v>572</v>
      </c>
      <c r="F297" s="25" t="s">
        <v>1117</v>
      </c>
      <c r="G297" s="25" t="n">
        <v>2025</v>
      </c>
      <c r="H297" s="25" t="n">
        <v>5</v>
      </c>
      <c r="I297" s="25" t="s">
        <v>3879</v>
      </c>
      <c r="J297" s="18" t="n">
        <v>1</v>
      </c>
      <c r="K297" s="14" t="n">
        <v>2.1</v>
      </c>
      <c r="L297" s="29"/>
      <c r="M297" s="14" t="n">
        <v>2.4</v>
      </c>
      <c r="N297" s="29"/>
      <c r="O297" s="32" t="n">
        <v>-0.3</v>
      </c>
      <c r="P297" s="14" t="n">
        <v>2.4</v>
      </c>
      <c r="Q297" s="25" t="n">
        <v>1</v>
      </c>
      <c r="R297" s="25" t="n">
        <v>1</v>
      </c>
      <c r="S297" s="25" t="n">
        <v>1</v>
      </c>
      <c r="T297" s="25" t="n">
        <v>1</v>
      </c>
      <c r="U297" s="29"/>
      <c r="V297" s="29"/>
      <c r="W297" s="29"/>
      <c r="X297" s="29"/>
      <c r="Y297" s="29"/>
      <c r="Z297" s="25" t="s">
        <v>4113</v>
      </c>
      <c r="AA297" s="12" t="s">
        <v>3887</v>
      </c>
      <c r="AB297" s="25" t="s">
        <v>86</v>
      </c>
      <c r="AC297" s="22" t="s">
        <v>681</v>
      </c>
    </row>
    <row r="298" customFormat="false" ht="19.5" hidden="false" customHeight="true" outlineLevel="0" collapsed="false">
      <c r="A298" s="27" t="s">
        <v>4128</v>
      </c>
      <c r="B298" s="27" t="s">
        <v>576</v>
      </c>
      <c r="C298" s="9" t="s">
        <v>577</v>
      </c>
      <c r="D298" s="9" t="s">
        <v>344</v>
      </c>
      <c r="E298" s="9" t="s">
        <v>572</v>
      </c>
      <c r="F298" s="27" t="s">
        <v>1132</v>
      </c>
      <c r="G298" s="27" t="n">
        <v>2025</v>
      </c>
      <c r="H298" s="27" t="n">
        <v>5</v>
      </c>
      <c r="I298" s="27" t="s">
        <v>3879</v>
      </c>
      <c r="J298" s="20" t="n">
        <v>1</v>
      </c>
      <c r="K298" s="11" t="n">
        <v>2.4</v>
      </c>
      <c r="L298" s="30"/>
      <c r="M298" s="11" t="n">
        <v>2.1</v>
      </c>
      <c r="N298" s="11" t="n">
        <v>2.4</v>
      </c>
      <c r="O298" s="31" t="n">
        <v>0.3</v>
      </c>
      <c r="P298" s="11" t="n">
        <v>2.5</v>
      </c>
      <c r="Q298" s="27" t="n">
        <v>1</v>
      </c>
      <c r="R298" s="27" t="n">
        <v>1</v>
      </c>
      <c r="S298" s="27" t="n">
        <v>1</v>
      </c>
      <c r="T298" s="27" t="n">
        <v>1</v>
      </c>
      <c r="U298" s="30"/>
      <c r="V298" s="30"/>
      <c r="W298" s="30"/>
      <c r="X298" s="30"/>
      <c r="Y298" s="30"/>
      <c r="Z298" s="27" t="s">
        <v>4113</v>
      </c>
      <c r="AA298" s="9" t="s">
        <v>3887</v>
      </c>
      <c r="AB298" s="27" t="s">
        <v>86</v>
      </c>
      <c r="AC298" s="23" t="s">
        <v>697</v>
      </c>
    </row>
    <row r="299" customFormat="false" ht="19.5" hidden="false" customHeight="true" outlineLevel="0" collapsed="false">
      <c r="A299" s="25" t="s">
        <v>4129</v>
      </c>
      <c r="B299" s="25" t="s">
        <v>576</v>
      </c>
      <c r="C299" s="12" t="s">
        <v>577</v>
      </c>
      <c r="D299" s="12" t="s">
        <v>344</v>
      </c>
      <c r="E299" s="12" t="s">
        <v>572</v>
      </c>
      <c r="F299" s="25" t="s">
        <v>1147</v>
      </c>
      <c r="G299" s="25" t="n">
        <v>2025</v>
      </c>
      <c r="H299" s="25" t="n">
        <v>5</v>
      </c>
      <c r="I299" s="25" t="s">
        <v>3879</v>
      </c>
      <c r="J299" s="18" t="n">
        <v>1</v>
      </c>
      <c r="K299" s="14" t="n">
        <v>2.5</v>
      </c>
      <c r="L299" s="29"/>
      <c r="M299" s="14" t="n">
        <v>2.4</v>
      </c>
      <c r="N299" s="14" t="n">
        <v>2.1</v>
      </c>
      <c r="O299" s="32" t="n">
        <v>0.1</v>
      </c>
      <c r="P299" s="14" t="n">
        <v>2.6</v>
      </c>
      <c r="Q299" s="25" t="n">
        <v>1</v>
      </c>
      <c r="R299" s="25" t="n">
        <v>1</v>
      </c>
      <c r="S299" s="25" t="n">
        <v>1</v>
      </c>
      <c r="T299" s="25" t="n">
        <v>1</v>
      </c>
      <c r="U299" s="29"/>
      <c r="V299" s="29"/>
      <c r="W299" s="29"/>
      <c r="X299" s="29"/>
      <c r="Y299" s="29"/>
      <c r="Z299" s="25" t="s">
        <v>4113</v>
      </c>
      <c r="AA299" s="12" t="s">
        <v>3887</v>
      </c>
      <c r="AB299" s="25" t="s">
        <v>86</v>
      </c>
      <c r="AC299" s="22" t="s">
        <v>713</v>
      </c>
    </row>
    <row r="300" customFormat="false" ht="19.5" hidden="false" customHeight="true" outlineLevel="0" collapsed="false">
      <c r="A300" s="27" t="s">
        <v>4130</v>
      </c>
      <c r="B300" s="27" t="s">
        <v>576</v>
      </c>
      <c r="C300" s="9" t="s">
        <v>577</v>
      </c>
      <c r="D300" s="9" t="s">
        <v>344</v>
      </c>
      <c r="E300" s="9" t="s">
        <v>572</v>
      </c>
      <c r="F300" s="27" t="s">
        <v>1162</v>
      </c>
      <c r="G300" s="27" t="n">
        <v>2025</v>
      </c>
      <c r="H300" s="27" t="n">
        <v>5</v>
      </c>
      <c r="I300" s="27" t="s">
        <v>3879</v>
      </c>
      <c r="J300" s="20" t="n">
        <v>1</v>
      </c>
      <c r="K300" s="11" t="n">
        <v>2.6</v>
      </c>
      <c r="L300" s="30"/>
      <c r="M300" s="11" t="n">
        <v>2.5</v>
      </c>
      <c r="N300" s="11" t="n">
        <v>2.4</v>
      </c>
      <c r="O300" s="31" t="n">
        <v>0.1</v>
      </c>
      <c r="P300" s="30"/>
      <c r="Q300" s="27" t="n">
        <v>1</v>
      </c>
      <c r="R300" s="27" t="n">
        <v>1</v>
      </c>
      <c r="S300" s="27" t="n">
        <v>1</v>
      </c>
      <c r="T300" s="27" t="n">
        <v>1</v>
      </c>
      <c r="U300" s="30"/>
      <c r="V300" s="30"/>
      <c r="W300" s="30"/>
      <c r="X300" s="30"/>
      <c r="Y300" s="30"/>
      <c r="Z300" s="27" t="s">
        <v>4113</v>
      </c>
      <c r="AA300" s="9" t="s">
        <v>3887</v>
      </c>
      <c r="AB300" s="27" t="s">
        <v>86</v>
      </c>
      <c r="AC300" s="23" t="s">
        <v>729</v>
      </c>
    </row>
    <row r="301" customFormat="false" ht="19.5" hidden="false" customHeight="true" outlineLevel="0" collapsed="false">
      <c r="A301" s="25" t="s">
        <v>4131</v>
      </c>
      <c r="B301" s="25" t="s">
        <v>576</v>
      </c>
      <c r="C301" s="12" t="s">
        <v>577</v>
      </c>
      <c r="D301" s="12" t="s">
        <v>344</v>
      </c>
      <c r="E301" s="12" t="s">
        <v>572</v>
      </c>
      <c r="F301" s="25" t="s">
        <v>1177</v>
      </c>
      <c r="G301" s="25" t="n">
        <v>2026</v>
      </c>
      <c r="H301" s="25" t="n">
        <v>2</v>
      </c>
      <c r="I301" s="25" t="s">
        <v>3879</v>
      </c>
      <c r="J301" s="18" t="n">
        <v>1</v>
      </c>
      <c r="K301" s="14" t="n">
        <v>1.3</v>
      </c>
      <c r="L301" s="29"/>
      <c r="M301" s="29"/>
      <c r="N301" s="29"/>
      <c r="O301" s="29"/>
      <c r="P301" s="14" t="n">
        <v>1</v>
      </c>
      <c r="Q301" s="25" t="n">
        <v>1</v>
      </c>
      <c r="R301" s="25" t="n">
        <v>1</v>
      </c>
      <c r="S301" s="25" t="n">
        <v>1</v>
      </c>
      <c r="T301" s="25" t="n">
        <v>0</v>
      </c>
      <c r="U301" s="29"/>
      <c r="V301" s="29"/>
      <c r="W301" s="29"/>
      <c r="X301" s="29"/>
      <c r="Y301" s="29"/>
      <c r="Z301" s="25" t="s">
        <v>4113</v>
      </c>
      <c r="AA301" s="12" t="s">
        <v>3894</v>
      </c>
      <c r="AB301" s="25" t="s">
        <v>86</v>
      </c>
      <c r="AC301" s="22" t="s">
        <v>197</v>
      </c>
    </row>
    <row r="302" customFormat="false" ht="19.5" hidden="false" customHeight="true" outlineLevel="0" collapsed="false">
      <c r="A302" s="27" t="s">
        <v>4132</v>
      </c>
      <c r="B302" s="27" t="s">
        <v>576</v>
      </c>
      <c r="C302" s="9" t="s">
        <v>577</v>
      </c>
      <c r="D302" s="9" t="s">
        <v>344</v>
      </c>
      <c r="E302" s="9" t="s">
        <v>572</v>
      </c>
      <c r="F302" s="27" t="s">
        <v>1194</v>
      </c>
      <c r="G302" s="27" t="n">
        <v>2026</v>
      </c>
      <c r="H302" s="27" t="n">
        <v>2</v>
      </c>
      <c r="I302" s="27" t="s">
        <v>3879</v>
      </c>
      <c r="J302" s="20" t="n">
        <v>1</v>
      </c>
      <c r="K302" s="11" t="n">
        <v>1</v>
      </c>
      <c r="L302" s="30"/>
      <c r="M302" s="11" t="n">
        <v>1.3</v>
      </c>
      <c r="N302" s="30"/>
      <c r="O302" s="31" t="n">
        <v>-0.3</v>
      </c>
      <c r="P302" s="30"/>
      <c r="Q302" s="27" t="n">
        <v>1</v>
      </c>
      <c r="R302" s="27" t="n">
        <v>1</v>
      </c>
      <c r="S302" s="27" t="n">
        <v>0</v>
      </c>
      <c r="T302" s="27" t="n">
        <v>0</v>
      </c>
      <c r="U302" s="11" t="n">
        <v>1.55</v>
      </c>
      <c r="V302" s="30"/>
      <c r="W302" s="30"/>
      <c r="X302" s="30"/>
      <c r="Y302" s="30"/>
      <c r="Z302" s="27" t="s">
        <v>2931</v>
      </c>
      <c r="AA302" s="9" t="s">
        <v>3894</v>
      </c>
      <c r="AB302" s="27" t="s">
        <v>86</v>
      </c>
      <c r="AC302" s="23" t="s">
        <v>197</v>
      </c>
    </row>
    <row r="303" customFormat="false" ht="19.5" hidden="false" customHeight="true" outlineLevel="0" collapsed="false">
      <c r="A303" s="25" t="s">
        <v>4133</v>
      </c>
      <c r="B303" s="25" t="s">
        <v>576</v>
      </c>
      <c r="C303" s="12" t="s">
        <v>577</v>
      </c>
      <c r="D303" s="12" t="s">
        <v>344</v>
      </c>
      <c r="E303" s="12" t="s">
        <v>572</v>
      </c>
      <c r="F303" s="25" t="s">
        <v>1231</v>
      </c>
      <c r="G303" s="25" t="n">
        <v>2026</v>
      </c>
      <c r="H303" s="25" t="n">
        <v>5</v>
      </c>
      <c r="I303" s="25" t="s">
        <v>3879</v>
      </c>
      <c r="J303" s="18" t="n">
        <v>1</v>
      </c>
      <c r="K303" s="14" t="n">
        <v>2.2</v>
      </c>
      <c r="L303" s="29"/>
      <c r="M303" s="29"/>
      <c r="N303" s="29"/>
      <c r="O303" s="29"/>
      <c r="P303" s="14" t="n">
        <v>2</v>
      </c>
      <c r="Q303" s="25" t="n">
        <v>1</v>
      </c>
      <c r="R303" s="25" t="n">
        <v>1</v>
      </c>
      <c r="S303" s="25" t="n">
        <v>1</v>
      </c>
      <c r="T303" s="25" t="n">
        <v>1</v>
      </c>
      <c r="U303" s="29"/>
      <c r="V303" s="29"/>
      <c r="W303" s="29"/>
      <c r="X303" s="29"/>
      <c r="Y303" s="29"/>
      <c r="Z303" s="25" t="s">
        <v>2939</v>
      </c>
      <c r="AA303" s="12" t="s">
        <v>3894</v>
      </c>
      <c r="AB303" s="25" t="s">
        <v>86</v>
      </c>
      <c r="AC303" s="22" t="s">
        <v>664</v>
      </c>
    </row>
    <row r="304" customFormat="false" ht="19.5" hidden="false" customHeight="true" outlineLevel="0" collapsed="false">
      <c r="A304" s="27" t="s">
        <v>4134</v>
      </c>
      <c r="B304" s="27" t="s">
        <v>576</v>
      </c>
      <c r="C304" s="9" t="s">
        <v>577</v>
      </c>
      <c r="D304" s="9" t="s">
        <v>344</v>
      </c>
      <c r="E304" s="9" t="s">
        <v>572</v>
      </c>
      <c r="F304" s="27" t="s">
        <v>1246</v>
      </c>
      <c r="G304" s="27" t="n">
        <v>2026</v>
      </c>
      <c r="H304" s="27" t="n">
        <v>5</v>
      </c>
      <c r="I304" s="27" t="s">
        <v>3879</v>
      </c>
      <c r="J304" s="20" t="n">
        <v>1</v>
      </c>
      <c r="K304" s="11" t="n">
        <v>2</v>
      </c>
      <c r="L304" s="30"/>
      <c r="M304" s="11" t="n">
        <v>2.2</v>
      </c>
      <c r="N304" s="30"/>
      <c r="O304" s="31" t="n">
        <v>-0.2</v>
      </c>
      <c r="P304" s="11" t="n">
        <v>1.5</v>
      </c>
      <c r="Q304" s="27" t="n">
        <v>1</v>
      </c>
      <c r="R304" s="27" t="n">
        <v>1</v>
      </c>
      <c r="S304" s="27" t="n">
        <v>1</v>
      </c>
      <c r="T304" s="27" t="n">
        <v>0</v>
      </c>
      <c r="U304" s="30"/>
      <c r="V304" s="30"/>
      <c r="W304" s="30"/>
      <c r="X304" s="30"/>
      <c r="Y304" s="30"/>
      <c r="Z304" s="27" t="s">
        <v>2939</v>
      </c>
      <c r="AA304" s="9" t="s">
        <v>3894</v>
      </c>
      <c r="AB304" s="27" t="s">
        <v>86</v>
      </c>
      <c r="AC304" s="23" t="s">
        <v>664</v>
      </c>
    </row>
    <row r="305" customFormat="false" ht="19.5" hidden="false" customHeight="true" outlineLevel="0" collapsed="false">
      <c r="A305" s="25" t="s">
        <v>4135</v>
      </c>
      <c r="B305" s="25" t="s">
        <v>576</v>
      </c>
      <c r="C305" s="12" t="s">
        <v>577</v>
      </c>
      <c r="D305" s="12" t="s">
        <v>344</v>
      </c>
      <c r="E305" s="12" t="s">
        <v>572</v>
      </c>
      <c r="F305" s="25" t="s">
        <v>1261</v>
      </c>
      <c r="G305" s="25" t="n">
        <v>2026</v>
      </c>
      <c r="H305" s="25" t="n">
        <v>5</v>
      </c>
      <c r="I305" s="25" t="s">
        <v>3879</v>
      </c>
      <c r="J305" s="18" t="n">
        <v>1</v>
      </c>
      <c r="K305" s="14" t="n">
        <v>1.5</v>
      </c>
      <c r="L305" s="29"/>
      <c r="M305" s="14" t="n">
        <v>2</v>
      </c>
      <c r="N305" s="14" t="n">
        <v>2.2</v>
      </c>
      <c r="O305" s="32" t="n">
        <v>-0.5</v>
      </c>
      <c r="P305" s="14" t="n">
        <v>1.5</v>
      </c>
      <c r="Q305" s="25" t="n">
        <v>1</v>
      </c>
      <c r="R305" s="25" t="n">
        <v>1</v>
      </c>
      <c r="S305" s="25" t="n">
        <v>1</v>
      </c>
      <c r="T305" s="25" t="n">
        <v>0</v>
      </c>
      <c r="U305" s="29"/>
      <c r="V305" s="29"/>
      <c r="W305" s="29"/>
      <c r="X305" s="29"/>
      <c r="Y305" s="29"/>
      <c r="Z305" s="25" t="s">
        <v>2939</v>
      </c>
      <c r="AA305" s="12" t="s">
        <v>3894</v>
      </c>
      <c r="AB305" s="25" t="s">
        <v>86</v>
      </c>
      <c r="AC305" s="22" t="s">
        <v>681</v>
      </c>
    </row>
    <row r="306" customFormat="false" ht="19.5" hidden="false" customHeight="true" outlineLevel="0" collapsed="false">
      <c r="A306" s="27" t="s">
        <v>4136</v>
      </c>
      <c r="B306" s="27" t="s">
        <v>576</v>
      </c>
      <c r="C306" s="9" t="s">
        <v>577</v>
      </c>
      <c r="D306" s="9" t="s">
        <v>344</v>
      </c>
      <c r="E306" s="9" t="s">
        <v>572</v>
      </c>
      <c r="F306" s="27" t="s">
        <v>1276</v>
      </c>
      <c r="G306" s="27" t="n">
        <v>2026</v>
      </c>
      <c r="H306" s="27" t="n">
        <v>5</v>
      </c>
      <c r="I306" s="27" t="s">
        <v>3879</v>
      </c>
      <c r="J306" s="20" t="n">
        <v>1</v>
      </c>
      <c r="K306" s="11" t="n">
        <v>1.5</v>
      </c>
      <c r="L306" s="30"/>
      <c r="M306" s="11" t="n">
        <v>1.5</v>
      </c>
      <c r="N306" s="11" t="n">
        <v>2</v>
      </c>
      <c r="O306" s="31" t="n">
        <v>0</v>
      </c>
      <c r="P306" s="11" t="n">
        <v>1.4</v>
      </c>
      <c r="Q306" s="27" t="n">
        <v>1</v>
      </c>
      <c r="R306" s="27" t="n">
        <v>1</v>
      </c>
      <c r="S306" s="27" t="n">
        <v>1</v>
      </c>
      <c r="T306" s="27" t="n">
        <v>0</v>
      </c>
      <c r="U306" s="30"/>
      <c r="V306" s="30"/>
      <c r="W306" s="30"/>
      <c r="X306" s="30"/>
      <c r="Y306" s="30"/>
      <c r="Z306" s="27" t="s">
        <v>2939</v>
      </c>
      <c r="AA306" s="9" t="s">
        <v>3894</v>
      </c>
      <c r="AB306" s="27" t="s">
        <v>86</v>
      </c>
      <c r="AC306" s="23" t="s">
        <v>697</v>
      </c>
    </row>
    <row r="307" customFormat="false" ht="19.5" hidden="false" customHeight="true" outlineLevel="0" collapsed="false">
      <c r="A307" s="25" t="s">
        <v>4137</v>
      </c>
      <c r="B307" s="25" t="s">
        <v>576</v>
      </c>
      <c r="C307" s="12" t="s">
        <v>577</v>
      </c>
      <c r="D307" s="12" t="s">
        <v>344</v>
      </c>
      <c r="E307" s="12" t="s">
        <v>572</v>
      </c>
      <c r="F307" s="25" t="s">
        <v>1291</v>
      </c>
      <c r="G307" s="25" t="n">
        <v>2026</v>
      </c>
      <c r="H307" s="25" t="n">
        <v>5</v>
      </c>
      <c r="I307" s="25" t="s">
        <v>3879</v>
      </c>
      <c r="J307" s="18" t="n">
        <v>1</v>
      </c>
      <c r="K307" s="14" t="n">
        <v>1.4</v>
      </c>
      <c r="L307" s="29"/>
      <c r="M307" s="14" t="n">
        <v>1.5</v>
      </c>
      <c r="N307" s="14" t="n">
        <v>1.5</v>
      </c>
      <c r="O307" s="32" t="n">
        <v>-0.1</v>
      </c>
      <c r="P307" s="14" t="n">
        <v>0.9</v>
      </c>
      <c r="Q307" s="25" t="n">
        <v>1</v>
      </c>
      <c r="R307" s="25" t="n">
        <v>1</v>
      </c>
      <c r="S307" s="25" t="n">
        <v>1</v>
      </c>
      <c r="T307" s="25" t="n">
        <v>0</v>
      </c>
      <c r="U307" s="29"/>
      <c r="V307" s="29"/>
      <c r="W307" s="29"/>
      <c r="X307" s="29"/>
      <c r="Y307" s="29"/>
      <c r="Z307" s="25" t="s">
        <v>2939</v>
      </c>
      <c r="AA307" s="12" t="s">
        <v>3894</v>
      </c>
      <c r="AB307" s="25" t="s">
        <v>86</v>
      </c>
      <c r="AC307" s="22" t="s">
        <v>713</v>
      </c>
    </row>
    <row r="308" customFormat="false" ht="19.5" hidden="false" customHeight="true" outlineLevel="0" collapsed="false">
      <c r="A308" s="27" t="s">
        <v>4138</v>
      </c>
      <c r="B308" s="27" t="s">
        <v>576</v>
      </c>
      <c r="C308" s="9" t="s">
        <v>577</v>
      </c>
      <c r="D308" s="9" t="s">
        <v>344</v>
      </c>
      <c r="E308" s="9" t="s">
        <v>572</v>
      </c>
      <c r="F308" s="27" t="s">
        <v>1306</v>
      </c>
      <c r="G308" s="27" t="n">
        <v>2026</v>
      </c>
      <c r="H308" s="27" t="n">
        <v>5</v>
      </c>
      <c r="I308" s="27" t="s">
        <v>3879</v>
      </c>
      <c r="J308" s="20" t="n">
        <v>1</v>
      </c>
      <c r="K308" s="11" t="n">
        <v>0.9</v>
      </c>
      <c r="L308" s="30"/>
      <c r="M308" s="11" t="n">
        <v>1.4</v>
      </c>
      <c r="N308" s="11" t="n">
        <v>1.5</v>
      </c>
      <c r="O308" s="31" t="n">
        <v>-0.5</v>
      </c>
      <c r="P308" s="30"/>
      <c r="Q308" s="27" t="n">
        <v>1</v>
      </c>
      <c r="R308" s="27" t="n">
        <v>1</v>
      </c>
      <c r="S308" s="27" t="n">
        <v>0</v>
      </c>
      <c r="T308" s="27" t="n">
        <v>0</v>
      </c>
      <c r="U308" s="30"/>
      <c r="V308" s="30"/>
      <c r="W308" s="30"/>
      <c r="X308" s="30"/>
      <c r="Y308" s="30"/>
      <c r="Z308" s="27" t="s">
        <v>2939</v>
      </c>
      <c r="AA308" s="9" t="s">
        <v>3894</v>
      </c>
      <c r="AB308" s="27" t="s">
        <v>86</v>
      </c>
      <c r="AC308" s="23" t="s">
        <v>729</v>
      </c>
    </row>
    <row r="309" customFormat="false" ht="19.5" hidden="false" customHeight="true" outlineLevel="0" collapsed="false">
      <c r="A309" s="25" t="s">
        <v>4139</v>
      </c>
      <c r="B309" s="25" t="s">
        <v>580</v>
      </c>
      <c r="C309" s="12" t="s">
        <v>581</v>
      </c>
      <c r="D309" s="12" t="s">
        <v>344</v>
      </c>
      <c r="E309" s="12" t="s">
        <v>582</v>
      </c>
      <c r="F309" s="25" t="s">
        <v>895</v>
      </c>
      <c r="G309" s="25" t="n">
        <v>2024</v>
      </c>
      <c r="H309" s="25" t="n">
        <v>3</v>
      </c>
      <c r="I309" s="25" t="s">
        <v>3879</v>
      </c>
      <c r="J309" s="18" t="n">
        <v>1</v>
      </c>
      <c r="K309" s="14" t="n">
        <v>0.7</v>
      </c>
      <c r="L309" s="29"/>
      <c r="M309" s="29"/>
      <c r="N309" s="29"/>
      <c r="O309" s="29"/>
      <c r="P309" s="29"/>
      <c r="Q309" s="25" t="n">
        <v>1</v>
      </c>
      <c r="R309" s="25" t="n">
        <v>0</v>
      </c>
      <c r="S309" s="25" t="n">
        <v>0</v>
      </c>
      <c r="T309" s="25" t="n">
        <v>0</v>
      </c>
      <c r="U309" s="29"/>
      <c r="V309" s="29"/>
      <c r="W309" s="29"/>
      <c r="X309" s="29"/>
      <c r="Y309" s="29"/>
      <c r="Z309" s="25" t="s">
        <v>2897</v>
      </c>
      <c r="AA309" s="12" t="s">
        <v>4140</v>
      </c>
      <c r="AB309" s="25" t="s">
        <v>113</v>
      </c>
      <c r="AC309" s="22" t="s">
        <v>896</v>
      </c>
    </row>
    <row r="310" customFormat="false" ht="19.5" hidden="false" customHeight="true" outlineLevel="0" collapsed="false">
      <c r="A310" s="27" t="s">
        <v>4141</v>
      </c>
      <c r="B310" s="27" t="s">
        <v>580</v>
      </c>
      <c r="C310" s="9" t="s">
        <v>581</v>
      </c>
      <c r="D310" s="9" t="s">
        <v>344</v>
      </c>
      <c r="E310" s="9" t="s">
        <v>582</v>
      </c>
      <c r="F310" s="27" t="s">
        <v>1009</v>
      </c>
      <c r="G310" s="27" t="n">
        <v>2025</v>
      </c>
      <c r="H310" s="27" t="n">
        <v>2</v>
      </c>
      <c r="I310" s="27" t="s">
        <v>3879</v>
      </c>
      <c r="J310" s="20" t="n">
        <v>1</v>
      </c>
      <c r="K310" s="11" t="n">
        <v>0.1</v>
      </c>
      <c r="L310" s="30"/>
      <c r="M310" s="30"/>
      <c r="N310" s="30"/>
      <c r="O310" s="30"/>
      <c r="P310" s="30"/>
      <c r="Q310" s="27" t="n">
        <v>0</v>
      </c>
      <c r="R310" s="27" t="n">
        <v>0</v>
      </c>
      <c r="S310" s="27" t="n">
        <v>0</v>
      </c>
      <c r="T310" s="27" t="n">
        <v>0</v>
      </c>
      <c r="U310" s="30"/>
      <c r="V310" s="30"/>
      <c r="W310" s="30"/>
      <c r="X310" s="30"/>
      <c r="Y310" s="30"/>
      <c r="Z310" s="27" t="s">
        <v>4113</v>
      </c>
      <c r="AA310" s="9" t="s">
        <v>3887</v>
      </c>
      <c r="AB310" s="27" t="s">
        <v>113</v>
      </c>
      <c r="AC310" s="23" t="s">
        <v>1010</v>
      </c>
    </row>
    <row r="311" customFormat="false" ht="19.5" hidden="false" customHeight="true" outlineLevel="0" collapsed="false">
      <c r="A311" s="25" t="s">
        <v>4142</v>
      </c>
      <c r="B311" s="25" t="s">
        <v>570</v>
      </c>
      <c r="C311" s="12" t="s">
        <v>571</v>
      </c>
      <c r="D311" s="12" t="s">
        <v>344</v>
      </c>
      <c r="E311" s="12" t="s">
        <v>572</v>
      </c>
      <c r="F311" s="25" t="s">
        <v>625</v>
      </c>
      <c r="G311" s="25" t="n">
        <v>2016</v>
      </c>
      <c r="H311" s="25" t="n">
        <v>2</v>
      </c>
      <c r="I311" s="25" t="s">
        <v>3879</v>
      </c>
      <c r="J311" s="18" t="n">
        <v>1</v>
      </c>
      <c r="K311" s="14" t="n">
        <v>5.3</v>
      </c>
      <c r="L311" s="29"/>
      <c r="M311" s="29"/>
      <c r="N311" s="29"/>
      <c r="O311" s="29"/>
      <c r="P311" s="29"/>
      <c r="Q311" s="25" t="n">
        <v>1</v>
      </c>
      <c r="R311" s="25" t="n">
        <v>1</v>
      </c>
      <c r="S311" s="25" t="n">
        <v>1</v>
      </c>
      <c r="T311" s="25" t="n">
        <v>1</v>
      </c>
      <c r="U311" s="29"/>
      <c r="V311" s="29"/>
      <c r="W311" s="29"/>
      <c r="X311" s="29"/>
      <c r="Y311" s="29"/>
      <c r="Z311" s="25" t="s">
        <v>4113</v>
      </c>
      <c r="AA311" s="12" t="s">
        <v>3880</v>
      </c>
      <c r="AB311" s="25" t="s">
        <v>86</v>
      </c>
      <c r="AC311" s="22" t="s">
        <v>197</v>
      </c>
    </row>
    <row r="312" customFormat="false" ht="19.5" hidden="false" customHeight="true" outlineLevel="0" collapsed="false">
      <c r="A312" s="27" t="s">
        <v>4143</v>
      </c>
      <c r="B312" s="27" t="s">
        <v>570</v>
      </c>
      <c r="C312" s="9" t="s">
        <v>571</v>
      </c>
      <c r="D312" s="9" t="s">
        <v>344</v>
      </c>
      <c r="E312" s="9" t="s">
        <v>572</v>
      </c>
      <c r="F312" s="27" t="s">
        <v>663</v>
      </c>
      <c r="G312" s="27" t="n">
        <v>2016</v>
      </c>
      <c r="H312" s="27" t="n">
        <v>5</v>
      </c>
      <c r="I312" s="27" t="s">
        <v>3879</v>
      </c>
      <c r="J312" s="20" t="n">
        <v>1</v>
      </c>
      <c r="K312" s="11" t="n">
        <v>7.1</v>
      </c>
      <c r="L312" s="30"/>
      <c r="M312" s="30"/>
      <c r="N312" s="30"/>
      <c r="O312" s="30"/>
      <c r="P312" s="11" t="n">
        <v>6.8</v>
      </c>
      <c r="Q312" s="27" t="n">
        <v>1</v>
      </c>
      <c r="R312" s="27" t="n">
        <v>1</v>
      </c>
      <c r="S312" s="27" t="n">
        <v>1</v>
      </c>
      <c r="T312" s="27" t="n">
        <v>1</v>
      </c>
      <c r="U312" s="30"/>
      <c r="V312" s="30"/>
      <c r="W312" s="30"/>
      <c r="X312" s="30"/>
      <c r="Y312" s="30"/>
      <c r="Z312" s="27" t="s">
        <v>4113</v>
      </c>
      <c r="AA312" s="9" t="s">
        <v>3880</v>
      </c>
      <c r="AB312" s="27" t="s">
        <v>86</v>
      </c>
      <c r="AC312" s="23" t="s">
        <v>664</v>
      </c>
    </row>
    <row r="313" customFormat="false" ht="19.5" hidden="false" customHeight="true" outlineLevel="0" collapsed="false">
      <c r="A313" s="25" t="s">
        <v>4144</v>
      </c>
      <c r="B313" s="25" t="s">
        <v>570</v>
      </c>
      <c r="C313" s="12" t="s">
        <v>571</v>
      </c>
      <c r="D313" s="12" t="s">
        <v>344</v>
      </c>
      <c r="E313" s="12" t="s">
        <v>572</v>
      </c>
      <c r="F313" s="25" t="s">
        <v>680</v>
      </c>
      <c r="G313" s="25" t="n">
        <v>2016</v>
      </c>
      <c r="H313" s="25" t="n">
        <v>5</v>
      </c>
      <c r="I313" s="25" t="s">
        <v>3879</v>
      </c>
      <c r="J313" s="18" t="n">
        <v>1</v>
      </c>
      <c r="K313" s="14" t="n">
        <v>6.8</v>
      </c>
      <c r="L313" s="29"/>
      <c r="M313" s="14" t="n">
        <v>7.1</v>
      </c>
      <c r="N313" s="29"/>
      <c r="O313" s="32" t="n">
        <v>-0.3</v>
      </c>
      <c r="P313" s="14" t="n">
        <v>6.6</v>
      </c>
      <c r="Q313" s="25" t="n">
        <v>1</v>
      </c>
      <c r="R313" s="25" t="n">
        <v>1</v>
      </c>
      <c r="S313" s="25" t="n">
        <v>1</v>
      </c>
      <c r="T313" s="25" t="n">
        <v>1</v>
      </c>
      <c r="U313" s="29"/>
      <c r="V313" s="29"/>
      <c r="W313" s="29"/>
      <c r="X313" s="29"/>
      <c r="Y313" s="29"/>
      <c r="Z313" s="25" t="s">
        <v>4113</v>
      </c>
      <c r="AA313" s="12" t="s">
        <v>3880</v>
      </c>
      <c r="AB313" s="25" t="s">
        <v>86</v>
      </c>
      <c r="AC313" s="22" t="s">
        <v>681</v>
      </c>
    </row>
    <row r="314" customFormat="false" ht="19.5" hidden="false" customHeight="true" outlineLevel="0" collapsed="false">
      <c r="A314" s="27" t="s">
        <v>4145</v>
      </c>
      <c r="B314" s="27" t="s">
        <v>570</v>
      </c>
      <c r="C314" s="9" t="s">
        <v>571</v>
      </c>
      <c r="D314" s="9" t="s">
        <v>344</v>
      </c>
      <c r="E314" s="9" t="s">
        <v>572</v>
      </c>
      <c r="F314" s="27" t="s">
        <v>696</v>
      </c>
      <c r="G314" s="27" t="n">
        <v>2016</v>
      </c>
      <c r="H314" s="27" t="n">
        <v>5</v>
      </c>
      <c r="I314" s="27" t="s">
        <v>3879</v>
      </c>
      <c r="J314" s="20" t="n">
        <v>1</v>
      </c>
      <c r="K314" s="11" t="n">
        <v>6.6</v>
      </c>
      <c r="L314" s="30"/>
      <c r="M314" s="11" t="n">
        <v>6.8</v>
      </c>
      <c r="N314" s="11" t="n">
        <v>7.1</v>
      </c>
      <c r="O314" s="31" t="n">
        <v>-0.2</v>
      </c>
      <c r="P314" s="11" t="n">
        <v>6.6</v>
      </c>
      <c r="Q314" s="27" t="n">
        <v>1</v>
      </c>
      <c r="R314" s="27" t="n">
        <v>1</v>
      </c>
      <c r="S314" s="27" t="n">
        <v>1</v>
      </c>
      <c r="T314" s="27" t="n">
        <v>1</v>
      </c>
      <c r="U314" s="30"/>
      <c r="V314" s="30"/>
      <c r="W314" s="30"/>
      <c r="X314" s="30"/>
      <c r="Y314" s="30"/>
      <c r="Z314" s="27" t="s">
        <v>4113</v>
      </c>
      <c r="AA314" s="9" t="s">
        <v>3880</v>
      </c>
      <c r="AB314" s="27" t="s">
        <v>86</v>
      </c>
      <c r="AC314" s="23" t="s">
        <v>697</v>
      </c>
    </row>
    <row r="315" customFormat="false" ht="19.5" hidden="false" customHeight="true" outlineLevel="0" collapsed="false">
      <c r="A315" s="25" t="s">
        <v>4146</v>
      </c>
      <c r="B315" s="25" t="s">
        <v>570</v>
      </c>
      <c r="C315" s="12" t="s">
        <v>571</v>
      </c>
      <c r="D315" s="12" t="s">
        <v>344</v>
      </c>
      <c r="E315" s="12" t="s">
        <v>572</v>
      </c>
      <c r="F315" s="25" t="s">
        <v>712</v>
      </c>
      <c r="G315" s="25" t="n">
        <v>2016</v>
      </c>
      <c r="H315" s="25" t="n">
        <v>5</v>
      </c>
      <c r="I315" s="25" t="s">
        <v>3879</v>
      </c>
      <c r="J315" s="18" t="n">
        <v>1</v>
      </c>
      <c r="K315" s="14" t="n">
        <v>6.6</v>
      </c>
      <c r="L315" s="29"/>
      <c r="M315" s="14" t="n">
        <v>6.6</v>
      </c>
      <c r="N315" s="14" t="n">
        <v>6.8</v>
      </c>
      <c r="O315" s="32" t="n">
        <v>0</v>
      </c>
      <c r="P315" s="14" t="n">
        <v>6.4</v>
      </c>
      <c r="Q315" s="25" t="n">
        <v>1</v>
      </c>
      <c r="R315" s="25" t="n">
        <v>1</v>
      </c>
      <c r="S315" s="25" t="n">
        <v>1</v>
      </c>
      <c r="T315" s="25" t="n">
        <v>1</v>
      </c>
      <c r="U315" s="29"/>
      <c r="V315" s="29"/>
      <c r="W315" s="29"/>
      <c r="X315" s="29"/>
      <c r="Y315" s="29"/>
      <c r="Z315" s="25" t="s">
        <v>4113</v>
      </c>
      <c r="AA315" s="12" t="s">
        <v>3880</v>
      </c>
      <c r="AB315" s="25" t="s">
        <v>86</v>
      </c>
      <c r="AC315" s="22" t="s">
        <v>713</v>
      </c>
    </row>
    <row r="316" customFormat="false" ht="19.5" hidden="false" customHeight="true" outlineLevel="0" collapsed="false">
      <c r="A316" s="27" t="s">
        <v>4147</v>
      </c>
      <c r="B316" s="27" t="s">
        <v>570</v>
      </c>
      <c r="C316" s="9" t="s">
        <v>571</v>
      </c>
      <c r="D316" s="9" t="s">
        <v>344</v>
      </c>
      <c r="E316" s="9" t="s">
        <v>572</v>
      </c>
      <c r="F316" s="27" t="s">
        <v>728</v>
      </c>
      <c r="G316" s="27" t="n">
        <v>2016</v>
      </c>
      <c r="H316" s="27" t="n">
        <v>5</v>
      </c>
      <c r="I316" s="27" t="s">
        <v>3879</v>
      </c>
      <c r="J316" s="20" t="n">
        <v>1</v>
      </c>
      <c r="K316" s="11" t="n">
        <v>6.4</v>
      </c>
      <c r="L316" s="30"/>
      <c r="M316" s="11" t="n">
        <v>6.6</v>
      </c>
      <c r="N316" s="11" t="n">
        <v>6.6</v>
      </c>
      <c r="O316" s="31" t="n">
        <v>-0.2</v>
      </c>
      <c r="P316" s="30"/>
      <c r="Q316" s="27" t="n">
        <v>1</v>
      </c>
      <c r="R316" s="27" t="n">
        <v>1</v>
      </c>
      <c r="S316" s="27" t="n">
        <v>1</v>
      </c>
      <c r="T316" s="27" t="n">
        <v>1</v>
      </c>
      <c r="U316" s="30"/>
      <c r="V316" s="30"/>
      <c r="W316" s="30"/>
      <c r="X316" s="30"/>
      <c r="Y316" s="30"/>
      <c r="Z316" s="27" t="s">
        <v>4113</v>
      </c>
      <c r="AA316" s="9" t="s">
        <v>3880</v>
      </c>
      <c r="AB316" s="27" t="s">
        <v>86</v>
      </c>
      <c r="AC316" s="23" t="s">
        <v>729</v>
      </c>
    </row>
    <row r="317" customFormat="false" ht="19.5" hidden="false" customHeight="true" outlineLevel="0" collapsed="false">
      <c r="A317" s="25" t="s">
        <v>4148</v>
      </c>
      <c r="B317" s="25" t="s">
        <v>570</v>
      </c>
      <c r="C317" s="12" t="s">
        <v>571</v>
      </c>
      <c r="D317" s="12" t="s">
        <v>344</v>
      </c>
      <c r="E317" s="12" t="s">
        <v>572</v>
      </c>
      <c r="F317" s="25" t="s">
        <v>744</v>
      </c>
      <c r="G317" s="25" t="n">
        <v>2020</v>
      </c>
      <c r="H317" s="25" t="n">
        <v>2</v>
      </c>
      <c r="I317" s="25" t="s">
        <v>3879</v>
      </c>
      <c r="J317" s="18" t="n">
        <v>1</v>
      </c>
      <c r="K317" s="14" t="n">
        <v>7</v>
      </c>
      <c r="L317" s="29"/>
      <c r="M317" s="29"/>
      <c r="N317" s="29"/>
      <c r="O317" s="29"/>
      <c r="P317" s="29"/>
      <c r="Q317" s="25" t="n">
        <v>1</v>
      </c>
      <c r="R317" s="25" t="n">
        <v>1</v>
      </c>
      <c r="S317" s="25" t="n">
        <v>1</v>
      </c>
      <c r="T317" s="25" t="n">
        <v>1</v>
      </c>
      <c r="U317" s="29"/>
      <c r="V317" s="29"/>
      <c r="W317" s="29"/>
      <c r="X317" s="29"/>
      <c r="Y317" s="29"/>
      <c r="Z317" s="25" t="s">
        <v>4113</v>
      </c>
      <c r="AA317" s="12" t="s">
        <v>3880</v>
      </c>
      <c r="AB317" s="25" t="s">
        <v>86</v>
      </c>
      <c r="AC317" s="22" t="s">
        <v>197</v>
      </c>
    </row>
    <row r="318" customFormat="false" ht="19.5" hidden="false" customHeight="true" outlineLevel="0" collapsed="false">
      <c r="A318" s="27" t="s">
        <v>4149</v>
      </c>
      <c r="B318" s="27" t="s">
        <v>570</v>
      </c>
      <c r="C318" s="9" t="s">
        <v>571</v>
      </c>
      <c r="D318" s="9" t="s">
        <v>344</v>
      </c>
      <c r="E318" s="9" t="s">
        <v>572</v>
      </c>
      <c r="F318" s="27" t="s">
        <v>764</v>
      </c>
      <c r="G318" s="27" t="n">
        <v>2020</v>
      </c>
      <c r="H318" s="27" t="n">
        <v>5</v>
      </c>
      <c r="I318" s="27" t="s">
        <v>3879</v>
      </c>
      <c r="J318" s="20" t="n">
        <v>1</v>
      </c>
      <c r="K318" s="11" t="n">
        <v>14.4</v>
      </c>
      <c r="L318" s="30"/>
      <c r="M318" s="30"/>
      <c r="N318" s="30"/>
      <c r="O318" s="30"/>
      <c r="P318" s="11" t="n">
        <v>14.4</v>
      </c>
      <c r="Q318" s="27" t="n">
        <v>1</v>
      </c>
      <c r="R318" s="27" t="n">
        <v>1</v>
      </c>
      <c r="S318" s="27" t="n">
        <v>1</v>
      </c>
      <c r="T318" s="27" t="n">
        <v>1</v>
      </c>
      <c r="U318" s="30"/>
      <c r="V318" s="30"/>
      <c r="W318" s="30"/>
      <c r="X318" s="30"/>
      <c r="Y318" s="30"/>
      <c r="Z318" s="27" t="s">
        <v>4113</v>
      </c>
      <c r="AA318" s="9" t="s">
        <v>3880</v>
      </c>
      <c r="AB318" s="27" t="s">
        <v>86</v>
      </c>
      <c r="AC318" s="23" t="s">
        <v>664</v>
      </c>
    </row>
    <row r="319" customFormat="false" ht="19.5" hidden="false" customHeight="true" outlineLevel="0" collapsed="false">
      <c r="A319" s="25" t="s">
        <v>4150</v>
      </c>
      <c r="B319" s="25" t="s">
        <v>570</v>
      </c>
      <c r="C319" s="12" t="s">
        <v>571</v>
      </c>
      <c r="D319" s="12" t="s">
        <v>344</v>
      </c>
      <c r="E319" s="12" t="s">
        <v>572</v>
      </c>
      <c r="F319" s="25" t="s">
        <v>777</v>
      </c>
      <c r="G319" s="25" t="n">
        <v>2020</v>
      </c>
      <c r="H319" s="25" t="n">
        <v>5</v>
      </c>
      <c r="I319" s="25" t="s">
        <v>3879</v>
      </c>
      <c r="J319" s="18" t="n">
        <v>1</v>
      </c>
      <c r="K319" s="14" t="n">
        <v>14.4</v>
      </c>
      <c r="L319" s="29"/>
      <c r="M319" s="14" t="n">
        <v>14.4</v>
      </c>
      <c r="N319" s="29"/>
      <c r="O319" s="32" t="n">
        <v>0</v>
      </c>
      <c r="P319" s="14" t="n">
        <v>13.4</v>
      </c>
      <c r="Q319" s="25" t="n">
        <v>1</v>
      </c>
      <c r="R319" s="25" t="n">
        <v>1</v>
      </c>
      <c r="S319" s="25" t="n">
        <v>1</v>
      </c>
      <c r="T319" s="25" t="n">
        <v>1</v>
      </c>
      <c r="U319" s="29"/>
      <c r="V319" s="29"/>
      <c r="W319" s="29"/>
      <c r="X319" s="29"/>
      <c r="Y319" s="29"/>
      <c r="Z319" s="25" t="s">
        <v>4113</v>
      </c>
      <c r="AA319" s="12" t="s">
        <v>3880</v>
      </c>
      <c r="AB319" s="25" t="s">
        <v>86</v>
      </c>
      <c r="AC319" s="22" t="s">
        <v>681</v>
      </c>
    </row>
    <row r="320" customFormat="false" ht="19.5" hidden="false" customHeight="true" outlineLevel="0" collapsed="false">
      <c r="A320" s="27" t="s">
        <v>4151</v>
      </c>
      <c r="B320" s="27" t="s">
        <v>570</v>
      </c>
      <c r="C320" s="9" t="s">
        <v>571</v>
      </c>
      <c r="D320" s="9" t="s">
        <v>344</v>
      </c>
      <c r="E320" s="9" t="s">
        <v>572</v>
      </c>
      <c r="F320" s="27" t="s">
        <v>790</v>
      </c>
      <c r="G320" s="27" t="n">
        <v>2020</v>
      </c>
      <c r="H320" s="27" t="n">
        <v>5</v>
      </c>
      <c r="I320" s="27" t="s">
        <v>3879</v>
      </c>
      <c r="J320" s="20" t="n">
        <v>1</v>
      </c>
      <c r="K320" s="11" t="n">
        <v>13.4</v>
      </c>
      <c r="L320" s="30"/>
      <c r="M320" s="11" t="n">
        <v>14.4</v>
      </c>
      <c r="N320" s="11" t="n">
        <v>14.4</v>
      </c>
      <c r="O320" s="31" t="n">
        <v>-1</v>
      </c>
      <c r="P320" s="11" t="n">
        <v>12.4</v>
      </c>
      <c r="Q320" s="27" t="n">
        <v>1</v>
      </c>
      <c r="R320" s="27" t="n">
        <v>1</v>
      </c>
      <c r="S320" s="27" t="n">
        <v>1</v>
      </c>
      <c r="T320" s="27" t="n">
        <v>1</v>
      </c>
      <c r="U320" s="30"/>
      <c r="V320" s="30"/>
      <c r="W320" s="30"/>
      <c r="X320" s="30"/>
      <c r="Y320" s="30"/>
      <c r="Z320" s="27" t="s">
        <v>4113</v>
      </c>
      <c r="AA320" s="9" t="s">
        <v>3880</v>
      </c>
      <c r="AB320" s="27" t="s">
        <v>86</v>
      </c>
      <c r="AC320" s="23" t="s">
        <v>697</v>
      </c>
    </row>
    <row r="321" customFormat="false" ht="19.5" hidden="false" customHeight="true" outlineLevel="0" collapsed="false">
      <c r="A321" s="25" t="s">
        <v>4152</v>
      </c>
      <c r="B321" s="25" t="s">
        <v>570</v>
      </c>
      <c r="C321" s="12" t="s">
        <v>571</v>
      </c>
      <c r="D321" s="12" t="s">
        <v>344</v>
      </c>
      <c r="E321" s="12" t="s">
        <v>572</v>
      </c>
      <c r="F321" s="25" t="s">
        <v>803</v>
      </c>
      <c r="G321" s="25" t="n">
        <v>2020</v>
      </c>
      <c r="H321" s="25" t="n">
        <v>5</v>
      </c>
      <c r="I321" s="25" t="s">
        <v>3879</v>
      </c>
      <c r="J321" s="18" t="n">
        <v>1</v>
      </c>
      <c r="K321" s="14" t="n">
        <v>12.4</v>
      </c>
      <c r="L321" s="29"/>
      <c r="M321" s="14" t="n">
        <v>13.4</v>
      </c>
      <c r="N321" s="14" t="n">
        <v>14.4</v>
      </c>
      <c r="O321" s="32" t="n">
        <v>-1</v>
      </c>
      <c r="P321" s="14" t="n">
        <v>12.3</v>
      </c>
      <c r="Q321" s="25" t="n">
        <v>1</v>
      </c>
      <c r="R321" s="25" t="n">
        <v>1</v>
      </c>
      <c r="S321" s="25" t="n">
        <v>1</v>
      </c>
      <c r="T321" s="25" t="n">
        <v>1</v>
      </c>
      <c r="U321" s="29"/>
      <c r="V321" s="29"/>
      <c r="W321" s="29"/>
      <c r="X321" s="29"/>
      <c r="Y321" s="29"/>
      <c r="Z321" s="25" t="s">
        <v>4113</v>
      </c>
      <c r="AA321" s="12" t="s">
        <v>3880</v>
      </c>
      <c r="AB321" s="25" t="s">
        <v>86</v>
      </c>
      <c r="AC321" s="22" t="s">
        <v>713</v>
      </c>
    </row>
    <row r="322" customFormat="false" ht="19.5" hidden="false" customHeight="true" outlineLevel="0" collapsed="false">
      <c r="A322" s="27" t="s">
        <v>4153</v>
      </c>
      <c r="B322" s="27" t="s">
        <v>570</v>
      </c>
      <c r="C322" s="9" t="s">
        <v>571</v>
      </c>
      <c r="D322" s="9" t="s">
        <v>344</v>
      </c>
      <c r="E322" s="9" t="s">
        <v>572</v>
      </c>
      <c r="F322" s="27" t="s">
        <v>816</v>
      </c>
      <c r="G322" s="27" t="n">
        <v>2020</v>
      </c>
      <c r="H322" s="27" t="n">
        <v>5</v>
      </c>
      <c r="I322" s="27" t="s">
        <v>3879</v>
      </c>
      <c r="J322" s="20" t="n">
        <v>1</v>
      </c>
      <c r="K322" s="11" t="n">
        <v>12.3</v>
      </c>
      <c r="L322" s="30"/>
      <c r="M322" s="11" t="n">
        <v>12.4</v>
      </c>
      <c r="N322" s="11" t="n">
        <v>13.4</v>
      </c>
      <c r="O322" s="31" t="n">
        <v>-0.1</v>
      </c>
      <c r="P322" s="30"/>
      <c r="Q322" s="27" t="n">
        <v>1</v>
      </c>
      <c r="R322" s="27" t="n">
        <v>1</v>
      </c>
      <c r="S322" s="27" t="n">
        <v>1</v>
      </c>
      <c r="T322" s="27" t="n">
        <v>1</v>
      </c>
      <c r="U322" s="30"/>
      <c r="V322" s="30"/>
      <c r="W322" s="30"/>
      <c r="X322" s="30"/>
      <c r="Y322" s="30"/>
      <c r="Z322" s="27" t="s">
        <v>4113</v>
      </c>
      <c r="AA322" s="9" t="s">
        <v>3880</v>
      </c>
      <c r="AB322" s="27" t="s">
        <v>86</v>
      </c>
      <c r="AC322" s="23" t="s">
        <v>729</v>
      </c>
    </row>
    <row r="323" customFormat="false" ht="19.5" hidden="false" customHeight="true" outlineLevel="0" collapsed="false">
      <c r="A323" s="25" t="s">
        <v>4154</v>
      </c>
      <c r="B323" s="25" t="s">
        <v>570</v>
      </c>
      <c r="C323" s="12" t="s">
        <v>571</v>
      </c>
      <c r="D323" s="12" t="s">
        <v>344</v>
      </c>
      <c r="E323" s="12" t="s">
        <v>572</v>
      </c>
      <c r="F323" s="25" t="s">
        <v>975</v>
      </c>
      <c r="G323" s="25" t="n">
        <v>2025</v>
      </c>
      <c r="H323" s="25" t="n">
        <v>2</v>
      </c>
      <c r="I323" s="25" t="s">
        <v>3879</v>
      </c>
      <c r="J323" s="18" t="n">
        <v>1</v>
      </c>
      <c r="K323" s="14" t="n">
        <v>5</v>
      </c>
      <c r="L323" s="29"/>
      <c r="M323" s="29"/>
      <c r="N323" s="29"/>
      <c r="O323" s="29"/>
      <c r="P323" s="29"/>
      <c r="Q323" s="25" t="n">
        <v>1</v>
      </c>
      <c r="R323" s="25" t="n">
        <v>1</v>
      </c>
      <c r="S323" s="25" t="n">
        <v>1</v>
      </c>
      <c r="T323" s="25" t="n">
        <v>1</v>
      </c>
      <c r="U323" s="29"/>
      <c r="V323" s="29"/>
      <c r="W323" s="29"/>
      <c r="X323" s="29"/>
      <c r="Y323" s="29"/>
      <c r="Z323" s="25" t="s">
        <v>4113</v>
      </c>
      <c r="AA323" s="12" t="s">
        <v>3887</v>
      </c>
      <c r="AB323" s="25" t="s">
        <v>86</v>
      </c>
      <c r="AC323" s="22" t="s">
        <v>197</v>
      </c>
    </row>
    <row r="324" customFormat="false" ht="19.5" hidden="false" customHeight="true" outlineLevel="0" collapsed="false">
      <c r="A324" s="27" t="s">
        <v>4155</v>
      </c>
      <c r="B324" s="27" t="s">
        <v>570</v>
      </c>
      <c r="C324" s="9" t="s">
        <v>571</v>
      </c>
      <c r="D324" s="9" t="s">
        <v>344</v>
      </c>
      <c r="E324" s="9" t="s">
        <v>572</v>
      </c>
      <c r="F324" s="27" t="s">
        <v>1102</v>
      </c>
      <c r="G324" s="27" t="n">
        <v>2025</v>
      </c>
      <c r="H324" s="27" t="n">
        <v>5</v>
      </c>
      <c r="I324" s="27" t="s">
        <v>3879</v>
      </c>
      <c r="J324" s="20" t="n">
        <v>1</v>
      </c>
      <c r="K324" s="11" t="n">
        <v>5.7</v>
      </c>
      <c r="L324" s="30"/>
      <c r="M324" s="30"/>
      <c r="N324" s="30"/>
      <c r="O324" s="30"/>
      <c r="P324" s="11" t="n">
        <v>5.4</v>
      </c>
      <c r="Q324" s="27" t="n">
        <v>1</v>
      </c>
      <c r="R324" s="27" t="n">
        <v>1</v>
      </c>
      <c r="S324" s="27" t="n">
        <v>1</v>
      </c>
      <c r="T324" s="27" t="n">
        <v>1</v>
      </c>
      <c r="U324" s="30"/>
      <c r="V324" s="30"/>
      <c r="W324" s="30"/>
      <c r="X324" s="30"/>
      <c r="Y324" s="30"/>
      <c r="Z324" s="27" t="s">
        <v>4113</v>
      </c>
      <c r="AA324" s="9" t="s">
        <v>3887</v>
      </c>
      <c r="AB324" s="27" t="s">
        <v>86</v>
      </c>
      <c r="AC324" s="23" t="s">
        <v>664</v>
      </c>
    </row>
    <row r="325" customFormat="false" ht="19.5" hidden="false" customHeight="true" outlineLevel="0" collapsed="false">
      <c r="A325" s="25" t="s">
        <v>4156</v>
      </c>
      <c r="B325" s="25" t="s">
        <v>570</v>
      </c>
      <c r="C325" s="12" t="s">
        <v>571</v>
      </c>
      <c r="D325" s="12" t="s">
        <v>344</v>
      </c>
      <c r="E325" s="12" t="s">
        <v>572</v>
      </c>
      <c r="F325" s="25" t="s">
        <v>1117</v>
      </c>
      <c r="G325" s="25" t="n">
        <v>2025</v>
      </c>
      <c r="H325" s="25" t="n">
        <v>5</v>
      </c>
      <c r="I325" s="25" t="s">
        <v>3879</v>
      </c>
      <c r="J325" s="18" t="n">
        <v>1</v>
      </c>
      <c r="K325" s="14" t="n">
        <v>5.4</v>
      </c>
      <c r="L325" s="29"/>
      <c r="M325" s="14" t="n">
        <v>5.7</v>
      </c>
      <c r="N325" s="29"/>
      <c r="O325" s="32" t="n">
        <v>-0.3</v>
      </c>
      <c r="P325" s="14" t="n">
        <v>7.1</v>
      </c>
      <c r="Q325" s="25" t="n">
        <v>1</v>
      </c>
      <c r="R325" s="25" t="n">
        <v>1</v>
      </c>
      <c r="S325" s="25" t="n">
        <v>1</v>
      </c>
      <c r="T325" s="25" t="n">
        <v>1</v>
      </c>
      <c r="U325" s="29"/>
      <c r="V325" s="29"/>
      <c r="W325" s="29"/>
      <c r="X325" s="29"/>
      <c r="Y325" s="29"/>
      <c r="Z325" s="25" t="s">
        <v>4113</v>
      </c>
      <c r="AA325" s="12" t="s">
        <v>3887</v>
      </c>
      <c r="AB325" s="25" t="s">
        <v>86</v>
      </c>
      <c r="AC325" s="22" t="s">
        <v>681</v>
      </c>
    </row>
    <row r="326" customFormat="false" ht="19.5" hidden="false" customHeight="true" outlineLevel="0" collapsed="false">
      <c r="A326" s="27" t="s">
        <v>4157</v>
      </c>
      <c r="B326" s="27" t="s">
        <v>570</v>
      </c>
      <c r="C326" s="9" t="s">
        <v>571</v>
      </c>
      <c r="D326" s="9" t="s">
        <v>344</v>
      </c>
      <c r="E326" s="9" t="s">
        <v>572</v>
      </c>
      <c r="F326" s="27" t="s">
        <v>1132</v>
      </c>
      <c r="G326" s="27" t="n">
        <v>2025</v>
      </c>
      <c r="H326" s="27" t="n">
        <v>5</v>
      </c>
      <c r="I326" s="27" t="s">
        <v>3879</v>
      </c>
      <c r="J326" s="20" t="n">
        <v>1</v>
      </c>
      <c r="K326" s="11" t="n">
        <v>7.1</v>
      </c>
      <c r="L326" s="30"/>
      <c r="M326" s="11" t="n">
        <v>5.4</v>
      </c>
      <c r="N326" s="11" t="n">
        <v>5.7</v>
      </c>
      <c r="O326" s="31" t="n">
        <v>1.7</v>
      </c>
      <c r="P326" s="11" t="n">
        <v>8.1</v>
      </c>
      <c r="Q326" s="27" t="n">
        <v>1</v>
      </c>
      <c r="R326" s="27" t="n">
        <v>1</v>
      </c>
      <c r="S326" s="27" t="n">
        <v>1</v>
      </c>
      <c r="T326" s="27" t="n">
        <v>1</v>
      </c>
      <c r="U326" s="30"/>
      <c r="V326" s="30"/>
      <c r="W326" s="30"/>
      <c r="X326" s="30"/>
      <c r="Y326" s="30"/>
      <c r="Z326" s="27" t="s">
        <v>4113</v>
      </c>
      <c r="AA326" s="9" t="s">
        <v>3887</v>
      </c>
      <c r="AB326" s="27" t="s">
        <v>86</v>
      </c>
      <c r="AC326" s="23" t="s">
        <v>697</v>
      </c>
    </row>
    <row r="327" customFormat="false" ht="19.5" hidden="false" customHeight="true" outlineLevel="0" collapsed="false">
      <c r="A327" s="25" t="s">
        <v>4158</v>
      </c>
      <c r="B327" s="25" t="s">
        <v>570</v>
      </c>
      <c r="C327" s="12" t="s">
        <v>571</v>
      </c>
      <c r="D327" s="12" t="s">
        <v>344</v>
      </c>
      <c r="E327" s="12" t="s">
        <v>572</v>
      </c>
      <c r="F327" s="25" t="s">
        <v>1147</v>
      </c>
      <c r="G327" s="25" t="n">
        <v>2025</v>
      </c>
      <c r="H327" s="25" t="n">
        <v>5</v>
      </c>
      <c r="I327" s="25" t="s">
        <v>3879</v>
      </c>
      <c r="J327" s="18" t="n">
        <v>1</v>
      </c>
      <c r="K327" s="14" t="n">
        <v>8.1</v>
      </c>
      <c r="L327" s="29"/>
      <c r="M327" s="14" t="n">
        <v>7.1</v>
      </c>
      <c r="N327" s="14" t="n">
        <v>5.4</v>
      </c>
      <c r="O327" s="32" t="n">
        <v>1</v>
      </c>
      <c r="P327" s="14" t="n">
        <v>9</v>
      </c>
      <c r="Q327" s="25" t="n">
        <v>1</v>
      </c>
      <c r="R327" s="25" t="n">
        <v>1</v>
      </c>
      <c r="S327" s="25" t="n">
        <v>1</v>
      </c>
      <c r="T327" s="25" t="n">
        <v>1</v>
      </c>
      <c r="U327" s="29"/>
      <c r="V327" s="29"/>
      <c r="W327" s="29"/>
      <c r="X327" s="29"/>
      <c r="Y327" s="29"/>
      <c r="Z327" s="25" t="s">
        <v>4113</v>
      </c>
      <c r="AA327" s="12" t="s">
        <v>3887</v>
      </c>
      <c r="AB327" s="25" t="s">
        <v>86</v>
      </c>
      <c r="AC327" s="22" t="s">
        <v>713</v>
      </c>
    </row>
    <row r="328" customFormat="false" ht="19.5" hidden="false" customHeight="true" outlineLevel="0" collapsed="false">
      <c r="A328" s="27" t="s">
        <v>4159</v>
      </c>
      <c r="B328" s="27" t="s">
        <v>570</v>
      </c>
      <c r="C328" s="9" t="s">
        <v>571</v>
      </c>
      <c r="D328" s="9" t="s">
        <v>344</v>
      </c>
      <c r="E328" s="9" t="s">
        <v>572</v>
      </c>
      <c r="F328" s="27" t="s">
        <v>1162</v>
      </c>
      <c r="G328" s="27" t="n">
        <v>2025</v>
      </c>
      <c r="H328" s="27" t="n">
        <v>5</v>
      </c>
      <c r="I328" s="27" t="s">
        <v>3879</v>
      </c>
      <c r="J328" s="20" t="n">
        <v>1</v>
      </c>
      <c r="K328" s="11" t="n">
        <v>9</v>
      </c>
      <c r="L328" s="30"/>
      <c r="M328" s="11" t="n">
        <v>8.1</v>
      </c>
      <c r="N328" s="11" t="n">
        <v>7.1</v>
      </c>
      <c r="O328" s="31" t="n">
        <v>0.9</v>
      </c>
      <c r="P328" s="30"/>
      <c r="Q328" s="27" t="n">
        <v>1</v>
      </c>
      <c r="R328" s="27" t="n">
        <v>1</v>
      </c>
      <c r="S328" s="27" t="n">
        <v>1</v>
      </c>
      <c r="T328" s="27" t="n">
        <v>1</v>
      </c>
      <c r="U328" s="30"/>
      <c r="V328" s="30"/>
      <c r="W328" s="30"/>
      <c r="X328" s="30"/>
      <c r="Y328" s="30"/>
      <c r="Z328" s="27" t="s">
        <v>4113</v>
      </c>
      <c r="AA328" s="9" t="s">
        <v>3887</v>
      </c>
      <c r="AB328" s="27" t="s">
        <v>86</v>
      </c>
      <c r="AC328" s="23" t="s">
        <v>729</v>
      </c>
    </row>
    <row r="329" customFormat="false" ht="19.5" hidden="false" customHeight="true" outlineLevel="0" collapsed="false">
      <c r="A329" s="25" t="s">
        <v>4160</v>
      </c>
      <c r="B329" s="25" t="s">
        <v>570</v>
      </c>
      <c r="C329" s="12" t="s">
        <v>571</v>
      </c>
      <c r="D329" s="12" t="s">
        <v>344</v>
      </c>
      <c r="E329" s="12" t="s">
        <v>572</v>
      </c>
      <c r="F329" s="25" t="s">
        <v>1177</v>
      </c>
      <c r="G329" s="25" t="n">
        <v>2026</v>
      </c>
      <c r="H329" s="25" t="n">
        <v>2</v>
      </c>
      <c r="I329" s="25" t="s">
        <v>3879</v>
      </c>
      <c r="J329" s="18" t="n">
        <v>1</v>
      </c>
      <c r="K329" s="14" t="n">
        <v>3.2</v>
      </c>
      <c r="L329" s="29"/>
      <c r="M329" s="29"/>
      <c r="N329" s="29"/>
      <c r="O329" s="29"/>
      <c r="P329" s="14" t="n">
        <v>3</v>
      </c>
      <c r="Q329" s="25" t="n">
        <v>1</v>
      </c>
      <c r="R329" s="25" t="n">
        <v>1</v>
      </c>
      <c r="S329" s="25" t="n">
        <v>1</v>
      </c>
      <c r="T329" s="25" t="n">
        <v>1</v>
      </c>
      <c r="U329" s="29"/>
      <c r="V329" s="29"/>
      <c r="W329" s="29"/>
      <c r="X329" s="29"/>
      <c r="Y329" s="29"/>
      <c r="Z329" s="25" t="s">
        <v>4113</v>
      </c>
      <c r="AA329" s="12" t="s">
        <v>3894</v>
      </c>
      <c r="AB329" s="25" t="s">
        <v>86</v>
      </c>
      <c r="AC329" s="22" t="s">
        <v>197</v>
      </c>
    </row>
    <row r="330" customFormat="false" ht="19.5" hidden="false" customHeight="true" outlineLevel="0" collapsed="false">
      <c r="A330" s="27" t="s">
        <v>4161</v>
      </c>
      <c r="B330" s="27" t="s">
        <v>570</v>
      </c>
      <c r="C330" s="9" t="s">
        <v>571</v>
      </c>
      <c r="D330" s="9" t="s">
        <v>344</v>
      </c>
      <c r="E330" s="9" t="s">
        <v>572</v>
      </c>
      <c r="F330" s="27" t="s">
        <v>1194</v>
      </c>
      <c r="G330" s="27" t="n">
        <v>2026</v>
      </c>
      <c r="H330" s="27" t="n">
        <v>2</v>
      </c>
      <c r="I330" s="27" t="s">
        <v>3879</v>
      </c>
      <c r="J330" s="20" t="n">
        <v>1</v>
      </c>
      <c r="K330" s="11" t="n">
        <v>3</v>
      </c>
      <c r="L330" s="30"/>
      <c r="M330" s="11" t="n">
        <v>3.2</v>
      </c>
      <c r="N330" s="30"/>
      <c r="O330" s="31" t="n">
        <v>-0.2</v>
      </c>
      <c r="P330" s="30"/>
      <c r="Q330" s="27" t="n">
        <v>1</v>
      </c>
      <c r="R330" s="27" t="n">
        <v>1</v>
      </c>
      <c r="S330" s="27" t="n">
        <v>1</v>
      </c>
      <c r="T330" s="27" t="n">
        <v>1</v>
      </c>
      <c r="U330" s="11" t="n">
        <v>1.55</v>
      </c>
      <c r="V330" s="30"/>
      <c r="W330" s="30"/>
      <c r="X330" s="30"/>
      <c r="Y330" s="30"/>
      <c r="Z330" s="27" t="s">
        <v>2931</v>
      </c>
      <c r="AA330" s="9" t="s">
        <v>3894</v>
      </c>
      <c r="AB330" s="27" t="s">
        <v>86</v>
      </c>
      <c r="AC330" s="23" t="s">
        <v>197</v>
      </c>
    </row>
    <row r="331" customFormat="false" ht="19.5" hidden="false" customHeight="true" outlineLevel="0" collapsed="false">
      <c r="A331" s="25" t="s">
        <v>4162</v>
      </c>
      <c r="B331" s="25" t="s">
        <v>570</v>
      </c>
      <c r="C331" s="12" t="s">
        <v>571</v>
      </c>
      <c r="D331" s="12" t="s">
        <v>344</v>
      </c>
      <c r="E331" s="12" t="s">
        <v>572</v>
      </c>
      <c r="F331" s="25" t="s">
        <v>1231</v>
      </c>
      <c r="G331" s="25" t="n">
        <v>2026</v>
      </c>
      <c r="H331" s="25" t="n">
        <v>5</v>
      </c>
      <c r="I331" s="25" t="s">
        <v>3879</v>
      </c>
      <c r="J331" s="18" t="n">
        <v>1</v>
      </c>
      <c r="K331" s="14" t="n">
        <v>5.4</v>
      </c>
      <c r="L331" s="29"/>
      <c r="M331" s="29"/>
      <c r="N331" s="29"/>
      <c r="O331" s="29"/>
      <c r="P331" s="14" t="n">
        <v>4.5</v>
      </c>
      <c r="Q331" s="25" t="n">
        <v>1</v>
      </c>
      <c r="R331" s="25" t="n">
        <v>1</v>
      </c>
      <c r="S331" s="25" t="n">
        <v>1</v>
      </c>
      <c r="T331" s="25" t="n">
        <v>1</v>
      </c>
      <c r="U331" s="29"/>
      <c r="V331" s="29"/>
      <c r="W331" s="29"/>
      <c r="X331" s="29"/>
      <c r="Y331" s="29"/>
      <c r="Z331" s="25" t="s">
        <v>2939</v>
      </c>
      <c r="AA331" s="12" t="s">
        <v>3894</v>
      </c>
      <c r="AB331" s="25" t="s">
        <v>86</v>
      </c>
      <c r="AC331" s="22" t="s">
        <v>664</v>
      </c>
    </row>
    <row r="332" customFormat="false" ht="19.5" hidden="false" customHeight="true" outlineLevel="0" collapsed="false">
      <c r="A332" s="27" t="s">
        <v>4163</v>
      </c>
      <c r="B332" s="27" t="s">
        <v>570</v>
      </c>
      <c r="C332" s="9" t="s">
        <v>571</v>
      </c>
      <c r="D332" s="9" t="s">
        <v>344</v>
      </c>
      <c r="E332" s="9" t="s">
        <v>572</v>
      </c>
      <c r="F332" s="27" t="s">
        <v>1246</v>
      </c>
      <c r="G332" s="27" t="n">
        <v>2026</v>
      </c>
      <c r="H332" s="27" t="n">
        <v>5</v>
      </c>
      <c r="I332" s="27" t="s">
        <v>3879</v>
      </c>
      <c r="J332" s="20" t="n">
        <v>1</v>
      </c>
      <c r="K332" s="11" t="n">
        <v>4.5</v>
      </c>
      <c r="L332" s="30"/>
      <c r="M332" s="11" t="n">
        <v>5.4</v>
      </c>
      <c r="N332" s="30"/>
      <c r="O332" s="31" t="n">
        <v>-0.9</v>
      </c>
      <c r="P332" s="11" t="n">
        <v>4.1</v>
      </c>
      <c r="Q332" s="27" t="n">
        <v>1</v>
      </c>
      <c r="R332" s="27" t="n">
        <v>1</v>
      </c>
      <c r="S332" s="27" t="n">
        <v>1</v>
      </c>
      <c r="T332" s="27" t="n">
        <v>1</v>
      </c>
      <c r="U332" s="30"/>
      <c r="V332" s="30"/>
      <c r="W332" s="30"/>
      <c r="X332" s="30"/>
      <c r="Y332" s="30"/>
      <c r="Z332" s="27" t="s">
        <v>2939</v>
      </c>
      <c r="AA332" s="9" t="s">
        <v>3894</v>
      </c>
      <c r="AB332" s="27" t="s">
        <v>86</v>
      </c>
      <c r="AC332" s="23" t="s">
        <v>664</v>
      </c>
    </row>
    <row r="333" customFormat="false" ht="19.5" hidden="false" customHeight="true" outlineLevel="0" collapsed="false">
      <c r="A333" s="25" t="s">
        <v>4164</v>
      </c>
      <c r="B333" s="25" t="s">
        <v>570</v>
      </c>
      <c r="C333" s="12" t="s">
        <v>571</v>
      </c>
      <c r="D333" s="12" t="s">
        <v>344</v>
      </c>
      <c r="E333" s="12" t="s">
        <v>572</v>
      </c>
      <c r="F333" s="25" t="s">
        <v>1261</v>
      </c>
      <c r="G333" s="25" t="n">
        <v>2026</v>
      </c>
      <c r="H333" s="25" t="n">
        <v>5</v>
      </c>
      <c r="I333" s="25" t="s">
        <v>3879</v>
      </c>
      <c r="J333" s="18" t="n">
        <v>1</v>
      </c>
      <c r="K333" s="14" t="n">
        <v>4.1</v>
      </c>
      <c r="L333" s="29"/>
      <c r="M333" s="14" t="n">
        <v>4.5</v>
      </c>
      <c r="N333" s="14" t="n">
        <v>5.4</v>
      </c>
      <c r="O333" s="32" t="n">
        <v>-0.4</v>
      </c>
      <c r="P333" s="14" t="n">
        <v>3.6</v>
      </c>
      <c r="Q333" s="25" t="n">
        <v>1</v>
      </c>
      <c r="R333" s="25" t="n">
        <v>1</v>
      </c>
      <c r="S333" s="25" t="n">
        <v>1</v>
      </c>
      <c r="T333" s="25" t="n">
        <v>1</v>
      </c>
      <c r="U333" s="29"/>
      <c r="V333" s="29"/>
      <c r="W333" s="29"/>
      <c r="X333" s="29"/>
      <c r="Y333" s="29"/>
      <c r="Z333" s="25" t="s">
        <v>2939</v>
      </c>
      <c r="AA333" s="12" t="s">
        <v>3894</v>
      </c>
      <c r="AB333" s="25" t="s">
        <v>86</v>
      </c>
      <c r="AC333" s="22" t="s">
        <v>681</v>
      </c>
    </row>
    <row r="334" customFormat="false" ht="19.5" hidden="false" customHeight="true" outlineLevel="0" collapsed="false">
      <c r="A334" s="27" t="s">
        <v>4165</v>
      </c>
      <c r="B334" s="27" t="s">
        <v>570</v>
      </c>
      <c r="C334" s="9" t="s">
        <v>571</v>
      </c>
      <c r="D334" s="9" t="s">
        <v>344</v>
      </c>
      <c r="E334" s="9" t="s">
        <v>572</v>
      </c>
      <c r="F334" s="27" t="s">
        <v>1276</v>
      </c>
      <c r="G334" s="27" t="n">
        <v>2026</v>
      </c>
      <c r="H334" s="27" t="n">
        <v>5</v>
      </c>
      <c r="I334" s="27" t="s">
        <v>3879</v>
      </c>
      <c r="J334" s="20" t="n">
        <v>1</v>
      </c>
      <c r="K334" s="11" t="n">
        <v>3.6</v>
      </c>
      <c r="L334" s="30"/>
      <c r="M334" s="11" t="n">
        <v>4.1</v>
      </c>
      <c r="N334" s="11" t="n">
        <v>4.5</v>
      </c>
      <c r="O334" s="31" t="n">
        <v>-0.5</v>
      </c>
      <c r="P334" s="11" t="n">
        <v>3.6</v>
      </c>
      <c r="Q334" s="27" t="n">
        <v>1</v>
      </c>
      <c r="R334" s="27" t="n">
        <v>1</v>
      </c>
      <c r="S334" s="27" t="n">
        <v>1</v>
      </c>
      <c r="T334" s="27" t="n">
        <v>1</v>
      </c>
      <c r="U334" s="30"/>
      <c r="V334" s="30"/>
      <c r="W334" s="30"/>
      <c r="X334" s="30"/>
      <c r="Y334" s="30"/>
      <c r="Z334" s="27" t="s">
        <v>2939</v>
      </c>
      <c r="AA334" s="9" t="s">
        <v>3894</v>
      </c>
      <c r="AB334" s="27" t="s">
        <v>86</v>
      </c>
      <c r="AC334" s="23" t="s">
        <v>697</v>
      </c>
    </row>
    <row r="335" customFormat="false" ht="19.5" hidden="false" customHeight="true" outlineLevel="0" collapsed="false">
      <c r="A335" s="25" t="s">
        <v>4166</v>
      </c>
      <c r="B335" s="25" t="s">
        <v>570</v>
      </c>
      <c r="C335" s="12" t="s">
        <v>571</v>
      </c>
      <c r="D335" s="12" t="s">
        <v>344</v>
      </c>
      <c r="E335" s="12" t="s">
        <v>572</v>
      </c>
      <c r="F335" s="25" t="s">
        <v>1291</v>
      </c>
      <c r="G335" s="25" t="n">
        <v>2026</v>
      </c>
      <c r="H335" s="25" t="n">
        <v>5</v>
      </c>
      <c r="I335" s="25" t="s">
        <v>3879</v>
      </c>
      <c r="J335" s="18" t="n">
        <v>1</v>
      </c>
      <c r="K335" s="14" t="n">
        <v>3.6</v>
      </c>
      <c r="L335" s="29"/>
      <c r="M335" s="14" t="n">
        <v>3.6</v>
      </c>
      <c r="N335" s="14" t="n">
        <v>4.1</v>
      </c>
      <c r="O335" s="32" t="n">
        <v>0</v>
      </c>
      <c r="P335" s="14" t="n">
        <v>4</v>
      </c>
      <c r="Q335" s="25" t="n">
        <v>1</v>
      </c>
      <c r="R335" s="25" t="n">
        <v>1</v>
      </c>
      <c r="S335" s="25" t="n">
        <v>1</v>
      </c>
      <c r="T335" s="25" t="n">
        <v>1</v>
      </c>
      <c r="U335" s="29"/>
      <c r="V335" s="29"/>
      <c r="W335" s="29"/>
      <c r="X335" s="29"/>
      <c r="Y335" s="29"/>
      <c r="Z335" s="25" t="s">
        <v>2939</v>
      </c>
      <c r="AA335" s="12" t="s">
        <v>3894</v>
      </c>
      <c r="AB335" s="25" t="s">
        <v>86</v>
      </c>
      <c r="AC335" s="22" t="s">
        <v>713</v>
      </c>
    </row>
    <row r="336" customFormat="false" ht="19.5" hidden="false" customHeight="true" outlineLevel="0" collapsed="false">
      <c r="A336" s="27" t="s">
        <v>4167</v>
      </c>
      <c r="B336" s="27" t="s">
        <v>570</v>
      </c>
      <c r="C336" s="9" t="s">
        <v>571</v>
      </c>
      <c r="D336" s="9" t="s">
        <v>344</v>
      </c>
      <c r="E336" s="9" t="s">
        <v>572</v>
      </c>
      <c r="F336" s="27" t="s">
        <v>1306</v>
      </c>
      <c r="G336" s="27" t="n">
        <v>2026</v>
      </c>
      <c r="H336" s="27" t="n">
        <v>5</v>
      </c>
      <c r="I336" s="27" t="s">
        <v>3879</v>
      </c>
      <c r="J336" s="20" t="n">
        <v>1</v>
      </c>
      <c r="K336" s="11" t="n">
        <v>4</v>
      </c>
      <c r="L336" s="30"/>
      <c r="M336" s="11" t="n">
        <v>3.6</v>
      </c>
      <c r="N336" s="11" t="n">
        <v>3.6</v>
      </c>
      <c r="O336" s="31" t="n">
        <v>0.4</v>
      </c>
      <c r="P336" s="30"/>
      <c r="Q336" s="27" t="n">
        <v>1</v>
      </c>
      <c r="R336" s="27" t="n">
        <v>1</v>
      </c>
      <c r="S336" s="27" t="n">
        <v>1</v>
      </c>
      <c r="T336" s="27" t="n">
        <v>1</v>
      </c>
      <c r="U336" s="30"/>
      <c r="V336" s="30"/>
      <c r="W336" s="30"/>
      <c r="X336" s="30"/>
      <c r="Y336" s="30"/>
      <c r="Z336" s="27" t="s">
        <v>2939</v>
      </c>
      <c r="AA336" s="9" t="s">
        <v>3894</v>
      </c>
      <c r="AB336" s="27" t="s">
        <v>86</v>
      </c>
      <c r="AC336" s="23" t="s">
        <v>729</v>
      </c>
    </row>
    <row r="337" customFormat="false" ht="19.5" hidden="false" customHeight="true" outlineLevel="0" collapsed="false">
      <c r="A337" s="25" t="s">
        <v>4168</v>
      </c>
      <c r="B337" s="25" t="s">
        <v>342</v>
      </c>
      <c r="C337" s="12" t="s">
        <v>343</v>
      </c>
      <c r="D337" s="12" t="s">
        <v>344</v>
      </c>
      <c r="E337" s="12" t="s">
        <v>345</v>
      </c>
      <c r="F337" s="25" t="s">
        <v>913</v>
      </c>
      <c r="G337" s="25" t="n">
        <v>2024</v>
      </c>
      <c r="H337" s="25" t="n">
        <v>5</v>
      </c>
      <c r="I337" s="25" t="s">
        <v>3879</v>
      </c>
      <c r="J337" s="18" t="n">
        <v>1</v>
      </c>
      <c r="K337" s="14" t="n">
        <v>1</v>
      </c>
      <c r="L337" s="29"/>
      <c r="M337" s="29"/>
      <c r="N337" s="29"/>
      <c r="O337" s="29"/>
      <c r="P337" s="29"/>
      <c r="Q337" s="25" t="n">
        <v>1</v>
      </c>
      <c r="R337" s="25" t="n">
        <v>1</v>
      </c>
      <c r="S337" s="25" t="n">
        <v>0</v>
      </c>
      <c r="T337" s="25" t="n">
        <v>0</v>
      </c>
      <c r="U337" s="29"/>
      <c r="V337" s="29"/>
      <c r="W337" s="29"/>
      <c r="X337" s="29"/>
      <c r="Y337" s="29"/>
      <c r="Z337" s="25" t="s">
        <v>2908</v>
      </c>
      <c r="AA337" s="12" t="s">
        <v>4140</v>
      </c>
      <c r="AB337" s="25" t="s">
        <v>113</v>
      </c>
      <c r="AC337" s="22" t="s">
        <v>914</v>
      </c>
    </row>
    <row r="338" customFormat="false" ht="19.5" hidden="false" customHeight="true" outlineLevel="0" collapsed="false">
      <c r="A338" s="27" t="s">
        <v>4169</v>
      </c>
      <c r="B338" s="27" t="s">
        <v>342</v>
      </c>
      <c r="C338" s="9" t="s">
        <v>343</v>
      </c>
      <c r="D338" s="9" t="s">
        <v>344</v>
      </c>
      <c r="E338" s="9" t="s">
        <v>345</v>
      </c>
      <c r="F338" s="27" t="s">
        <v>931</v>
      </c>
      <c r="G338" s="27" t="n">
        <v>2024</v>
      </c>
      <c r="H338" s="27" t="n">
        <v>5</v>
      </c>
      <c r="I338" s="27" t="s">
        <v>3879</v>
      </c>
      <c r="J338" s="20" t="n">
        <v>1</v>
      </c>
      <c r="K338" s="11" t="n">
        <v>0.9</v>
      </c>
      <c r="L338" s="30"/>
      <c r="M338" s="11" t="n">
        <v>1</v>
      </c>
      <c r="N338" s="30"/>
      <c r="O338" s="31" t="n">
        <v>-0.1</v>
      </c>
      <c r="P338" s="30"/>
      <c r="Q338" s="27" t="n">
        <v>1</v>
      </c>
      <c r="R338" s="27" t="n">
        <v>1</v>
      </c>
      <c r="S338" s="27" t="n">
        <v>0</v>
      </c>
      <c r="T338" s="27" t="n">
        <v>0</v>
      </c>
      <c r="U338" s="30"/>
      <c r="V338" s="30"/>
      <c r="W338" s="30"/>
      <c r="X338" s="30"/>
      <c r="Y338" s="30"/>
      <c r="Z338" s="27" t="s">
        <v>4113</v>
      </c>
      <c r="AA338" s="9" t="s">
        <v>4140</v>
      </c>
      <c r="AB338" s="27" t="s">
        <v>113</v>
      </c>
      <c r="AC338" s="23" t="s">
        <v>932</v>
      </c>
    </row>
    <row r="339" customFormat="false" ht="19.5" hidden="false" customHeight="true" outlineLevel="0" collapsed="false">
      <c r="A339" s="25" t="s">
        <v>4170</v>
      </c>
      <c r="B339" s="25" t="s">
        <v>342</v>
      </c>
      <c r="C339" s="12" t="s">
        <v>343</v>
      </c>
      <c r="D339" s="12" t="s">
        <v>344</v>
      </c>
      <c r="E339" s="12" t="s">
        <v>345</v>
      </c>
      <c r="F339" s="25" t="s">
        <v>967</v>
      </c>
      <c r="G339" s="25" t="n">
        <v>2025</v>
      </c>
      <c r="H339" s="25" t="n">
        <v>2</v>
      </c>
      <c r="I339" s="25" t="s">
        <v>3879</v>
      </c>
      <c r="J339" s="18" t="n">
        <v>1</v>
      </c>
      <c r="K339" s="14" t="n">
        <v>0.2</v>
      </c>
      <c r="L339" s="29"/>
      <c r="M339" s="29"/>
      <c r="N339" s="29"/>
      <c r="O339" s="29"/>
      <c r="P339" s="29"/>
      <c r="Q339" s="25" t="n">
        <v>0</v>
      </c>
      <c r="R339" s="25" t="n">
        <v>0</v>
      </c>
      <c r="S339" s="25" t="n">
        <v>0</v>
      </c>
      <c r="T339" s="25" t="n">
        <v>0</v>
      </c>
      <c r="U339" s="29"/>
      <c r="V339" s="29"/>
      <c r="W339" s="29"/>
      <c r="X339" s="29"/>
      <c r="Y339" s="29"/>
      <c r="Z339" s="25" t="s">
        <v>4113</v>
      </c>
      <c r="AA339" s="12" t="s">
        <v>3887</v>
      </c>
      <c r="AB339" s="25" t="s">
        <v>113</v>
      </c>
      <c r="AC339" s="22" t="s">
        <v>968</v>
      </c>
    </row>
    <row r="340" customFormat="false" ht="19.5" hidden="false" customHeight="true" outlineLevel="0" collapsed="false">
      <c r="A340" s="27" t="s">
        <v>4171</v>
      </c>
      <c r="B340" s="27" t="s">
        <v>342</v>
      </c>
      <c r="C340" s="9" t="s">
        <v>343</v>
      </c>
      <c r="D340" s="9" t="s">
        <v>344</v>
      </c>
      <c r="E340" s="9" t="s">
        <v>345</v>
      </c>
      <c r="F340" s="27" t="s">
        <v>1009</v>
      </c>
      <c r="G340" s="27" t="n">
        <v>2025</v>
      </c>
      <c r="H340" s="27" t="n">
        <v>2</v>
      </c>
      <c r="I340" s="27" t="s">
        <v>3879</v>
      </c>
      <c r="J340" s="20" t="n">
        <v>1</v>
      </c>
      <c r="K340" s="11" t="n">
        <v>3</v>
      </c>
      <c r="L340" s="30"/>
      <c r="M340" s="30"/>
      <c r="N340" s="30"/>
      <c r="O340" s="30"/>
      <c r="P340" s="30"/>
      <c r="Q340" s="27" t="n">
        <v>1</v>
      </c>
      <c r="R340" s="27" t="n">
        <v>1</v>
      </c>
      <c r="S340" s="27" t="n">
        <v>1</v>
      </c>
      <c r="T340" s="27" t="n">
        <v>1</v>
      </c>
      <c r="U340" s="30"/>
      <c r="V340" s="30"/>
      <c r="W340" s="30"/>
      <c r="X340" s="30"/>
      <c r="Y340" s="30"/>
      <c r="Z340" s="27" t="s">
        <v>4113</v>
      </c>
      <c r="AA340" s="9" t="s">
        <v>3887</v>
      </c>
      <c r="AB340" s="27" t="s">
        <v>113</v>
      </c>
      <c r="AC340" s="23" t="s">
        <v>1010</v>
      </c>
    </row>
    <row r="341" customFormat="false" ht="19.5" hidden="false" customHeight="true" outlineLevel="0" collapsed="false">
      <c r="A341" s="25" t="s">
        <v>4172</v>
      </c>
      <c r="B341" s="25" t="s">
        <v>342</v>
      </c>
      <c r="C341" s="12" t="s">
        <v>343</v>
      </c>
      <c r="D341" s="12" t="s">
        <v>344</v>
      </c>
      <c r="E341" s="12" t="s">
        <v>345</v>
      </c>
      <c r="F341" s="25" t="s">
        <v>1031</v>
      </c>
      <c r="G341" s="25" t="n">
        <v>2025</v>
      </c>
      <c r="H341" s="25" t="n">
        <v>3</v>
      </c>
      <c r="I341" s="25" t="s">
        <v>3879</v>
      </c>
      <c r="J341" s="18" t="n">
        <v>1</v>
      </c>
      <c r="K341" s="14" t="n">
        <v>1.4</v>
      </c>
      <c r="L341" s="29"/>
      <c r="M341" s="14" t="n">
        <v>3</v>
      </c>
      <c r="N341" s="29"/>
      <c r="O341" s="32" t="n">
        <v>-1.6</v>
      </c>
      <c r="P341" s="29"/>
      <c r="Q341" s="25" t="n">
        <v>1</v>
      </c>
      <c r="R341" s="25" t="n">
        <v>1</v>
      </c>
      <c r="S341" s="25" t="n">
        <v>1</v>
      </c>
      <c r="T341" s="25" t="n">
        <v>0</v>
      </c>
      <c r="U341" s="29"/>
      <c r="V341" s="29"/>
      <c r="W341" s="29"/>
      <c r="X341" s="29"/>
      <c r="Y341" s="29"/>
      <c r="Z341" s="25" t="s">
        <v>2891</v>
      </c>
      <c r="AA341" s="12" t="s">
        <v>3887</v>
      </c>
      <c r="AB341" s="25" t="s">
        <v>113</v>
      </c>
      <c r="AC341" s="22" t="s">
        <v>1032</v>
      </c>
    </row>
    <row r="342" customFormat="false" ht="19.5" hidden="false" customHeight="true" outlineLevel="0" collapsed="false">
      <c r="A342" s="27" t="s">
        <v>4173</v>
      </c>
      <c r="B342" s="27" t="s">
        <v>342</v>
      </c>
      <c r="C342" s="9" t="s">
        <v>343</v>
      </c>
      <c r="D342" s="9" t="s">
        <v>344</v>
      </c>
      <c r="E342" s="9" t="s">
        <v>345</v>
      </c>
      <c r="F342" s="27" t="s">
        <v>1051</v>
      </c>
      <c r="G342" s="27" t="n">
        <v>2025</v>
      </c>
      <c r="H342" s="27" t="n">
        <v>3</v>
      </c>
      <c r="I342" s="27" t="s">
        <v>3879</v>
      </c>
      <c r="J342" s="20" t="n">
        <v>1</v>
      </c>
      <c r="K342" s="11" t="n">
        <v>1</v>
      </c>
      <c r="L342" s="30"/>
      <c r="M342" s="11" t="n">
        <v>1.4</v>
      </c>
      <c r="N342" s="30"/>
      <c r="O342" s="31" t="n">
        <v>-0.4</v>
      </c>
      <c r="P342" s="30"/>
      <c r="Q342" s="27" t="n">
        <v>1</v>
      </c>
      <c r="R342" s="27" t="n">
        <v>1</v>
      </c>
      <c r="S342" s="27" t="n">
        <v>0</v>
      </c>
      <c r="T342" s="27" t="n">
        <v>0</v>
      </c>
      <c r="U342" s="30"/>
      <c r="V342" s="30"/>
      <c r="W342" s="30"/>
      <c r="X342" s="30"/>
      <c r="Y342" s="30"/>
      <c r="Z342" s="27" t="s">
        <v>2891</v>
      </c>
      <c r="AA342" s="9" t="s">
        <v>3887</v>
      </c>
      <c r="AB342" s="27" t="s">
        <v>113</v>
      </c>
      <c r="AC342" s="23" t="s">
        <v>1052</v>
      </c>
    </row>
    <row r="343" customFormat="false" ht="19.5" hidden="false" customHeight="true" outlineLevel="0" collapsed="false">
      <c r="A343" s="25" t="s">
        <v>4174</v>
      </c>
      <c r="B343" s="25" t="s">
        <v>342</v>
      </c>
      <c r="C343" s="12" t="s">
        <v>343</v>
      </c>
      <c r="D343" s="12" t="s">
        <v>344</v>
      </c>
      <c r="E343" s="12" t="s">
        <v>345</v>
      </c>
      <c r="F343" s="25" t="s">
        <v>1070</v>
      </c>
      <c r="G343" s="25" t="n">
        <v>2025</v>
      </c>
      <c r="H343" s="25" t="n">
        <v>3</v>
      </c>
      <c r="I343" s="25" t="s">
        <v>3879</v>
      </c>
      <c r="J343" s="18" t="n">
        <v>1</v>
      </c>
      <c r="K343" s="14" t="n">
        <v>0.9</v>
      </c>
      <c r="L343" s="29"/>
      <c r="M343" s="14" t="n">
        <v>1</v>
      </c>
      <c r="N343" s="29"/>
      <c r="O343" s="32" t="n">
        <v>-0.1</v>
      </c>
      <c r="P343" s="29"/>
      <c r="Q343" s="25" t="n">
        <v>1</v>
      </c>
      <c r="R343" s="25" t="n">
        <v>1</v>
      </c>
      <c r="S343" s="25" t="n">
        <v>0</v>
      </c>
      <c r="T343" s="25" t="n">
        <v>0</v>
      </c>
      <c r="U343" s="29"/>
      <c r="V343" s="29"/>
      <c r="W343" s="29"/>
      <c r="X343" s="29"/>
      <c r="Y343" s="29"/>
      <c r="Z343" s="25" t="s">
        <v>2913</v>
      </c>
      <c r="AA343" s="12" t="s">
        <v>3887</v>
      </c>
      <c r="AB343" s="25" t="s">
        <v>113</v>
      </c>
      <c r="AC343" s="22" t="s">
        <v>1071</v>
      </c>
    </row>
    <row r="344" customFormat="false" ht="19.5" hidden="false" customHeight="true" outlineLevel="0" collapsed="false">
      <c r="A344" s="27" t="s">
        <v>4175</v>
      </c>
      <c r="B344" s="27" t="s">
        <v>241</v>
      </c>
      <c r="C344" s="9" t="s">
        <v>242</v>
      </c>
      <c r="D344" s="9" t="s">
        <v>243</v>
      </c>
      <c r="E344" s="9" t="s">
        <v>219</v>
      </c>
      <c r="F344" s="27" t="s">
        <v>1323</v>
      </c>
      <c r="G344" s="27" t="n">
        <v>2026</v>
      </c>
      <c r="H344" s="27" t="n">
        <v>9</v>
      </c>
      <c r="I344" s="27" t="s">
        <v>3827</v>
      </c>
      <c r="J344" s="20" t="n">
        <v>2</v>
      </c>
      <c r="K344" s="11" t="n">
        <v>0.4</v>
      </c>
      <c r="L344" s="11" t="n">
        <v>0.2</v>
      </c>
      <c r="M344" s="30"/>
      <c r="N344" s="30"/>
      <c r="O344" s="30"/>
      <c r="P344" s="11" t="n">
        <v>0.3</v>
      </c>
      <c r="Q344" s="27" t="n">
        <v>0</v>
      </c>
      <c r="R344" s="27" t="n">
        <v>0</v>
      </c>
      <c r="S344" s="27" t="n">
        <v>0</v>
      </c>
      <c r="T344" s="27" t="n">
        <v>0</v>
      </c>
      <c r="U344" s="30"/>
      <c r="V344" s="30"/>
      <c r="W344" s="30"/>
      <c r="X344" s="30"/>
      <c r="Y344" s="30"/>
      <c r="Z344" s="27" t="s">
        <v>3836</v>
      </c>
      <c r="AA344" s="9" t="s">
        <v>3828</v>
      </c>
      <c r="AB344" s="27" t="s">
        <v>86</v>
      </c>
      <c r="AC344" s="23" t="s">
        <v>1326</v>
      </c>
    </row>
    <row r="345" customFormat="false" ht="19.5" hidden="false" customHeight="true" outlineLevel="0" collapsed="false">
      <c r="A345" s="25" t="s">
        <v>4176</v>
      </c>
      <c r="B345" s="25" t="s">
        <v>241</v>
      </c>
      <c r="C345" s="12" t="s">
        <v>242</v>
      </c>
      <c r="D345" s="12" t="s">
        <v>243</v>
      </c>
      <c r="E345" s="12" t="s">
        <v>219</v>
      </c>
      <c r="F345" s="25" t="s">
        <v>1353</v>
      </c>
      <c r="G345" s="25" t="n">
        <v>2026</v>
      </c>
      <c r="H345" s="25" t="n">
        <v>9</v>
      </c>
      <c r="I345" s="25" t="s">
        <v>3827</v>
      </c>
      <c r="J345" s="18" t="n">
        <v>2</v>
      </c>
      <c r="K345" s="14" t="n">
        <v>0.3</v>
      </c>
      <c r="L345" s="29"/>
      <c r="M345" s="14" t="n">
        <v>0.4</v>
      </c>
      <c r="N345" s="29"/>
      <c r="O345" s="32" t="n">
        <v>-0.1</v>
      </c>
      <c r="P345" s="14" t="n">
        <v>0.4</v>
      </c>
      <c r="Q345" s="25" t="n">
        <v>0</v>
      </c>
      <c r="R345" s="25" t="n">
        <v>0</v>
      </c>
      <c r="S345" s="25" t="n">
        <v>0</v>
      </c>
      <c r="T345" s="25" t="n">
        <v>0</v>
      </c>
      <c r="U345" s="14" t="n">
        <v>1.02</v>
      </c>
      <c r="V345" s="14" t="n">
        <v>-1.04</v>
      </c>
      <c r="W345" s="14" t="n">
        <v>2.06</v>
      </c>
      <c r="X345" s="29"/>
      <c r="Y345" s="29"/>
      <c r="Z345" s="25" t="s">
        <v>3836</v>
      </c>
      <c r="AA345" s="12" t="s">
        <v>3828</v>
      </c>
      <c r="AB345" s="25" t="s">
        <v>86</v>
      </c>
      <c r="AC345" s="22" t="s">
        <v>1326</v>
      </c>
    </row>
    <row r="346" customFormat="false" ht="19.5" hidden="false" customHeight="true" outlineLevel="0" collapsed="false">
      <c r="A346" s="27" t="s">
        <v>4177</v>
      </c>
      <c r="B346" s="27" t="s">
        <v>241</v>
      </c>
      <c r="C346" s="9" t="s">
        <v>242</v>
      </c>
      <c r="D346" s="9" t="s">
        <v>243</v>
      </c>
      <c r="E346" s="9" t="s">
        <v>219</v>
      </c>
      <c r="F346" s="27" t="s">
        <v>1374</v>
      </c>
      <c r="G346" s="27" t="n">
        <v>2026</v>
      </c>
      <c r="H346" s="27" t="n">
        <v>9</v>
      </c>
      <c r="I346" s="27" t="s">
        <v>3827</v>
      </c>
      <c r="J346" s="20" t="n">
        <v>3</v>
      </c>
      <c r="K346" s="11" t="n">
        <v>0.4</v>
      </c>
      <c r="L346" s="11" t="n">
        <v>0.2</v>
      </c>
      <c r="M346" s="11" t="n">
        <v>0.3</v>
      </c>
      <c r="N346" s="11" t="n">
        <v>0.4</v>
      </c>
      <c r="O346" s="31" t="n">
        <v>0.1</v>
      </c>
      <c r="P346" s="11" t="n">
        <v>0.8</v>
      </c>
      <c r="Q346" s="27" t="n">
        <v>0</v>
      </c>
      <c r="R346" s="27" t="n">
        <v>0</v>
      </c>
      <c r="S346" s="27" t="n">
        <v>0</v>
      </c>
      <c r="T346" s="27" t="n">
        <v>0</v>
      </c>
      <c r="U346" s="11" t="n">
        <v>0.96</v>
      </c>
      <c r="V346" s="11" t="n">
        <v>-1.01</v>
      </c>
      <c r="W346" s="11" t="n">
        <v>1.97</v>
      </c>
      <c r="X346" s="11" t="n">
        <v>0.67</v>
      </c>
      <c r="Y346" s="30"/>
      <c r="Z346" s="27" t="s">
        <v>2961</v>
      </c>
      <c r="AA346" s="9" t="s">
        <v>3828</v>
      </c>
      <c r="AB346" s="27" t="s">
        <v>86</v>
      </c>
      <c r="AC346" s="23" t="s">
        <v>1383</v>
      </c>
    </row>
    <row r="347" customFormat="false" ht="19.5" hidden="false" customHeight="true" outlineLevel="0" collapsed="false">
      <c r="A347" s="25" t="s">
        <v>4178</v>
      </c>
      <c r="B347" s="25" t="s">
        <v>241</v>
      </c>
      <c r="C347" s="12" t="s">
        <v>242</v>
      </c>
      <c r="D347" s="12" t="s">
        <v>243</v>
      </c>
      <c r="E347" s="12" t="s">
        <v>219</v>
      </c>
      <c r="F347" s="25" t="s">
        <v>1400</v>
      </c>
      <c r="G347" s="25" t="n">
        <v>2026</v>
      </c>
      <c r="H347" s="25" t="n">
        <v>9</v>
      </c>
      <c r="I347" s="25" t="s">
        <v>3827</v>
      </c>
      <c r="J347" s="18" t="n">
        <v>3</v>
      </c>
      <c r="K347" s="14" t="n">
        <v>0.8</v>
      </c>
      <c r="L347" s="14" t="n">
        <v>0.5</v>
      </c>
      <c r="M347" s="14" t="n">
        <v>0.4</v>
      </c>
      <c r="N347" s="14" t="n">
        <v>0.3</v>
      </c>
      <c r="O347" s="32" t="n">
        <v>0.4</v>
      </c>
      <c r="P347" s="14" t="n">
        <v>1</v>
      </c>
      <c r="Q347" s="25" t="n">
        <v>1</v>
      </c>
      <c r="R347" s="25" t="n">
        <v>1</v>
      </c>
      <c r="S347" s="25" t="n">
        <v>0</v>
      </c>
      <c r="T347" s="25" t="n">
        <v>0</v>
      </c>
      <c r="U347" s="14" t="n">
        <v>0.3</v>
      </c>
      <c r="V347" s="14" t="n">
        <v>-0.98</v>
      </c>
      <c r="W347" s="14" t="n">
        <v>1.28</v>
      </c>
      <c r="X347" s="14" t="n">
        <v>0.64</v>
      </c>
      <c r="Y347" s="29"/>
      <c r="Z347" s="25" t="s">
        <v>2961</v>
      </c>
      <c r="AA347" s="12" t="s">
        <v>3828</v>
      </c>
      <c r="AB347" s="25" t="s">
        <v>86</v>
      </c>
      <c r="AC347" s="22" t="s">
        <v>1383</v>
      </c>
    </row>
    <row r="348" customFormat="false" ht="19.5" hidden="false" customHeight="true" outlineLevel="0" collapsed="false">
      <c r="A348" s="27" t="s">
        <v>4179</v>
      </c>
      <c r="B348" s="27" t="s">
        <v>241</v>
      </c>
      <c r="C348" s="9" t="s">
        <v>242</v>
      </c>
      <c r="D348" s="9" t="s">
        <v>243</v>
      </c>
      <c r="E348" s="9" t="s">
        <v>219</v>
      </c>
      <c r="F348" s="27" t="s">
        <v>1419</v>
      </c>
      <c r="G348" s="27" t="n">
        <v>2026</v>
      </c>
      <c r="H348" s="27" t="n">
        <v>9</v>
      </c>
      <c r="I348" s="27" t="s">
        <v>3827</v>
      </c>
      <c r="J348" s="20" t="n">
        <v>2</v>
      </c>
      <c r="K348" s="11" t="n">
        <v>1</v>
      </c>
      <c r="L348" s="11" t="n">
        <v>0.9</v>
      </c>
      <c r="M348" s="11" t="n">
        <v>0.8</v>
      </c>
      <c r="N348" s="11" t="n">
        <v>0.4</v>
      </c>
      <c r="O348" s="31" t="n">
        <v>0.2</v>
      </c>
      <c r="P348" s="30"/>
      <c r="Q348" s="27" t="n">
        <v>1</v>
      </c>
      <c r="R348" s="27" t="n">
        <v>1</v>
      </c>
      <c r="S348" s="27" t="n">
        <v>0</v>
      </c>
      <c r="T348" s="27" t="n">
        <v>0</v>
      </c>
      <c r="U348" s="11" t="n">
        <v>0.97</v>
      </c>
      <c r="V348" s="11" t="n">
        <v>0.97</v>
      </c>
      <c r="W348" s="11" t="n">
        <v>0</v>
      </c>
      <c r="X348" s="11" t="n">
        <v>0.54</v>
      </c>
      <c r="Y348" s="30"/>
      <c r="Z348" s="27" t="s">
        <v>2961</v>
      </c>
      <c r="AA348" s="9" t="s">
        <v>3828</v>
      </c>
      <c r="AB348" s="27" t="s">
        <v>86</v>
      </c>
      <c r="AC348" s="23" t="s">
        <v>1376</v>
      </c>
    </row>
    <row r="349" customFormat="false" ht="19.5" hidden="false" customHeight="true" outlineLevel="0" collapsed="false">
      <c r="A349" s="25" t="s">
        <v>4180</v>
      </c>
      <c r="B349" s="25" t="s">
        <v>241</v>
      </c>
      <c r="C349" s="12" t="s">
        <v>242</v>
      </c>
      <c r="D349" s="12" t="s">
        <v>243</v>
      </c>
      <c r="E349" s="12" t="s">
        <v>219</v>
      </c>
      <c r="F349" s="25" t="s">
        <v>1435</v>
      </c>
      <c r="G349" s="25" t="n">
        <v>2026</v>
      </c>
      <c r="H349" s="25" t="n">
        <v>10</v>
      </c>
      <c r="I349" s="25" t="s">
        <v>3827</v>
      </c>
      <c r="J349" s="18" t="n">
        <v>1</v>
      </c>
      <c r="K349" s="14" t="n">
        <v>0.3</v>
      </c>
      <c r="L349" s="29"/>
      <c r="M349" s="29"/>
      <c r="N349" s="29"/>
      <c r="O349" s="29"/>
      <c r="P349" s="14" t="n">
        <v>2.6</v>
      </c>
      <c r="Q349" s="25" t="n">
        <v>0</v>
      </c>
      <c r="R349" s="25" t="n">
        <v>0</v>
      </c>
      <c r="S349" s="25" t="n">
        <v>0</v>
      </c>
      <c r="T349" s="25" t="n">
        <v>0</v>
      </c>
      <c r="U349" s="29"/>
      <c r="V349" s="29"/>
      <c r="W349" s="29"/>
      <c r="X349" s="29"/>
      <c r="Y349" s="29"/>
      <c r="Z349" s="25" t="s">
        <v>3836</v>
      </c>
      <c r="AA349" s="12" t="s">
        <v>3832</v>
      </c>
      <c r="AB349" s="25" t="s">
        <v>86</v>
      </c>
      <c r="AC349" s="22" t="s">
        <v>1437</v>
      </c>
    </row>
    <row r="350" customFormat="false" ht="19.5" hidden="false" customHeight="true" outlineLevel="0" collapsed="false">
      <c r="A350" s="27" t="s">
        <v>4181</v>
      </c>
      <c r="B350" s="27" t="s">
        <v>241</v>
      </c>
      <c r="C350" s="9" t="s">
        <v>242</v>
      </c>
      <c r="D350" s="9" t="s">
        <v>243</v>
      </c>
      <c r="E350" s="9" t="s">
        <v>219</v>
      </c>
      <c r="F350" s="27" t="s">
        <v>1450</v>
      </c>
      <c r="G350" s="27" t="n">
        <v>2026</v>
      </c>
      <c r="H350" s="27" t="n">
        <v>10</v>
      </c>
      <c r="I350" s="27" t="s">
        <v>3827</v>
      </c>
      <c r="J350" s="20" t="n">
        <v>2</v>
      </c>
      <c r="K350" s="11" t="n">
        <v>2.6</v>
      </c>
      <c r="L350" s="30"/>
      <c r="M350" s="11" t="n">
        <v>0.3</v>
      </c>
      <c r="N350" s="30"/>
      <c r="O350" s="31" t="n">
        <v>2.3</v>
      </c>
      <c r="P350" s="11" t="n">
        <v>1.8</v>
      </c>
      <c r="Q350" s="27" t="n">
        <v>1</v>
      </c>
      <c r="R350" s="27" t="n">
        <v>1</v>
      </c>
      <c r="S350" s="27" t="n">
        <v>1</v>
      </c>
      <c r="T350" s="27" t="n">
        <v>1</v>
      </c>
      <c r="U350" s="11" t="n">
        <v>1.22</v>
      </c>
      <c r="V350" s="11" t="n">
        <v>-1.05</v>
      </c>
      <c r="W350" s="11" t="n">
        <v>2.27</v>
      </c>
      <c r="X350" s="30"/>
      <c r="Y350" s="30"/>
      <c r="Z350" s="27" t="s">
        <v>3836</v>
      </c>
      <c r="AA350" s="9" t="s">
        <v>3832</v>
      </c>
      <c r="AB350" s="27" t="s">
        <v>86</v>
      </c>
      <c r="AC350" s="23" t="s">
        <v>1437</v>
      </c>
    </row>
    <row r="351" customFormat="false" ht="19.5" hidden="false" customHeight="true" outlineLevel="0" collapsed="false">
      <c r="A351" s="25" t="s">
        <v>4182</v>
      </c>
      <c r="B351" s="25" t="s">
        <v>241</v>
      </c>
      <c r="C351" s="12" t="s">
        <v>242</v>
      </c>
      <c r="D351" s="12" t="s">
        <v>243</v>
      </c>
      <c r="E351" s="12" t="s">
        <v>219</v>
      </c>
      <c r="F351" s="25" t="s">
        <v>1469</v>
      </c>
      <c r="G351" s="25" t="n">
        <v>2026</v>
      </c>
      <c r="H351" s="25" t="n">
        <v>10</v>
      </c>
      <c r="I351" s="25" t="s">
        <v>3827</v>
      </c>
      <c r="J351" s="18" t="n">
        <v>3</v>
      </c>
      <c r="K351" s="14" t="n">
        <v>1.8</v>
      </c>
      <c r="L351" s="14" t="n">
        <v>1.7</v>
      </c>
      <c r="M351" s="14" t="n">
        <v>2.6</v>
      </c>
      <c r="N351" s="14" t="n">
        <v>0.3</v>
      </c>
      <c r="O351" s="32" t="n">
        <v>-0.8</v>
      </c>
      <c r="P351" s="14" t="n">
        <v>2.7</v>
      </c>
      <c r="Q351" s="25" t="n">
        <v>1</v>
      </c>
      <c r="R351" s="25" t="n">
        <v>1</v>
      </c>
      <c r="S351" s="25" t="n">
        <v>1</v>
      </c>
      <c r="T351" s="25" t="n">
        <v>0</v>
      </c>
      <c r="U351" s="14" t="n">
        <v>1.51</v>
      </c>
      <c r="V351" s="14" t="n">
        <v>-0.78</v>
      </c>
      <c r="W351" s="14" t="n">
        <v>2.29</v>
      </c>
      <c r="X351" s="14" t="n">
        <v>0.73</v>
      </c>
      <c r="Y351" s="29"/>
      <c r="Z351" s="25" t="s">
        <v>3014</v>
      </c>
      <c r="AA351" s="12" t="s">
        <v>3832</v>
      </c>
      <c r="AB351" s="25" t="s">
        <v>86</v>
      </c>
      <c r="AC351" s="22" t="s">
        <v>1476</v>
      </c>
    </row>
    <row r="352" customFormat="false" ht="19.5" hidden="false" customHeight="true" outlineLevel="0" collapsed="false">
      <c r="A352" s="27" t="s">
        <v>4183</v>
      </c>
      <c r="B352" s="27" t="s">
        <v>241</v>
      </c>
      <c r="C352" s="9" t="s">
        <v>242</v>
      </c>
      <c r="D352" s="9" t="s">
        <v>243</v>
      </c>
      <c r="E352" s="9" t="s">
        <v>219</v>
      </c>
      <c r="F352" s="27" t="s">
        <v>1490</v>
      </c>
      <c r="G352" s="27" t="n">
        <v>2026</v>
      </c>
      <c r="H352" s="27" t="n">
        <v>10</v>
      </c>
      <c r="I352" s="27" t="s">
        <v>3827</v>
      </c>
      <c r="J352" s="20" t="n">
        <v>3</v>
      </c>
      <c r="K352" s="11" t="n">
        <v>2.7</v>
      </c>
      <c r="L352" s="11" t="n">
        <v>0.9</v>
      </c>
      <c r="M352" s="11" t="n">
        <v>1.8</v>
      </c>
      <c r="N352" s="11" t="n">
        <v>2.6</v>
      </c>
      <c r="O352" s="31" t="n">
        <v>0.9</v>
      </c>
      <c r="P352" s="11" t="n">
        <v>2.26</v>
      </c>
      <c r="Q352" s="27" t="n">
        <v>1</v>
      </c>
      <c r="R352" s="27" t="n">
        <v>1</v>
      </c>
      <c r="S352" s="27" t="n">
        <v>1</v>
      </c>
      <c r="T352" s="27" t="n">
        <v>1</v>
      </c>
      <c r="U352" s="11" t="n">
        <v>1.85</v>
      </c>
      <c r="V352" s="11" t="n">
        <v>-0.59</v>
      </c>
      <c r="W352" s="11" t="n">
        <v>2.44</v>
      </c>
      <c r="X352" s="11" t="n">
        <v>0.4</v>
      </c>
      <c r="Y352" s="30"/>
      <c r="Z352" s="27" t="s">
        <v>3014</v>
      </c>
      <c r="AA352" s="9" t="s">
        <v>3832</v>
      </c>
      <c r="AB352" s="27" t="s">
        <v>86</v>
      </c>
      <c r="AC352" s="23" t="s">
        <v>1497</v>
      </c>
    </row>
    <row r="353" customFormat="false" ht="19.5" hidden="false" customHeight="true" outlineLevel="0" collapsed="false">
      <c r="A353" s="25" t="s">
        <v>4184</v>
      </c>
      <c r="B353" s="25" t="s">
        <v>241</v>
      </c>
      <c r="C353" s="12" t="s">
        <v>242</v>
      </c>
      <c r="D353" s="12" t="s">
        <v>243</v>
      </c>
      <c r="E353" s="12" t="s">
        <v>219</v>
      </c>
      <c r="F353" s="25" t="s">
        <v>1510</v>
      </c>
      <c r="G353" s="25" t="n">
        <v>2026</v>
      </c>
      <c r="H353" s="25" t="n">
        <v>10</v>
      </c>
      <c r="I353" s="25" t="s">
        <v>3827</v>
      </c>
      <c r="J353" s="18" t="n">
        <v>3</v>
      </c>
      <c r="K353" s="14" t="n">
        <v>2.26</v>
      </c>
      <c r="L353" s="14" t="n">
        <v>1.1</v>
      </c>
      <c r="M353" s="14" t="n">
        <v>2.7</v>
      </c>
      <c r="N353" s="14" t="n">
        <v>1.8</v>
      </c>
      <c r="O353" s="32" t="n">
        <v>-0.44</v>
      </c>
      <c r="P353" s="14" t="n">
        <v>1.4</v>
      </c>
      <c r="Q353" s="25" t="n">
        <v>1</v>
      </c>
      <c r="R353" s="25" t="n">
        <v>1</v>
      </c>
      <c r="S353" s="25" t="n">
        <v>1</v>
      </c>
      <c r="T353" s="25" t="n">
        <v>1</v>
      </c>
      <c r="U353" s="14" t="n">
        <v>1.87</v>
      </c>
      <c r="V353" s="14" t="n">
        <v>-0.82</v>
      </c>
      <c r="W353" s="14" t="n">
        <v>2.69</v>
      </c>
      <c r="X353" s="14" t="n">
        <v>0.35</v>
      </c>
      <c r="Y353" s="29"/>
      <c r="Z353" s="25" t="s">
        <v>2897</v>
      </c>
      <c r="AA353" s="12" t="s">
        <v>3832</v>
      </c>
      <c r="AB353" s="25" t="s">
        <v>86</v>
      </c>
      <c r="AC353" s="22" t="s">
        <v>1517</v>
      </c>
    </row>
    <row r="354" customFormat="false" ht="19.5" hidden="false" customHeight="true" outlineLevel="0" collapsed="false">
      <c r="A354" s="27" t="s">
        <v>4185</v>
      </c>
      <c r="B354" s="27" t="s">
        <v>241</v>
      </c>
      <c r="C354" s="9" t="s">
        <v>242</v>
      </c>
      <c r="D354" s="9" t="s">
        <v>243</v>
      </c>
      <c r="E354" s="9" t="s">
        <v>219</v>
      </c>
      <c r="F354" s="27" t="s">
        <v>1532</v>
      </c>
      <c r="G354" s="27" t="n">
        <v>2026</v>
      </c>
      <c r="H354" s="27" t="n">
        <v>10</v>
      </c>
      <c r="I354" s="27" t="s">
        <v>3827</v>
      </c>
      <c r="J354" s="20" t="n">
        <v>3</v>
      </c>
      <c r="K354" s="11" t="n">
        <v>1.4</v>
      </c>
      <c r="L354" s="11" t="n">
        <v>1.2</v>
      </c>
      <c r="M354" s="11" t="n">
        <v>2.26</v>
      </c>
      <c r="N354" s="11" t="n">
        <v>2.7</v>
      </c>
      <c r="O354" s="31" t="n">
        <v>-0.86</v>
      </c>
      <c r="P354" s="11" t="n">
        <v>1.2</v>
      </c>
      <c r="Q354" s="27" t="n">
        <v>1</v>
      </c>
      <c r="R354" s="27" t="n">
        <v>1</v>
      </c>
      <c r="S354" s="27" t="n">
        <v>1</v>
      </c>
      <c r="T354" s="27" t="n">
        <v>0</v>
      </c>
      <c r="U354" s="11" t="n">
        <v>1.81</v>
      </c>
      <c r="V354" s="11" t="n">
        <v>-0.96</v>
      </c>
      <c r="W354" s="11" t="n">
        <v>2.77</v>
      </c>
      <c r="X354" s="11" t="n">
        <v>0.35</v>
      </c>
      <c r="Y354" s="30"/>
      <c r="Z354" s="27" t="s">
        <v>2998</v>
      </c>
      <c r="AA354" s="9" t="s">
        <v>3832</v>
      </c>
      <c r="AB354" s="27" t="s">
        <v>86</v>
      </c>
      <c r="AC354" s="23" t="s">
        <v>93</v>
      </c>
    </row>
    <row r="355" customFormat="false" ht="19.5" hidden="false" customHeight="true" outlineLevel="0" collapsed="false">
      <c r="A355" s="25" t="s">
        <v>4186</v>
      </c>
      <c r="B355" s="25" t="s">
        <v>241</v>
      </c>
      <c r="C355" s="12" t="s">
        <v>242</v>
      </c>
      <c r="D355" s="12" t="s">
        <v>243</v>
      </c>
      <c r="E355" s="12" t="s">
        <v>219</v>
      </c>
      <c r="F355" s="25" t="s">
        <v>1555</v>
      </c>
      <c r="G355" s="25" t="n">
        <v>2026</v>
      </c>
      <c r="H355" s="25" t="n">
        <v>10</v>
      </c>
      <c r="I355" s="25" t="s">
        <v>3827</v>
      </c>
      <c r="J355" s="18" t="n">
        <v>2</v>
      </c>
      <c r="K355" s="14" t="n">
        <v>1.2</v>
      </c>
      <c r="L355" s="14" t="n">
        <v>1.1</v>
      </c>
      <c r="M355" s="14" t="n">
        <v>1.4</v>
      </c>
      <c r="N355" s="14" t="n">
        <v>2.26</v>
      </c>
      <c r="O355" s="32" t="n">
        <v>-0.2</v>
      </c>
      <c r="P355" s="29"/>
      <c r="Q355" s="25" t="n">
        <v>1</v>
      </c>
      <c r="R355" s="25" t="n">
        <v>1</v>
      </c>
      <c r="S355" s="25" t="n">
        <v>1</v>
      </c>
      <c r="T355" s="25" t="n">
        <v>0</v>
      </c>
      <c r="U355" s="14" t="n">
        <v>1.6</v>
      </c>
      <c r="V355" s="14" t="n">
        <v>1.6</v>
      </c>
      <c r="W355" s="14" t="n">
        <v>0</v>
      </c>
      <c r="X355" s="14" t="n">
        <v>0.95</v>
      </c>
      <c r="Y355" s="29"/>
      <c r="Z355" s="25" t="s">
        <v>2998</v>
      </c>
      <c r="AA355" s="12" t="s">
        <v>3832</v>
      </c>
      <c r="AB355" s="25" t="s">
        <v>86</v>
      </c>
      <c r="AC355" s="22" t="s">
        <v>93</v>
      </c>
    </row>
    <row r="356" customFormat="false" ht="19.5" hidden="false" customHeight="true" outlineLevel="0" collapsed="false">
      <c r="A356" s="27" t="s">
        <v>4187</v>
      </c>
      <c r="B356" s="27" t="s">
        <v>250</v>
      </c>
      <c r="C356" s="9" t="s">
        <v>251</v>
      </c>
      <c r="D356" s="9" t="s">
        <v>252</v>
      </c>
      <c r="E356" s="9" t="s">
        <v>219</v>
      </c>
      <c r="F356" s="27" t="s">
        <v>1374</v>
      </c>
      <c r="G356" s="27" t="n">
        <v>2026</v>
      </c>
      <c r="H356" s="27" t="n">
        <v>9</v>
      </c>
      <c r="I356" s="27" t="s">
        <v>3827</v>
      </c>
      <c r="J356" s="20" t="n">
        <v>1</v>
      </c>
      <c r="K356" s="11" t="n">
        <v>0.1</v>
      </c>
      <c r="L356" s="11" t="n">
        <v>0.1</v>
      </c>
      <c r="M356" s="30"/>
      <c r="N356" s="30"/>
      <c r="O356" s="30"/>
      <c r="P356" s="11" t="n">
        <v>0.1</v>
      </c>
      <c r="Q356" s="27" t="n">
        <v>0</v>
      </c>
      <c r="R356" s="27" t="n">
        <v>0</v>
      </c>
      <c r="S356" s="27" t="n">
        <v>0</v>
      </c>
      <c r="T356" s="27" t="n">
        <v>0</v>
      </c>
      <c r="U356" s="11" t="n">
        <v>0.96</v>
      </c>
      <c r="V356" s="11" t="n">
        <v>-1.01</v>
      </c>
      <c r="W356" s="11" t="n">
        <v>1.97</v>
      </c>
      <c r="X356" s="11" t="n">
        <v>0.19</v>
      </c>
      <c r="Y356" s="10" t="n">
        <v>12</v>
      </c>
      <c r="Z356" s="27" t="s">
        <v>2961</v>
      </c>
      <c r="AA356" s="9" t="s">
        <v>3828</v>
      </c>
      <c r="AB356" s="27" t="s">
        <v>86</v>
      </c>
      <c r="AC356" s="23" t="s">
        <v>1326</v>
      </c>
    </row>
    <row r="357" customFormat="false" ht="19.5" hidden="false" customHeight="true" outlineLevel="0" collapsed="false">
      <c r="A357" s="25" t="s">
        <v>4188</v>
      </c>
      <c r="B357" s="25" t="s">
        <v>250</v>
      </c>
      <c r="C357" s="12" t="s">
        <v>251</v>
      </c>
      <c r="D357" s="12" t="s">
        <v>252</v>
      </c>
      <c r="E357" s="12" t="s">
        <v>219</v>
      </c>
      <c r="F357" s="25" t="s">
        <v>1400</v>
      </c>
      <c r="G357" s="25" t="n">
        <v>2026</v>
      </c>
      <c r="H357" s="25" t="n">
        <v>9</v>
      </c>
      <c r="I357" s="25" t="s">
        <v>3827</v>
      </c>
      <c r="J357" s="18" t="n">
        <v>1</v>
      </c>
      <c r="K357" s="14" t="n">
        <v>0.1</v>
      </c>
      <c r="L357" s="14" t="n">
        <v>0.1</v>
      </c>
      <c r="M357" s="14" t="n">
        <v>0.1</v>
      </c>
      <c r="N357" s="29"/>
      <c r="O357" s="32" t="n">
        <v>0</v>
      </c>
      <c r="P357" s="14" t="n">
        <v>0.1</v>
      </c>
      <c r="Q357" s="25" t="n">
        <v>0</v>
      </c>
      <c r="R357" s="25" t="n">
        <v>0</v>
      </c>
      <c r="S357" s="25" t="n">
        <v>0</v>
      </c>
      <c r="T357" s="25" t="n">
        <v>0</v>
      </c>
      <c r="U357" s="14" t="n">
        <v>0.3</v>
      </c>
      <c r="V357" s="14" t="n">
        <v>-0.98</v>
      </c>
      <c r="W357" s="14" t="n">
        <v>1.28</v>
      </c>
      <c r="X357" s="14" t="n">
        <v>0.15</v>
      </c>
      <c r="Y357" s="13" t="n">
        <v>0</v>
      </c>
      <c r="Z357" s="25" t="s">
        <v>2961</v>
      </c>
      <c r="AA357" s="12" t="s">
        <v>3828</v>
      </c>
      <c r="AB357" s="25" t="s">
        <v>86</v>
      </c>
      <c r="AC357" s="22" t="s">
        <v>1383</v>
      </c>
    </row>
    <row r="358" customFormat="false" ht="19.5" hidden="false" customHeight="true" outlineLevel="0" collapsed="false">
      <c r="A358" s="27" t="s">
        <v>4189</v>
      </c>
      <c r="B358" s="27" t="s">
        <v>250</v>
      </c>
      <c r="C358" s="9" t="s">
        <v>251</v>
      </c>
      <c r="D358" s="9" t="s">
        <v>252</v>
      </c>
      <c r="E358" s="9" t="s">
        <v>219</v>
      </c>
      <c r="F358" s="27" t="s">
        <v>1419</v>
      </c>
      <c r="G358" s="27" t="n">
        <v>2026</v>
      </c>
      <c r="H358" s="27" t="n">
        <v>9</v>
      </c>
      <c r="I358" s="27" t="s">
        <v>3827</v>
      </c>
      <c r="J358" s="20" t="n">
        <v>1</v>
      </c>
      <c r="K358" s="11" t="n">
        <v>0.1</v>
      </c>
      <c r="L358" s="11" t="n">
        <v>0.1</v>
      </c>
      <c r="M358" s="11" t="n">
        <v>0.1</v>
      </c>
      <c r="N358" s="11" t="n">
        <v>0.1</v>
      </c>
      <c r="O358" s="31" t="n">
        <v>0</v>
      </c>
      <c r="P358" s="30"/>
      <c r="Q358" s="27" t="n">
        <v>0</v>
      </c>
      <c r="R358" s="27" t="n">
        <v>0</v>
      </c>
      <c r="S358" s="27" t="n">
        <v>0</v>
      </c>
      <c r="T358" s="27" t="n">
        <v>0</v>
      </c>
      <c r="U358" s="11" t="n">
        <v>0.97</v>
      </c>
      <c r="V358" s="11" t="n">
        <v>0.97</v>
      </c>
      <c r="W358" s="11" t="n">
        <v>0</v>
      </c>
      <c r="X358" s="11" t="n">
        <v>0.32</v>
      </c>
      <c r="Y358" s="10" t="n">
        <v>17</v>
      </c>
      <c r="Z358" s="27" t="s">
        <v>2961</v>
      </c>
      <c r="AA358" s="9" t="s">
        <v>3828</v>
      </c>
      <c r="AB358" s="27" t="s">
        <v>86</v>
      </c>
      <c r="AC358" s="23" t="s">
        <v>1376</v>
      </c>
    </row>
    <row r="359" customFormat="false" ht="19.5" hidden="false" customHeight="true" outlineLevel="0" collapsed="false">
      <c r="A359" s="25" t="s">
        <v>4190</v>
      </c>
      <c r="B359" s="25" t="s">
        <v>250</v>
      </c>
      <c r="C359" s="12" t="s">
        <v>251</v>
      </c>
      <c r="D359" s="12" t="s">
        <v>252</v>
      </c>
      <c r="E359" s="12" t="s">
        <v>219</v>
      </c>
      <c r="F359" s="25" t="s">
        <v>1435</v>
      </c>
      <c r="G359" s="25" t="n">
        <v>2026</v>
      </c>
      <c r="H359" s="25" t="n">
        <v>10</v>
      </c>
      <c r="I359" s="25" t="s">
        <v>3827</v>
      </c>
      <c r="J359" s="18" t="n">
        <v>1</v>
      </c>
      <c r="K359" s="14" t="n">
        <v>0</v>
      </c>
      <c r="L359" s="14" t="n">
        <v>0</v>
      </c>
      <c r="M359" s="14" t="n">
        <v>0</v>
      </c>
      <c r="N359" s="29"/>
      <c r="O359" s="32" t="n">
        <v>0</v>
      </c>
      <c r="P359" s="14" t="n">
        <v>0</v>
      </c>
      <c r="Q359" s="25" t="n">
        <v>0</v>
      </c>
      <c r="R359" s="25" t="n">
        <v>0</v>
      </c>
      <c r="S359" s="25" t="n">
        <v>0</v>
      </c>
      <c r="T359" s="25" t="n">
        <v>0</v>
      </c>
      <c r="U359" s="29"/>
      <c r="V359" s="29"/>
      <c r="W359" s="29"/>
      <c r="X359" s="29"/>
      <c r="Y359" s="29"/>
      <c r="Z359" s="25" t="s">
        <v>3836</v>
      </c>
      <c r="AA359" s="12" t="s">
        <v>3832</v>
      </c>
      <c r="AB359" s="25" t="s">
        <v>86</v>
      </c>
      <c r="AC359" s="22" t="s">
        <v>1437</v>
      </c>
    </row>
    <row r="360" customFormat="false" ht="19.5" hidden="false" customHeight="true" outlineLevel="0" collapsed="false">
      <c r="A360" s="27" t="s">
        <v>4191</v>
      </c>
      <c r="B360" s="27" t="s">
        <v>250</v>
      </c>
      <c r="C360" s="9" t="s">
        <v>251</v>
      </c>
      <c r="D360" s="9" t="s">
        <v>252</v>
      </c>
      <c r="E360" s="9" t="s">
        <v>219</v>
      </c>
      <c r="F360" s="27" t="s">
        <v>1450</v>
      </c>
      <c r="G360" s="27" t="n">
        <v>2026</v>
      </c>
      <c r="H360" s="27" t="n">
        <v>10</v>
      </c>
      <c r="I360" s="27" t="s">
        <v>3827</v>
      </c>
      <c r="J360" s="20" t="n">
        <v>1</v>
      </c>
      <c r="K360" s="11" t="n">
        <v>0</v>
      </c>
      <c r="L360" s="30"/>
      <c r="M360" s="11" t="n">
        <v>0</v>
      </c>
      <c r="N360" s="30"/>
      <c r="O360" s="31" t="n">
        <v>0</v>
      </c>
      <c r="P360" s="11" t="n">
        <v>0</v>
      </c>
      <c r="Q360" s="27" t="n">
        <v>0</v>
      </c>
      <c r="R360" s="27" t="n">
        <v>0</v>
      </c>
      <c r="S360" s="27" t="n">
        <v>0</v>
      </c>
      <c r="T360" s="27" t="n">
        <v>0</v>
      </c>
      <c r="U360" s="11" t="n">
        <v>1.22</v>
      </c>
      <c r="V360" s="11" t="n">
        <v>-1.05</v>
      </c>
      <c r="W360" s="11" t="n">
        <v>2.27</v>
      </c>
      <c r="X360" s="30"/>
      <c r="Y360" s="30"/>
      <c r="Z360" s="27" t="s">
        <v>3836</v>
      </c>
      <c r="AA360" s="9" t="s">
        <v>3832</v>
      </c>
      <c r="AB360" s="27" t="s">
        <v>86</v>
      </c>
      <c r="AC360" s="23" t="s">
        <v>1437</v>
      </c>
    </row>
    <row r="361" customFormat="false" ht="19.5" hidden="false" customHeight="true" outlineLevel="0" collapsed="false">
      <c r="A361" s="25" t="s">
        <v>4192</v>
      </c>
      <c r="B361" s="25" t="s">
        <v>250</v>
      </c>
      <c r="C361" s="12" t="s">
        <v>251</v>
      </c>
      <c r="D361" s="12" t="s">
        <v>252</v>
      </c>
      <c r="E361" s="12" t="s">
        <v>219</v>
      </c>
      <c r="F361" s="25" t="s">
        <v>1469</v>
      </c>
      <c r="G361" s="25" t="n">
        <v>2026</v>
      </c>
      <c r="H361" s="25" t="n">
        <v>10</v>
      </c>
      <c r="I361" s="25" t="s">
        <v>3827</v>
      </c>
      <c r="J361" s="18" t="n">
        <v>1</v>
      </c>
      <c r="K361" s="14" t="n">
        <v>0</v>
      </c>
      <c r="L361" s="14" t="n">
        <v>0</v>
      </c>
      <c r="M361" s="14" t="n">
        <v>0</v>
      </c>
      <c r="N361" s="14" t="n">
        <v>0</v>
      </c>
      <c r="O361" s="32" t="n">
        <v>0</v>
      </c>
      <c r="P361" s="14" t="n">
        <v>0</v>
      </c>
      <c r="Q361" s="25" t="n">
        <v>0</v>
      </c>
      <c r="R361" s="25" t="n">
        <v>0</v>
      </c>
      <c r="S361" s="25" t="n">
        <v>0</v>
      </c>
      <c r="T361" s="25" t="n">
        <v>0</v>
      </c>
      <c r="U361" s="14" t="n">
        <v>1.51</v>
      </c>
      <c r="V361" s="14" t="n">
        <v>-0.78</v>
      </c>
      <c r="W361" s="14" t="n">
        <v>2.29</v>
      </c>
      <c r="X361" s="14" t="n">
        <v>0.38</v>
      </c>
      <c r="Y361" s="13" t="n">
        <v>15</v>
      </c>
      <c r="Z361" s="25" t="s">
        <v>3014</v>
      </c>
      <c r="AA361" s="12" t="s">
        <v>3832</v>
      </c>
      <c r="AB361" s="25" t="s">
        <v>86</v>
      </c>
      <c r="AC361" s="22" t="s">
        <v>1437</v>
      </c>
    </row>
    <row r="362" customFormat="false" ht="19.5" hidden="false" customHeight="true" outlineLevel="0" collapsed="false">
      <c r="A362" s="27" t="s">
        <v>4193</v>
      </c>
      <c r="B362" s="27" t="s">
        <v>250</v>
      </c>
      <c r="C362" s="9" t="s">
        <v>251</v>
      </c>
      <c r="D362" s="9" t="s">
        <v>252</v>
      </c>
      <c r="E362" s="9" t="s">
        <v>219</v>
      </c>
      <c r="F362" s="27" t="s">
        <v>1490</v>
      </c>
      <c r="G362" s="27" t="n">
        <v>2026</v>
      </c>
      <c r="H362" s="27" t="n">
        <v>10</v>
      </c>
      <c r="I362" s="27" t="s">
        <v>3827</v>
      </c>
      <c r="J362" s="20" t="n">
        <v>1</v>
      </c>
      <c r="K362" s="11" t="n">
        <v>0</v>
      </c>
      <c r="L362" s="11" t="n">
        <v>0</v>
      </c>
      <c r="M362" s="11" t="n">
        <v>0</v>
      </c>
      <c r="N362" s="11" t="n">
        <v>0</v>
      </c>
      <c r="O362" s="31" t="n">
        <v>0</v>
      </c>
      <c r="P362" s="11" t="n">
        <v>0</v>
      </c>
      <c r="Q362" s="27" t="n">
        <v>0</v>
      </c>
      <c r="R362" s="27" t="n">
        <v>0</v>
      </c>
      <c r="S362" s="27" t="n">
        <v>0</v>
      </c>
      <c r="T362" s="27" t="n">
        <v>0</v>
      </c>
      <c r="U362" s="11" t="n">
        <v>1.85</v>
      </c>
      <c r="V362" s="11" t="n">
        <v>-0.59</v>
      </c>
      <c r="W362" s="11" t="n">
        <v>2.44</v>
      </c>
      <c r="X362" s="11" t="n">
        <v>0.24</v>
      </c>
      <c r="Y362" s="10" t="n">
        <v>3</v>
      </c>
      <c r="Z362" s="27" t="s">
        <v>3014</v>
      </c>
      <c r="AA362" s="9" t="s">
        <v>3832</v>
      </c>
      <c r="AB362" s="27" t="s">
        <v>86</v>
      </c>
      <c r="AC362" s="23" t="s">
        <v>1476</v>
      </c>
    </row>
    <row r="363" customFormat="false" ht="19.5" hidden="false" customHeight="true" outlineLevel="0" collapsed="false">
      <c r="A363" s="25" t="s">
        <v>4194</v>
      </c>
      <c r="B363" s="25" t="s">
        <v>250</v>
      </c>
      <c r="C363" s="12" t="s">
        <v>251</v>
      </c>
      <c r="D363" s="12" t="s">
        <v>252</v>
      </c>
      <c r="E363" s="12" t="s">
        <v>219</v>
      </c>
      <c r="F363" s="25" t="s">
        <v>1510</v>
      </c>
      <c r="G363" s="25" t="n">
        <v>2026</v>
      </c>
      <c r="H363" s="25" t="n">
        <v>10</v>
      </c>
      <c r="I363" s="25" t="s">
        <v>3827</v>
      </c>
      <c r="J363" s="18" t="n">
        <v>1</v>
      </c>
      <c r="K363" s="14" t="n">
        <v>0</v>
      </c>
      <c r="L363" s="14" t="n">
        <v>0</v>
      </c>
      <c r="M363" s="14" t="n">
        <v>0</v>
      </c>
      <c r="N363" s="14" t="n">
        <v>0</v>
      </c>
      <c r="O363" s="32" t="n">
        <v>0</v>
      </c>
      <c r="P363" s="14" t="n">
        <v>0</v>
      </c>
      <c r="Q363" s="25" t="n">
        <v>0</v>
      </c>
      <c r="R363" s="25" t="n">
        <v>0</v>
      </c>
      <c r="S363" s="25" t="n">
        <v>0</v>
      </c>
      <c r="T363" s="25" t="n">
        <v>0</v>
      </c>
      <c r="U363" s="14" t="n">
        <v>1.87</v>
      </c>
      <c r="V363" s="14" t="n">
        <v>-0.82</v>
      </c>
      <c r="W363" s="14" t="n">
        <v>2.69</v>
      </c>
      <c r="X363" s="14" t="n">
        <v>0.3</v>
      </c>
      <c r="Y363" s="13" t="n">
        <v>0</v>
      </c>
      <c r="Z363" s="25" t="s">
        <v>2897</v>
      </c>
      <c r="AA363" s="12" t="s">
        <v>3832</v>
      </c>
      <c r="AB363" s="25" t="s">
        <v>86</v>
      </c>
      <c r="AC363" s="22" t="s">
        <v>1497</v>
      </c>
    </row>
    <row r="364" customFormat="false" ht="19.5" hidden="false" customHeight="true" outlineLevel="0" collapsed="false">
      <c r="A364" s="27" t="s">
        <v>4195</v>
      </c>
      <c r="B364" s="27" t="s">
        <v>250</v>
      </c>
      <c r="C364" s="9" t="s">
        <v>251</v>
      </c>
      <c r="D364" s="9" t="s">
        <v>252</v>
      </c>
      <c r="E364" s="9" t="s">
        <v>219</v>
      </c>
      <c r="F364" s="27" t="s">
        <v>1532</v>
      </c>
      <c r="G364" s="27" t="n">
        <v>2026</v>
      </c>
      <c r="H364" s="27" t="n">
        <v>10</v>
      </c>
      <c r="I364" s="27" t="s">
        <v>3827</v>
      </c>
      <c r="J364" s="20" t="n">
        <v>1</v>
      </c>
      <c r="K364" s="11" t="n">
        <v>0</v>
      </c>
      <c r="L364" s="30"/>
      <c r="M364" s="11" t="n">
        <v>0</v>
      </c>
      <c r="N364" s="11" t="n">
        <v>0</v>
      </c>
      <c r="O364" s="31" t="n">
        <v>0</v>
      </c>
      <c r="P364" s="11" t="n">
        <v>0</v>
      </c>
      <c r="Q364" s="27" t="n">
        <v>0</v>
      </c>
      <c r="R364" s="27" t="n">
        <v>0</v>
      </c>
      <c r="S364" s="27" t="n">
        <v>0</v>
      </c>
      <c r="T364" s="27" t="n">
        <v>0</v>
      </c>
      <c r="U364" s="11" t="n">
        <v>1.81</v>
      </c>
      <c r="V364" s="11" t="n">
        <v>-0.96</v>
      </c>
      <c r="W364" s="11" t="n">
        <v>2.77</v>
      </c>
      <c r="X364" s="11" t="n">
        <v>0.34</v>
      </c>
      <c r="Y364" s="10" t="n">
        <v>0</v>
      </c>
      <c r="Z364" s="27" t="s">
        <v>2998</v>
      </c>
      <c r="AA364" s="9" t="s">
        <v>3832</v>
      </c>
      <c r="AB364" s="27" t="s">
        <v>86</v>
      </c>
      <c r="AC364" s="23" t="s">
        <v>1517</v>
      </c>
    </row>
    <row r="365" customFormat="false" ht="19.5" hidden="false" customHeight="true" outlineLevel="0" collapsed="false">
      <c r="A365" s="25" t="s">
        <v>4196</v>
      </c>
      <c r="B365" s="25" t="s">
        <v>250</v>
      </c>
      <c r="C365" s="12" t="s">
        <v>251</v>
      </c>
      <c r="D365" s="12" t="s">
        <v>252</v>
      </c>
      <c r="E365" s="12" t="s">
        <v>219</v>
      </c>
      <c r="F365" s="25" t="s">
        <v>1555</v>
      </c>
      <c r="G365" s="25" t="n">
        <v>2026</v>
      </c>
      <c r="H365" s="25" t="n">
        <v>10</v>
      </c>
      <c r="I365" s="25" t="s">
        <v>3827</v>
      </c>
      <c r="J365" s="18" t="n">
        <v>1</v>
      </c>
      <c r="K365" s="14" t="n">
        <v>0</v>
      </c>
      <c r="L365" s="14" t="n">
        <v>0</v>
      </c>
      <c r="M365" s="14" t="n">
        <v>0</v>
      </c>
      <c r="N365" s="14" t="n">
        <v>0</v>
      </c>
      <c r="O365" s="32" t="n">
        <v>0</v>
      </c>
      <c r="P365" s="29"/>
      <c r="Q365" s="25" t="n">
        <v>0</v>
      </c>
      <c r="R365" s="25" t="n">
        <v>0</v>
      </c>
      <c r="S365" s="25" t="n">
        <v>0</v>
      </c>
      <c r="T365" s="25" t="n">
        <v>0</v>
      </c>
      <c r="U365" s="14" t="n">
        <v>1.6</v>
      </c>
      <c r="V365" s="14" t="n">
        <v>1.6</v>
      </c>
      <c r="W365" s="14" t="n">
        <v>0</v>
      </c>
      <c r="X365" s="14" t="n">
        <v>0.11</v>
      </c>
      <c r="Y365" s="13" t="n">
        <v>0</v>
      </c>
      <c r="Z365" s="25" t="s">
        <v>2998</v>
      </c>
      <c r="AA365" s="12" t="s">
        <v>3832</v>
      </c>
      <c r="AB365" s="25" t="s">
        <v>86</v>
      </c>
      <c r="AC365" s="22" t="s">
        <v>93</v>
      </c>
    </row>
    <row r="366" customFormat="false" ht="19.5" hidden="false" customHeight="true" outlineLevel="0" collapsed="false">
      <c r="A366" s="27" t="s">
        <v>4197</v>
      </c>
      <c r="B366" s="27" t="s">
        <v>593</v>
      </c>
      <c r="C366" s="9" t="s">
        <v>594</v>
      </c>
      <c r="D366" s="9" t="s">
        <v>595</v>
      </c>
      <c r="E366" s="9" t="s">
        <v>596</v>
      </c>
      <c r="F366" s="27" t="s">
        <v>867</v>
      </c>
      <c r="G366" s="27" t="n">
        <v>2024</v>
      </c>
      <c r="H366" s="27" t="n">
        <v>3</v>
      </c>
      <c r="I366" s="27" t="s">
        <v>3879</v>
      </c>
      <c r="J366" s="20" t="n">
        <v>1</v>
      </c>
      <c r="K366" s="11" t="n">
        <v>12.7</v>
      </c>
      <c r="L366" s="30"/>
      <c r="M366" s="30"/>
      <c r="N366" s="30"/>
      <c r="O366" s="30"/>
      <c r="P366" s="30"/>
      <c r="Q366" s="27" t="n">
        <v>1</v>
      </c>
      <c r="R366" s="27" t="n">
        <v>1</v>
      </c>
      <c r="S366" s="27" t="n">
        <v>1</v>
      </c>
      <c r="T366" s="27" t="n">
        <v>1</v>
      </c>
      <c r="U366" s="30"/>
      <c r="V366" s="30"/>
      <c r="W366" s="30"/>
      <c r="X366" s="30"/>
      <c r="Y366" s="30"/>
      <c r="Z366" s="27" t="s">
        <v>3836</v>
      </c>
      <c r="AA366" s="9" t="s">
        <v>4140</v>
      </c>
      <c r="AB366" s="27" t="s">
        <v>86</v>
      </c>
      <c r="AC366" s="23" t="s">
        <v>869</v>
      </c>
    </row>
    <row r="367" customFormat="false" ht="19.5" hidden="false" customHeight="true" outlineLevel="0" collapsed="false">
      <c r="A367" s="25" t="s">
        <v>4198</v>
      </c>
      <c r="B367" s="25" t="s">
        <v>593</v>
      </c>
      <c r="C367" s="12" t="s">
        <v>594</v>
      </c>
      <c r="D367" s="12" t="s">
        <v>595</v>
      </c>
      <c r="E367" s="12" t="s">
        <v>596</v>
      </c>
      <c r="F367" s="25" t="s">
        <v>886</v>
      </c>
      <c r="G367" s="25" t="n">
        <v>2024</v>
      </c>
      <c r="H367" s="25" t="n">
        <v>3</v>
      </c>
      <c r="I367" s="25" t="s">
        <v>3879</v>
      </c>
      <c r="J367" s="18" t="n">
        <v>1</v>
      </c>
      <c r="K367" s="14" t="n">
        <v>12.1</v>
      </c>
      <c r="L367" s="29"/>
      <c r="M367" s="14" t="n">
        <v>12.7</v>
      </c>
      <c r="N367" s="29"/>
      <c r="O367" s="32" t="n">
        <v>-0.6</v>
      </c>
      <c r="P367" s="29"/>
      <c r="Q367" s="25" t="n">
        <v>1</v>
      </c>
      <c r="R367" s="25" t="n">
        <v>1</v>
      </c>
      <c r="S367" s="25" t="n">
        <v>1</v>
      </c>
      <c r="T367" s="25" t="n">
        <v>1</v>
      </c>
      <c r="U367" s="29"/>
      <c r="V367" s="29"/>
      <c r="W367" s="29"/>
      <c r="X367" s="29"/>
      <c r="Y367" s="29"/>
      <c r="Z367" s="25" t="s">
        <v>3836</v>
      </c>
      <c r="AA367" s="12" t="s">
        <v>4140</v>
      </c>
      <c r="AB367" s="25" t="s">
        <v>86</v>
      </c>
      <c r="AC367" s="22" t="s">
        <v>887</v>
      </c>
    </row>
    <row r="368" customFormat="false" ht="19.5" hidden="false" customHeight="true" outlineLevel="0" collapsed="false">
      <c r="A368" s="27" t="s">
        <v>4199</v>
      </c>
      <c r="B368" s="27" t="s">
        <v>593</v>
      </c>
      <c r="C368" s="9" t="s">
        <v>594</v>
      </c>
      <c r="D368" s="9" t="s">
        <v>595</v>
      </c>
      <c r="E368" s="9" t="s">
        <v>596</v>
      </c>
      <c r="F368" s="27" t="s">
        <v>1001</v>
      </c>
      <c r="G368" s="27" t="n">
        <v>2025</v>
      </c>
      <c r="H368" s="27" t="n">
        <v>2</v>
      </c>
      <c r="I368" s="27" t="s">
        <v>3879</v>
      </c>
      <c r="J368" s="20" t="n">
        <v>1</v>
      </c>
      <c r="K368" s="11" t="n">
        <v>6.2</v>
      </c>
      <c r="L368" s="30"/>
      <c r="M368" s="30"/>
      <c r="N368" s="30"/>
      <c r="O368" s="30"/>
      <c r="P368" s="30"/>
      <c r="Q368" s="27" t="n">
        <v>1</v>
      </c>
      <c r="R368" s="27" t="n">
        <v>1</v>
      </c>
      <c r="S368" s="27" t="n">
        <v>1</v>
      </c>
      <c r="T368" s="27" t="n">
        <v>1</v>
      </c>
      <c r="U368" s="30"/>
      <c r="V368" s="30"/>
      <c r="W368" s="30"/>
      <c r="X368" s="30"/>
      <c r="Y368" s="30"/>
      <c r="Z368" s="27" t="s">
        <v>3836</v>
      </c>
      <c r="AA368" s="9" t="s">
        <v>3887</v>
      </c>
      <c r="AB368" s="27" t="s">
        <v>86</v>
      </c>
      <c r="AC368" s="23" t="s">
        <v>869</v>
      </c>
    </row>
    <row r="369" customFormat="false" ht="19.5" hidden="false" customHeight="true" outlineLevel="0" collapsed="false">
      <c r="A369" s="25" t="s">
        <v>4200</v>
      </c>
      <c r="B369" s="25" t="s">
        <v>593</v>
      </c>
      <c r="C369" s="12" t="s">
        <v>594</v>
      </c>
      <c r="D369" s="12" t="s">
        <v>595</v>
      </c>
      <c r="E369" s="12" t="s">
        <v>596</v>
      </c>
      <c r="F369" s="25" t="s">
        <v>1024</v>
      </c>
      <c r="G369" s="25" t="n">
        <v>2025</v>
      </c>
      <c r="H369" s="25" t="n">
        <v>3</v>
      </c>
      <c r="I369" s="25" t="s">
        <v>3879</v>
      </c>
      <c r="J369" s="18" t="n">
        <v>1</v>
      </c>
      <c r="K369" s="14" t="n">
        <v>8.2</v>
      </c>
      <c r="L369" s="29"/>
      <c r="M369" s="14" t="n">
        <v>6.2</v>
      </c>
      <c r="N369" s="29"/>
      <c r="O369" s="32" t="n">
        <v>2</v>
      </c>
      <c r="P369" s="29"/>
      <c r="Q369" s="25" t="n">
        <v>1</v>
      </c>
      <c r="R369" s="25" t="n">
        <v>1</v>
      </c>
      <c r="S369" s="25" t="n">
        <v>1</v>
      </c>
      <c r="T369" s="25" t="n">
        <v>1</v>
      </c>
      <c r="U369" s="29"/>
      <c r="V369" s="29"/>
      <c r="W369" s="29"/>
      <c r="X369" s="29"/>
      <c r="Y369" s="29"/>
      <c r="Z369" s="25" t="s">
        <v>3836</v>
      </c>
      <c r="AA369" s="12" t="s">
        <v>3887</v>
      </c>
      <c r="AB369" s="25" t="s">
        <v>86</v>
      </c>
      <c r="AC369" s="22" t="s">
        <v>869</v>
      </c>
    </row>
    <row r="370" customFormat="false" ht="19.5" hidden="false" customHeight="true" outlineLevel="0" collapsed="false">
      <c r="A370" s="27" t="s">
        <v>4201</v>
      </c>
      <c r="B370" s="27" t="s">
        <v>593</v>
      </c>
      <c r="C370" s="9" t="s">
        <v>594</v>
      </c>
      <c r="D370" s="9" t="s">
        <v>595</v>
      </c>
      <c r="E370" s="9" t="s">
        <v>596</v>
      </c>
      <c r="F370" s="27" t="s">
        <v>1031</v>
      </c>
      <c r="G370" s="27" t="n">
        <v>2025</v>
      </c>
      <c r="H370" s="27" t="n">
        <v>3</v>
      </c>
      <c r="I370" s="27" t="s">
        <v>3879</v>
      </c>
      <c r="J370" s="20" t="n">
        <v>1</v>
      </c>
      <c r="K370" s="11" t="n">
        <v>9.6</v>
      </c>
      <c r="L370" s="30"/>
      <c r="M370" s="11" t="n">
        <v>8.2</v>
      </c>
      <c r="N370" s="30"/>
      <c r="O370" s="31" t="n">
        <v>1.4</v>
      </c>
      <c r="P370" s="30"/>
      <c r="Q370" s="27" t="n">
        <v>1</v>
      </c>
      <c r="R370" s="27" t="n">
        <v>1</v>
      </c>
      <c r="S370" s="27" t="n">
        <v>1</v>
      </c>
      <c r="T370" s="27" t="n">
        <v>1</v>
      </c>
      <c r="U370" s="30"/>
      <c r="V370" s="30"/>
      <c r="W370" s="30"/>
      <c r="X370" s="30"/>
      <c r="Y370" s="30"/>
      <c r="Z370" s="27" t="s">
        <v>2891</v>
      </c>
      <c r="AA370" s="9" t="s">
        <v>3887</v>
      </c>
      <c r="AB370" s="27" t="s">
        <v>86</v>
      </c>
      <c r="AC370" s="23" t="s">
        <v>887</v>
      </c>
    </row>
    <row r="371" customFormat="false" ht="19.5" hidden="false" customHeight="true" outlineLevel="0" collapsed="false">
      <c r="A371" s="25" t="s">
        <v>4202</v>
      </c>
      <c r="B371" s="25" t="s">
        <v>593</v>
      </c>
      <c r="C371" s="12" t="s">
        <v>594</v>
      </c>
      <c r="D371" s="12" t="s">
        <v>595</v>
      </c>
      <c r="E371" s="12" t="s">
        <v>596</v>
      </c>
      <c r="F371" s="25" t="s">
        <v>1094</v>
      </c>
      <c r="G371" s="25" t="n">
        <v>2025</v>
      </c>
      <c r="H371" s="25" t="n">
        <v>4</v>
      </c>
      <c r="I371" s="25" t="s">
        <v>3879</v>
      </c>
      <c r="J371" s="18" t="n">
        <v>1</v>
      </c>
      <c r="K371" s="14" t="n">
        <v>10.6</v>
      </c>
      <c r="L371" s="29"/>
      <c r="M371" s="29"/>
      <c r="N371" s="29"/>
      <c r="O371" s="29"/>
      <c r="P371" s="29"/>
      <c r="Q371" s="25" t="n">
        <v>1</v>
      </c>
      <c r="R371" s="25" t="n">
        <v>1</v>
      </c>
      <c r="S371" s="25" t="n">
        <v>1</v>
      </c>
      <c r="T371" s="25" t="n">
        <v>1</v>
      </c>
      <c r="U371" s="29"/>
      <c r="V371" s="29"/>
      <c r="W371" s="29"/>
      <c r="X371" s="29"/>
      <c r="Y371" s="29"/>
      <c r="Z371" s="25" t="s">
        <v>3836</v>
      </c>
      <c r="AA371" s="12" t="s">
        <v>3887</v>
      </c>
      <c r="AB371" s="25" t="s">
        <v>86</v>
      </c>
      <c r="AC371" s="22" t="s">
        <v>1095</v>
      </c>
    </row>
    <row r="372" customFormat="false" ht="19.5" hidden="false" customHeight="true" outlineLevel="0" collapsed="false">
      <c r="A372" s="27" t="s">
        <v>4203</v>
      </c>
      <c r="B372" s="27" t="s">
        <v>593</v>
      </c>
      <c r="C372" s="9" t="s">
        <v>594</v>
      </c>
      <c r="D372" s="9" t="s">
        <v>595</v>
      </c>
      <c r="E372" s="9" t="s">
        <v>596</v>
      </c>
      <c r="F372" s="27" t="s">
        <v>1208</v>
      </c>
      <c r="G372" s="27" t="n">
        <v>2026</v>
      </c>
      <c r="H372" s="27" t="n">
        <v>4</v>
      </c>
      <c r="I372" s="27" t="s">
        <v>3879</v>
      </c>
      <c r="J372" s="20" t="n">
        <v>1</v>
      </c>
      <c r="K372" s="11" t="n">
        <v>8.5</v>
      </c>
      <c r="L372" s="30"/>
      <c r="M372" s="30"/>
      <c r="N372" s="30"/>
      <c r="O372" s="30"/>
      <c r="P372" s="30"/>
      <c r="Q372" s="27" t="n">
        <v>1</v>
      </c>
      <c r="R372" s="27" t="n">
        <v>1</v>
      </c>
      <c r="S372" s="27" t="n">
        <v>1</v>
      </c>
      <c r="T372" s="27" t="n">
        <v>1</v>
      </c>
      <c r="U372" s="30"/>
      <c r="V372" s="30"/>
      <c r="W372" s="30"/>
      <c r="X372" s="30"/>
      <c r="Y372" s="30"/>
      <c r="Z372" s="27" t="s">
        <v>3836</v>
      </c>
      <c r="AA372" s="9" t="s">
        <v>3894</v>
      </c>
      <c r="AB372" s="27" t="s">
        <v>86</v>
      </c>
      <c r="AC372" s="23" t="s">
        <v>1095</v>
      </c>
    </row>
    <row r="373" customFormat="false" ht="19.5" hidden="false" customHeight="true" outlineLevel="0" collapsed="false">
      <c r="A373" s="25" t="s">
        <v>4204</v>
      </c>
      <c r="B373" s="25" t="s">
        <v>593</v>
      </c>
      <c r="C373" s="12" t="s">
        <v>594</v>
      </c>
      <c r="D373" s="12" t="s">
        <v>595</v>
      </c>
      <c r="E373" s="12" t="s">
        <v>596</v>
      </c>
      <c r="F373" s="25" t="s">
        <v>1215</v>
      </c>
      <c r="G373" s="25" t="n">
        <v>2026</v>
      </c>
      <c r="H373" s="25" t="n">
        <v>4</v>
      </c>
      <c r="I373" s="25" t="s">
        <v>3879</v>
      </c>
      <c r="J373" s="18" t="n">
        <v>1</v>
      </c>
      <c r="K373" s="14" t="n">
        <v>6.2</v>
      </c>
      <c r="L373" s="29"/>
      <c r="M373" s="14" t="n">
        <v>8.5</v>
      </c>
      <c r="N373" s="29"/>
      <c r="O373" s="32" t="n">
        <v>-2.3</v>
      </c>
      <c r="P373" s="29"/>
      <c r="Q373" s="25" t="n">
        <v>1</v>
      </c>
      <c r="R373" s="25" t="n">
        <v>1</v>
      </c>
      <c r="S373" s="25" t="n">
        <v>1</v>
      </c>
      <c r="T373" s="25" t="n">
        <v>1</v>
      </c>
      <c r="U373" s="29"/>
      <c r="V373" s="29"/>
      <c r="W373" s="29"/>
      <c r="X373" s="29"/>
      <c r="Y373" s="29"/>
      <c r="Z373" s="25" t="s">
        <v>3836</v>
      </c>
      <c r="AA373" s="12" t="s">
        <v>3894</v>
      </c>
      <c r="AB373" s="25" t="s">
        <v>86</v>
      </c>
      <c r="AC373" s="22" t="s">
        <v>1095</v>
      </c>
    </row>
    <row r="374" customFormat="false" ht="19.5" hidden="false" customHeight="true" outlineLevel="0" collapsed="false">
      <c r="A374" s="27" t="s">
        <v>4205</v>
      </c>
      <c r="B374" s="27" t="s">
        <v>601</v>
      </c>
      <c r="C374" s="9" t="s">
        <v>602</v>
      </c>
      <c r="D374" s="9" t="s">
        <v>595</v>
      </c>
      <c r="E374" s="9" t="s">
        <v>596</v>
      </c>
      <c r="F374" s="27" t="s">
        <v>867</v>
      </c>
      <c r="G374" s="27" t="n">
        <v>2024</v>
      </c>
      <c r="H374" s="27" t="n">
        <v>3</v>
      </c>
      <c r="I374" s="27" t="s">
        <v>3879</v>
      </c>
      <c r="J374" s="20" t="n">
        <v>1</v>
      </c>
      <c r="K374" s="11" t="n">
        <v>10.7</v>
      </c>
      <c r="L374" s="30"/>
      <c r="M374" s="30"/>
      <c r="N374" s="30"/>
      <c r="O374" s="30"/>
      <c r="P374" s="30"/>
      <c r="Q374" s="27" t="n">
        <v>1</v>
      </c>
      <c r="R374" s="27" t="n">
        <v>1</v>
      </c>
      <c r="S374" s="27" t="n">
        <v>1</v>
      </c>
      <c r="T374" s="27" t="n">
        <v>1</v>
      </c>
      <c r="U374" s="30"/>
      <c r="V374" s="30"/>
      <c r="W374" s="30"/>
      <c r="X374" s="30"/>
      <c r="Y374" s="30"/>
      <c r="Z374" s="27" t="s">
        <v>3836</v>
      </c>
      <c r="AA374" s="9" t="s">
        <v>4140</v>
      </c>
      <c r="AB374" s="27" t="s">
        <v>86</v>
      </c>
      <c r="AC374" s="23" t="s">
        <v>869</v>
      </c>
    </row>
    <row r="375" customFormat="false" ht="19.5" hidden="false" customHeight="true" outlineLevel="0" collapsed="false">
      <c r="A375" s="25" t="s">
        <v>4206</v>
      </c>
      <c r="B375" s="25" t="s">
        <v>601</v>
      </c>
      <c r="C375" s="12" t="s">
        <v>602</v>
      </c>
      <c r="D375" s="12" t="s">
        <v>595</v>
      </c>
      <c r="E375" s="12" t="s">
        <v>596</v>
      </c>
      <c r="F375" s="25" t="s">
        <v>886</v>
      </c>
      <c r="G375" s="25" t="n">
        <v>2024</v>
      </c>
      <c r="H375" s="25" t="n">
        <v>3</v>
      </c>
      <c r="I375" s="25" t="s">
        <v>3879</v>
      </c>
      <c r="J375" s="18" t="n">
        <v>1</v>
      </c>
      <c r="K375" s="14" t="n">
        <v>10.6</v>
      </c>
      <c r="L375" s="29"/>
      <c r="M375" s="14" t="n">
        <v>10.7</v>
      </c>
      <c r="N375" s="29"/>
      <c r="O375" s="32" t="n">
        <v>-0.1</v>
      </c>
      <c r="P375" s="29"/>
      <c r="Q375" s="25" t="n">
        <v>1</v>
      </c>
      <c r="R375" s="25" t="n">
        <v>1</v>
      </c>
      <c r="S375" s="25" t="n">
        <v>1</v>
      </c>
      <c r="T375" s="25" t="n">
        <v>1</v>
      </c>
      <c r="U375" s="29"/>
      <c r="V375" s="29"/>
      <c r="W375" s="29"/>
      <c r="X375" s="29"/>
      <c r="Y375" s="29"/>
      <c r="Z375" s="25" t="s">
        <v>3836</v>
      </c>
      <c r="AA375" s="12" t="s">
        <v>4140</v>
      </c>
      <c r="AB375" s="25" t="s">
        <v>86</v>
      </c>
      <c r="AC375" s="22" t="s">
        <v>887</v>
      </c>
    </row>
    <row r="376" customFormat="false" ht="19.5" hidden="false" customHeight="true" outlineLevel="0" collapsed="false">
      <c r="A376" s="27" t="s">
        <v>4207</v>
      </c>
      <c r="B376" s="27" t="s">
        <v>601</v>
      </c>
      <c r="C376" s="9" t="s">
        <v>602</v>
      </c>
      <c r="D376" s="9" t="s">
        <v>595</v>
      </c>
      <c r="E376" s="9" t="s">
        <v>596</v>
      </c>
      <c r="F376" s="27" t="s">
        <v>1001</v>
      </c>
      <c r="G376" s="27" t="n">
        <v>2025</v>
      </c>
      <c r="H376" s="27" t="n">
        <v>2</v>
      </c>
      <c r="I376" s="27" t="s">
        <v>3879</v>
      </c>
      <c r="J376" s="20" t="n">
        <v>1</v>
      </c>
      <c r="K376" s="11" t="n">
        <v>4.1</v>
      </c>
      <c r="L376" s="30"/>
      <c r="M376" s="30"/>
      <c r="N376" s="30"/>
      <c r="O376" s="30"/>
      <c r="P376" s="30"/>
      <c r="Q376" s="27" t="n">
        <v>1</v>
      </c>
      <c r="R376" s="27" t="n">
        <v>1</v>
      </c>
      <c r="S376" s="27" t="n">
        <v>1</v>
      </c>
      <c r="T376" s="27" t="n">
        <v>1</v>
      </c>
      <c r="U376" s="30"/>
      <c r="V376" s="30"/>
      <c r="W376" s="30"/>
      <c r="X376" s="30"/>
      <c r="Y376" s="30"/>
      <c r="Z376" s="27" t="s">
        <v>3836</v>
      </c>
      <c r="AA376" s="9" t="s">
        <v>3887</v>
      </c>
      <c r="AB376" s="27" t="s">
        <v>86</v>
      </c>
      <c r="AC376" s="23" t="s">
        <v>869</v>
      </c>
    </row>
    <row r="377" customFormat="false" ht="19.5" hidden="false" customHeight="true" outlineLevel="0" collapsed="false">
      <c r="A377" s="25" t="s">
        <v>4208</v>
      </c>
      <c r="B377" s="25" t="s">
        <v>601</v>
      </c>
      <c r="C377" s="12" t="s">
        <v>602</v>
      </c>
      <c r="D377" s="12" t="s">
        <v>595</v>
      </c>
      <c r="E377" s="12" t="s">
        <v>596</v>
      </c>
      <c r="F377" s="25" t="s">
        <v>1024</v>
      </c>
      <c r="G377" s="25" t="n">
        <v>2025</v>
      </c>
      <c r="H377" s="25" t="n">
        <v>3</v>
      </c>
      <c r="I377" s="25" t="s">
        <v>3879</v>
      </c>
      <c r="J377" s="18" t="n">
        <v>1</v>
      </c>
      <c r="K377" s="14" t="n">
        <v>5.8</v>
      </c>
      <c r="L377" s="29"/>
      <c r="M377" s="14" t="n">
        <v>4.1</v>
      </c>
      <c r="N377" s="29"/>
      <c r="O377" s="32" t="n">
        <v>1.7</v>
      </c>
      <c r="P377" s="29"/>
      <c r="Q377" s="25" t="n">
        <v>1</v>
      </c>
      <c r="R377" s="25" t="n">
        <v>1</v>
      </c>
      <c r="S377" s="25" t="n">
        <v>1</v>
      </c>
      <c r="T377" s="25" t="n">
        <v>1</v>
      </c>
      <c r="U377" s="29"/>
      <c r="V377" s="29"/>
      <c r="W377" s="29"/>
      <c r="X377" s="29"/>
      <c r="Y377" s="29"/>
      <c r="Z377" s="25" t="s">
        <v>3836</v>
      </c>
      <c r="AA377" s="12" t="s">
        <v>3887</v>
      </c>
      <c r="AB377" s="25" t="s">
        <v>86</v>
      </c>
      <c r="AC377" s="22" t="s">
        <v>869</v>
      </c>
    </row>
    <row r="378" customFormat="false" ht="19.5" hidden="false" customHeight="true" outlineLevel="0" collapsed="false">
      <c r="A378" s="27" t="s">
        <v>4209</v>
      </c>
      <c r="B378" s="27" t="s">
        <v>601</v>
      </c>
      <c r="C378" s="9" t="s">
        <v>602</v>
      </c>
      <c r="D378" s="9" t="s">
        <v>595</v>
      </c>
      <c r="E378" s="9" t="s">
        <v>596</v>
      </c>
      <c r="F378" s="27" t="s">
        <v>1031</v>
      </c>
      <c r="G378" s="27" t="n">
        <v>2025</v>
      </c>
      <c r="H378" s="27" t="n">
        <v>3</v>
      </c>
      <c r="I378" s="27" t="s">
        <v>3879</v>
      </c>
      <c r="J378" s="20" t="n">
        <v>1</v>
      </c>
      <c r="K378" s="11" t="n">
        <v>7.3</v>
      </c>
      <c r="L378" s="30"/>
      <c r="M378" s="11" t="n">
        <v>5.8</v>
      </c>
      <c r="N378" s="30"/>
      <c r="O378" s="31" t="n">
        <v>1.5</v>
      </c>
      <c r="P378" s="30"/>
      <c r="Q378" s="27" t="n">
        <v>1</v>
      </c>
      <c r="R378" s="27" t="n">
        <v>1</v>
      </c>
      <c r="S378" s="27" t="n">
        <v>1</v>
      </c>
      <c r="T378" s="27" t="n">
        <v>1</v>
      </c>
      <c r="U378" s="30"/>
      <c r="V378" s="30"/>
      <c r="W378" s="30"/>
      <c r="X378" s="30"/>
      <c r="Y378" s="30"/>
      <c r="Z378" s="27" t="s">
        <v>2891</v>
      </c>
      <c r="AA378" s="9" t="s">
        <v>3887</v>
      </c>
      <c r="AB378" s="27" t="s">
        <v>86</v>
      </c>
      <c r="AC378" s="23" t="s">
        <v>887</v>
      </c>
    </row>
    <row r="379" customFormat="false" ht="19.5" hidden="false" customHeight="true" outlineLevel="0" collapsed="false">
      <c r="A379" s="25" t="s">
        <v>4210</v>
      </c>
      <c r="B379" s="25" t="s">
        <v>601</v>
      </c>
      <c r="C379" s="12" t="s">
        <v>602</v>
      </c>
      <c r="D379" s="12" t="s">
        <v>595</v>
      </c>
      <c r="E379" s="12" t="s">
        <v>596</v>
      </c>
      <c r="F379" s="25" t="s">
        <v>1094</v>
      </c>
      <c r="G379" s="25" t="n">
        <v>2025</v>
      </c>
      <c r="H379" s="25" t="n">
        <v>4</v>
      </c>
      <c r="I379" s="25" t="s">
        <v>3879</v>
      </c>
      <c r="J379" s="18" t="n">
        <v>1</v>
      </c>
      <c r="K379" s="14" t="n">
        <v>9.8</v>
      </c>
      <c r="L379" s="29"/>
      <c r="M379" s="29"/>
      <c r="N379" s="29"/>
      <c r="O379" s="29"/>
      <c r="P379" s="29"/>
      <c r="Q379" s="25" t="n">
        <v>1</v>
      </c>
      <c r="R379" s="25" t="n">
        <v>1</v>
      </c>
      <c r="S379" s="25" t="n">
        <v>1</v>
      </c>
      <c r="T379" s="25" t="n">
        <v>1</v>
      </c>
      <c r="U379" s="29"/>
      <c r="V379" s="29"/>
      <c r="W379" s="29"/>
      <c r="X379" s="29"/>
      <c r="Y379" s="29"/>
      <c r="Z379" s="25" t="s">
        <v>3836</v>
      </c>
      <c r="AA379" s="12" t="s">
        <v>3887</v>
      </c>
      <c r="AB379" s="25" t="s">
        <v>86</v>
      </c>
      <c r="AC379" s="22" t="s">
        <v>1095</v>
      </c>
    </row>
    <row r="380" customFormat="false" ht="19.5" hidden="false" customHeight="true" outlineLevel="0" collapsed="false">
      <c r="A380" s="27" t="s">
        <v>4211</v>
      </c>
      <c r="B380" s="27" t="s">
        <v>601</v>
      </c>
      <c r="C380" s="9" t="s">
        <v>602</v>
      </c>
      <c r="D380" s="9" t="s">
        <v>595</v>
      </c>
      <c r="E380" s="9" t="s">
        <v>596</v>
      </c>
      <c r="F380" s="27" t="s">
        <v>1208</v>
      </c>
      <c r="G380" s="27" t="n">
        <v>2026</v>
      </c>
      <c r="H380" s="27" t="n">
        <v>4</v>
      </c>
      <c r="I380" s="27" t="s">
        <v>3879</v>
      </c>
      <c r="J380" s="20" t="n">
        <v>1</v>
      </c>
      <c r="K380" s="11" t="n">
        <v>3.3</v>
      </c>
      <c r="L380" s="30"/>
      <c r="M380" s="30"/>
      <c r="N380" s="30"/>
      <c r="O380" s="30"/>
      <c r="P380" s="30"/>
      <c r="Q380" s="27" t="n">
        <v>1</v>
      </c>
      <c r="R380" s="27" t="n">
        <v>1</v>
      </c>
      <c r="S380" s="27" t="n">
        <v>1</v>
      </c>
      <c r="T380" s="27" t="n">
        <v>1</v>
      </c>
      <c r="U380" s="30"/>
      <c r="V380" s="30"/>
      <c r="W380" s="30"/>
      <c r="X380" s="30"/>
      <c r="Y380" s="30"/>
      <c r="Z380" s="27" t="s">
        <v>3836</v>
      </c>
      <c r="AA380" s="9" t="s">
        <v>3894</v>
      </c>
      <c r="AB380" s="27" t="s">
        <v>86</v>
      </c>
      <c r="AC380" s="23" t="s">
        <v>1095</v>
      </c>
    </row>
    <row r="381" customFormat="false" ht="19.5" hidden="false" customHeight="true" outlineLevel="0" collapsed="false">
      <c r="A381" s="25" t="s">
        <v>4212</v>
      </c>
      <c r="B381" s="25" t="s">
        <v>601</v>
      </c>
      <c r="C381" s="12" t="s">
        <v>602</v>
      </c>
      <c r="D381" s="12" t="s">
        <v>595</v>
      </c>
      <c r="E381" s="12" t="s">
        <v>596</v>
      </c>
      <c r="F381" s="25" t="s">
        <v>1215</v>
      </c>
      <c r="G381" s="25" t="n">
        <v>2026</v>
      </c>
      <c r="H381" s="25" t="n">
        <v>4</v>
      </c>
      <c r="I381" s="25" t="s">
        <v>3879</v>
      </c>
      <c r="J381" s="18" t="n">
        <v>1</v>
      </c>
      <c r="K381" s="14" t="n">
        <v>1.9</v>
      </c>
      <c r="L381" s="29"/>
      <c r="M381" s="14" t="n">
        <v>3.3</v>
      </c>
      <c r="N381" s="29"/>
      <c r="O381" s="32" t="n">
        <v>-1.4</v>
      </c>
      <c r="P381" s="29"/>
      <c r="Q381" s="25" t="n">
        <v>1</v>
      </c>
      <c r="R381" s="25" t="n">
        <v>1</v>
      </c>
      <c r="S381" s="25" t="n">
        <v>1</v>
      </c>
      <c r="T381" s="25" t="n">
        <v>0</v>
      </c>
      <c r="U381" s="29"/>
      <c r="V381" s="29"/>
      <c r="W381" s="29"/>
      <c r="X381" s="29"/>
      <c r="Y381" s="29"/>
      <c r="Z381" s="25" t="s">
        <v>3836</v>
      </c>
      <c r="AA381" s="12" t="s">
        <v>3894</v>
      </c>
      <c r="AB381" s="25" t="s">
        <v>86</v>
      </c>
      <c r="AC381" s="22" t="s">
        <v>1095</v>
      </c>
    </row>
    <row r="382" customFormat="false" ht="19.5" hidden="false" customHeight="true" outlineLevel="0" collapsed="false">
      <c r="A382" s="27" t="s">
        <v>4213</v>
      </c>
      <c r="B382" s="27" t="s">
        <v>349</v>
      </c>
      <c r="C382" s="9" t="s">
        <v>350</v>
      </c>
      <c r="D382" s="9" t="s">
        <v>260</v>
      </c>
      <c r="E382" s="9" t="s">
        <v>351</v>
      </c>
      <c r="F382" s="27" t="s">
        <v>883</v>
      </c>
      <c r="G382" s="27" t="n">
        <v>2024</v>
      </c>
      <c r="H382" s="27" t="n">
        <v>3</v>
      </c>
      <c r="I382" s="27" t="s">
        <v>3879</v>
      </c>
      <c r="J382" s="20" t="n">
        <v>1</v>
      </c>
      <c r="K382" s="11" t="n">
        <v>0.6</v>
      </c>
      <c r="L382" s="30"/>
      <c r="M382" s="30"/>
      <c r="N382" s="30"/>
      <c r="O382" s="30"/>
      <c r="P382" s="30"/>
      <c r="Q382" s="27" t="n">
        <v>1</v>
      </c>
      <c r="R382" s="27" t="n">
        <v>0</v>
      </c>
      <c r="S382" s="27" t="n">
        <v>0</v>
      </c>
      <c r="T382" s="27" t="n">
        <v>0</v>
      </c>
      <c r="U382" s="30"/>
      <c r="V382" s="30"/>
      <c r="W382" s="30"/>
      <c r="X382" s="30"/>
      <c r="Y382" s="30"/>
      <c r="Z382" s="27" t="s">
        <v>4113</v>
      </c>
      <c r="AA382" s="9" t="s">
        <v>4140</v>
      </c>
      <c r="AB382" s="27" t="s">
        <v>113</v>
      </c>
      <c r="AC382" s="23" t="s">
        <v>879</v>
      </c>
    </row>
    <row r="383" customFormat="false" ht="19.5" hidden="false" customHeight="true" outlineLevel="0" collapsed="false">
      <c r="A383" s="25" t="s">
        <v>4214</v>
      </c>
      <c r="B383" s="25" t="s">
        <v>349</v>
      </c>
      <c r="C383" s="12" t="s">
        <v>350</v>
      </c>
      <c r="D383" s="12" t="s">
        <v>260</v>
      </c>
      <c r="E383" s="12" t="s">
        <v>351</v>
      </c>
      <c r="F383" s="25" t="s">
        <v>895</v>
      </c>
      <c r="G383" s="25" t="n">
        <v>2024</v>
      </c>
      <c r="H383" s="25" t="n">
        <v>3</v>
      </c>
      <c r="I383" s="25" t="s">
        <v>3879</v>
      </c>
      <c r="J383" s="18" t="n">
        <v>1</v>
      </c>
      <c r="K383" s="14" t="n">
        <v>1.5</v>
      </c>
      <c r="L383" s="29"/>
      <c r="M383" s="14" t="n">
        <v>0.6</v>
      </c>
      <c r="N383" s="29"/>
      <c r="O383" s="32" t="n">
        <v>0.9</v>
      </c>
      <c r="P383" s="29"/>
      <c r="Q383" s="25" t="n">
        <v>1</v>
      </c>
      <c r="R383" s="25" t="n">
        <v>1</v>
      </c>
      <c r="S383" s="25" t="n">
        <v>1</v>
      </c>
      <c r="T383" s="25" t="n">
        <v>0</v>
      </c>
      <c r="U383" s="29"/>
      <c r="V383" s="29"/>
      <c r="W383" s="29"/>
      <c r="X383" s="29"/>
      <c r="Y383" s="29"/>
      <c r="Z383" s="25" t="s">
        <v>2897</v>
      </c>
      <c r="AA383" s="12" t="s">
        <v>4140</v>
      </c>
      <c r="AB383" s="25" t="s">
        <v>113</v>
      </c>
      <c r="AC383" s="22" t="s">
        <v>896</v>
      </c>
    </row>
    <row r="384" customFormat="false" ht="19.5" hidden="false" customHeight="true" outlineLevel="0" collapsed="false">
      <c r="A384" s="27" t="s">
        <v>4215</v>
      </c>
      <c r="B384" s="27" t="s">
        <v>349</v>
      </c>
      <c r="C384" s="9" t="s">
        <v>350</v>
      </c>
      <c r="D384" s="9" t="s">
        <v>260</v>
      </c>
      <c r="E384" s="9" t="s">
        <v>351</v>
      </c>
      <c r="F384" s="27" t="s">
        <v>1031</v>
      </c>
      <c r="G384" s="27" t="n">
        <v>2025</v>
      </c>
      <c r="H384" s="27" t="n">
        <v>3</v>
      </c>
      <c r="I384" s="27" t="s">
        <v>3879</v>
      </c>
      <c r="J384" s="20" t="n">
        <v>1</v>
      </c>
      <c r="K384" s="11" t="n">
        <v>0.2</v>
      </c>
      <c r="L384" s="30"/>
      <c r="M384" s="30"/>
      <c r="N384" s="30"/>
      <c r="O384" s="30"/>
      <c r="P384" s="30"/>
      <c r="Q384" s="27" t="n">
        <v>0</v>
      </c>
      <c r="R384" s="27" t="n">
        <v>0</v>
      </c>
      <c r="S384" s="27" t="n">
        <v>0</v>
      </c>
      <c r="T384" s="27" t="n">
        <v>0</v>
      </c>
      <c r="U384" s="30"/>
      <c r="V384" s="30"/>
      <c r="W384" s="30"/>
      <c r="X384" s="30"/>
      <c r="Y384" s="30"/>
      <c r="Z384" s="27" t="s">
        <v>2891</v>
      </c>
      <c r="AA384" s="9" t="s">
        <v>3887</v>
      </c>
      <c r="AB384" s="27" t="s">
        <v>113</v>
      </c>
      <c r="AC384" s="23" t="s">
        <v>1032</v>
      </c>
    </row>
    <row r="385" customFormat="false" ht="19.5" hidden="false" customHeight="true" outlineLevel="0" collapsed="false">
      <c r="A385" s="25" t="s">
        <v>4216</v>
      </c>
      <c r="B385" s="25" t="s">
        <v>349</v>
      </c>
      <c r="C385" s="12" t="s">
        <v>350</v>
      </c>
      <c r="D385" s="12" t="s">
        <v>260</v>
      </c>
      <c r="E385" s="12" t="s">
        <v>351</v>
      </c>
      <c r="F385" s="25" t="s">
        <v>1051</v>
      </c>
      <c r="G385" s="25" t="n">
        <v>2025</v>
      </c>
      <c r="H385" s="25" t="n">
        <v>3</v>
      </c>
      <c r="I385" s="25" t="s">
        <v>3879</v>
      </c>
      <c r="J385" s="18" t="n">
        <v>1</v>
      </c>
      <c r="K385" s="14" t="n">
        <v>0.1</v>
      </c>
      <c r="L385" s="29"/>
      <c r="M385" s="14" t="n">
        <v>0.2</v>
      </c>
      <c r="N385" s="29"/>
      <c r="O385" s="32" t="n">
        <v>-0.1</v>
      </c>
      <c r="P385" s="29"/>
      <c r="Q385" s="25" t="n">
        <v>0</v>
      </c>
      <c r="R385" s="25" t="n">
        <v>0</v>
      </c>
      <c r="S385" s="25" t="n">
        <v>0</v>
      </c>
      <c r="T385" s="25" t="n">
        <v>0</v>
      </c>
      <c r="U385" s="29"/>
      <c r="V385" s="29"/>
      <c r="W385" s="29"/>
      <c r="X385" s="29"/>
      <c r="Y385" s="29"/>
      <c r="Z385" s="25" t="s">
        <v>2891</v>
      </c>
      <c r="AA385" s="12" t="s">
        <v>3887</v>
      </c>
      <c r="AB385" s="25" t="s">
        <v>113</v>
      </c>
      <c r="AC385" s="22" t="s">
        <v>1052</v>
      </c>
    </row>
    <row r="386" customFormat="false" ht="19.5" hidden="false" customHeight="true" outlineLevel="0" collapsed="false">
      <c r="A386" s="27" t="s">
        <v>4217</v>
      </c>
      <c r="B386" s="27" t="s">
        <v>349</v>
      </c>
      <c r="C386" s="9" t="s">
        <v>350</v>
      </c>
      <c r="D386" s="9" t="s">
        <v>260</v>
      </c>
      <c r="E386" s="9" t="s">
        <v>351</v>
      </c>
      <c r="F386" s="27" t="s">
        <v>1078</v>
      </c>
      <c r="G386" s="27" t="n">
        <v>2025</v>
      </c>
      <c r="H386" s="27" t="n">
        <v>4</v>
      </c>
      <c r="I386" s="27" t="s">
        <v>3879</v>
      </c>
      <c r="J386" s="20" t="n">
        <v>1</v>
      </c>
      <c r="K386" s="11" t="n">
        <v>0.2</v>
      </c>
      <c r="L386" s="30"/>
      <c r="M386" s="11" t="n">
        <v>0.1</v>
      </c>
      <c r="N386" s="30"/>
      <c r="O386" s="31" t="n">
        <v>0.1</v>
      </c>
      <c r="P386" s="30"/>
      <c r="Q386" s="27" t="n">
        <v>0</v>
      </c>
      <c r="R386" s="27" t="n">
        <v>0</v>
      </c>
      <c r="S386" s="27" t="n">
        <v>0</v>
      </c>
      <c r="T386" s="27" t="n">
        <v>0</v>
      </c>
      <c r="U386" s="30"/>
      <c r="V386" s="30"/>
      <c r="W386" s="30"/>
      <c r="X386" s="30"/>
      <c r="Y386" s="30"/>
      <c r="Z386" s="27" t="s">
        <v>2931</v>
      </c>
      <c r="AA386" s="9" t="s">
        <v>3887</v>
      </c>
      <c r="AB386" s="27" t="s">
        <v>113</v>
      </c>
      <c r="AC386" s="23" t="s">
        <v>1079</v>
      </c>
    </row>
    <row r="387" customFormat="false" ht="19.5" hidden="false" customHeight="true" outlineLevel="0" collapsed="false">
      <c r="A387" s="25" t="s">
        <v>4218</v>
      </c>
      <c r="B387" s="25" t="s">
        <v>305</v>
      </c>
      <c r="C387" s="12" t="s">
        <v>306</v>
      </c>
      <c r="D387" s="12" t="s">
        <v>307</v>
      </c>
      <c r="E387" s="12" t="s">
        <v>295</v>
      </c>
      <c r="F387" s="25" t="s">
        <v>848</v>
      </c>
      <c r="G387" s="25" t="n">
        <v>2024</v>
      </c>
      <c r="H387" s="25" t="n">
        <v>3</v>
      </c>
      <c r="I387" s="25" t="s">
        <v>3879</v>
      </c>
      <c r="J387" s="18" t="n">
        <v>1</v>
      </c>
      <c r="K387" s="14" t="n">
        <v>0.38</v>
      </c>
      <c r="L387" s="29"/>
      <c r="M387" s="29"/>
      <c r="N387" s="29"/>
      <c r="O387" s="29"/>
      <c r="P387" s="29"/>
      <c r="Q387" s="25" t="n">
        <v>0</v>
      </c>
      <c r="R387" s="25" t="n">
        <v>0</v>
      </c>
      <c r="S387" s="25" t="n">
        <v>0</v>
      </c>
      <c r="T387" s="25" t="n">
        <v>0</v>
      </c>
      <c r="U387" s="29"/>
      <c r="V387" s="29"/>
      <c r="W387" s="29"/>
      <c r="X387" s="29"/>
      <c r="Y387" s="29"/>
      <c r="Z387" s="25" t="s">
        <v>2891</v>
      </c>
      <c r="AA387" s="12" t="s">
        <v>4140</v>
      </c>
      <c r="AB387" s="25" t="s">
        <v>113</v>
      </c>
      <c r="AC387" s="22" t="s">
        <v>849</v>
      </c>
    </row>
    <row r="388" customFormat="false" ht="19.5" hidden="false" customHeight="true" outlineLevel="0" collapsed="false">
      <c r="A388" s="27" t="s">
        <v>4219</v>
      </c>
      <c r="B388" s="27" t="s">
        <v>305</v>
      </c>
      <c r="C388" s="9" t="s">
        <v>306</v>
      </c>
      <c r="D388" s="9" t="s">
        <v>307</v>
      </c>
      <c r="E388" s="9" t="s">
        <v>295</v>
      </c>
      <c r="F388" s="27" t="s">
        <v>913</v>
      </c>
      <c r="G388" s="27" t="n">
        <v>2024</v>
      </c>
      <c r="H388" s="27" t="n">
        <v>5</v>
      </c>
      <c r="I388" s="27" t="s">
        <v>3879</v>
      </c>
      <c r="J388" s="20" t="n">
        <v>1</v>
      </c>
      <c r="K388" s="11" t="n">
        <v>0.31</v>
      </c>
      <c r="L388" s="30"/>
      <c r="M388" s="30"/>
      <c r="N388" s="30"/>
      <c r="O388" s="30"/>
      <c r="P388" s="30"/>
      <c r="Q388" s="27" t="n">
        <v>0</v>
      </c>
      <c r="R388" s="27" t="n">
        <v>0</v>
      </c>
      <c r="S388" s="27" t="n">
        <v>0</v>
      </c>
      <c r="T388" s="27" t="n">
        <v>0</v>
      </c>
      <c r="U388" s="30"/>
      <c r="V388" s="30"/>
      <c r="W388" s="30"/>
      <c r="X388" s="30"/>
      <c r="Y388" s="30"/>
      <c r="Z388" s="27" t="s">
        <v>2908</v>
      </c>
      <c r="AA388" s="9" t="s">
        <v>4140</v>
      </c>
      <c r="AB388" s="27" t="s">
        <v>113</v>
      </c>
      <c r="AC388" s="23" t="s">
        <v>914</v>
      </c>
    </row>
    <row r="389" customFormat="false" ht="19.5" hidden="false" customHeight="true" outlineLevel="0" collapsed="false">
      <c r="A389" s="25" t="s">
        <v>4220</v>
      </c>
      <c r="B389" s="25" t="s">
        <v>305</v>
      </c>
      <c r="C389" s="12" t="s">
        <v>306</v>
      </c>
      <c r="D389" s="12" t="s">
        <v>307</v>
      </c>
      <c r="E389" s="12" t="s">
        <v>295</v>
      </c>
      <c r="F389" s="25" t="s">
        <v>931</v>
      </c>
      <c r="G389" s="25" t="n">
        <v>2024</v>
      </c>
      <c r="H389" s="25" t="n">
        <v>5</v>
      </c>
      <c r="I389" s="25" t="s">
        <v>3879</v>
      </c>
      <c r="J389" s="18" t="n">
        <v>1</v>
      </c>
      <c r="K389" s="14" t="n">
        <v>0.66</v>
      </c>
      <c r="L389" s="29"/>
      <c r="M389" s="14" t="n">
        <v>0.31</v>
      </c>
      <c r="N389" s="29"/>
      <c r="O389" s="32" t="n">
        <v>0.35</v>
      </c>
      <c r="P389" s="29"/>
      <c r="Q389" s="25" t="n">
        <v>1</v>
      </c>
      <c r="R389" s="25" t="n">
        <v>0</v>
      </c>
      <c r="S389" s="25" t="n">
        <v>0</v>
      </c>
      <c r="T389" s="25" t="n">
        <v>0</v>
      </c>
      <c r="U389" s="29"/>
      <c r="V389" s="29"/>
      <c r="W389" s="29"/>
      <c r="X389" s="29"/>
      <c r="Y389" s="29"/>
      <c r="Z389" s="25" t="s">
        <v>3836</v>
      </c>
      <c r="AA389" s="12" t="s">
        <v>4140</v>
      </c>
      <c r="AB389" s="25" t="s">
        <v>113</v>
      </c>
      <c r="AC389" s="22" t="s">
        <v>932</v>
      </c>
    </row>
    <row r="390" customFormat="false" ht="19.5" hidden="false" customHeight="true" outlineLevel="0" collapsed="false">
      <c r="A390" s="27" t="s">
        <v>4221</v>
      </c>
      <c r="B390" s="27" t="s">
        <v>305</v>
      </c>
      <c r="C390" s="9" t="s">
        <v>306</v>
      </c>
      <c r="D390" s="9" t="s">
        <v>307</v>
      </c>
      <c r="E390" s="9" t="s">
        <v>295</v>
      </c>
      <c r="F390" s="27" t="s">
        <v>1051</v>
      </c>
      <c r="G390" s="27" t="n">
        <v>2025</v>
      </c>
      <c r="H390" s="27" t="n">
        <v>3</v>
      </c>
      <c r="I390" s="27" t="s">
        <v>3879</v>
      </c>
      <c r="J390" s="20" t="n">
        <v>1</v>
      </c>
      <c r="K390" s="11" t="n">
        <v>0.03</v>
      </c>
      <c r="L390" s="30"/>
      <c r="M390" s="30"/>
      <c r="N390" s="30"/>
      <c r="O390" s="30"/>
      <c r="P390" s="30"/>
      <c r="Q390" s="27" t="n">
        <v>0</v>
      </c>
      <c r="R390" s="27" t="n">
        <v>0</v>
      </c>
      <c r="S390" s="27" t="n">
        <v>0</v>
      </c>
      <c r="T390" s="27" t="n">
        <v>0</v>
      </c>
      <c r="U390" s="30"/>
      <c r="V390" s="30"/>
      <c r="W390" s="30"/>
      <c r="X390" s="30"/>
      <c r="Y390" s="30"/>
      <c r="Z390" s="27" t="s">
        <v>3836</v>
      </c>
      <c r="AA390" s="9" t="s">
        <v>3887</v>
      </c>
      <c r="AB390" s="27" t="s">
        <v>113</v>
      </c>
      <c r="AC390" s="23" t="s">
        <v>1052</v>
      </c>
    </row>
    <row r="391" customFormat="false" ht="19.5" hidden="false" customHeight="true" outlineLevel="0" collapsed="false">
      <c r="A391" s="25" t="s">
        <v>4222</v>
      </c>
      <c r="B391" s="25" t="s">
        <v>300</v>
      </c>
      <c r="C391" s="12" t="s">
        <v>301</v>
      </c>
      <c r="D391" s="12" t="s">
        <v>294</v>
      </c>
      <c r="E391" s="12" t="s">
        <v>295</v>
      </c>
      <c r="F391" s="25" t="s">
        <v>830</v>
      </c>
      <c r="G391" s="25" t="n">
        <v>2024</v>
      </c>
      <c r="H391" s="25" t="n">
        <v>2</v>
      </c>
      <c r="I391" s="25" t="s">
        <v>3879</v>
      </c>
      <c r="J391" s="18" t="n">
        <v>1</v>
      </c>
      <c r="K391" s="14" t="n">
        <v>0.06</v>
      </c>
      <c r="L391" s="29"/>
      <c r="M391" s="29"/>
      <c r="N391" s="29"/>
      <c r="O391" s="29"/>
      <c r="P391" s="29"/>
      <c r="Q391" s="25" t="n">
        <v>0</v>
      </c>
      <c r="R391" s="25" t="n">
        <v>0</v>
      </c>
      <c r="S391" s="25" t="n">
        <v>0</v>
      </c>
      <c r="T391" s="25" t="n">
        <v>0</v>
      </c>
      <c r="U391" s="29"/>
      <c r="V391" s="29"/>
      <c r="W391" s="29"/>
      <c r="X391" s="29"/>
      <c r="Y391" s="29"/>
      <c r="Z391" s="25" t="s">
        <v>3836</v>
      </c>
      <c r="AA391" s="12" t="s">
        <v>4140</v>
      </c>
      <c r="AB391" s="25" t="s">
        <v>113</v>
      </c>
      <c r="AC391" s="22" t="s">
        <v>832</v>
      </c>
    </row>
    <row r="392" customFormat="false" ht="19.5" hidden="false" customHeight="true" outlineLevel="0" collapsed="false">
      <c r="A392" s="27" t="s">
        <v>4223</v>
      </c>
      <c r="B392" s="27" t="s">
        <v>300</v>
      </c>
      <c r="C392" s="9" t="s">
        <v>301</v>
      </c>
      <c r="D392" s="9" t="s">
        <v>294</v>
      </c>
      <c r="E392" s="9" t="s">
        <v>295</v>
      </c>
      <c r="F392" s="27" t="s">
        <v>848</v>
      </c>
      <c r="G392" s="27" t="n">
        <v>2024</v>
      </c>
      <c r="H392" s="27" t="n">
        <v>3</v>
      </c>
      <c r="I392" s="27" t="s">
        <v>3879</v>
      </c>
      <c r="J392" s="20" t="n">
        <v>1</v>
      </c>
      <c r="K392" s="11" t="n">
        <v>0.53</v>
      </c>
      <c r="L392" s="30"/>
      <c r="M392" s="30"/>
      <c r="N392" s="30"/>
      <c r="O392" s="30"/>
      <c r="P392" s="30"/>
      <c r="Q392" s="27" t="n">
        <v>1</v>
      </c>
      <c r="R392" s="27" t="n">
        <v>0</v>
      </c>
      <c r="S392" s="27" t="n">
        <v>0</v>
      </c>
      <c r="T392" s="27" t="n">
        <v>0</v>
      </c>
      <c r="U392" s="30"/>
      <c r="V392" s="30"/>
      <c r="W392" s="30"/>
      <c r="X392" s="30"/>
      <c r="Y392" s="30"/>
      <c r="Z392" s="27" t="s">
        <v>2891</v>
      </c>
      <c r="AA392" s="9" t="s">
        <v>4140</v>
      </c>
      <c r="AB392" s="27" t="s">
        <v>113</v>
      </c>
      <c r="AC392" s="23" t="s">
        <v>849</v>
      </c>
    </row>
    <row r="393" customFormat="false" ht="19.5" hidden="false" customHeight="true" outlineLevel="0" collapsed="false">
      <c r="A393" s="25" t="s">
        <v>4224</v>
      </c>
      <c r="B393" s="25" t="s">
        <v>300</v>
      </c>
      <c r="C393" s="12" t="s">
        <v>301</v>
      </c>
      <c r="D393" s="12" t="s">
        <v>294</v>
      </c>
      <c r="E393" s="12" t="s">
        <v>295</v>
      </c>
      <c r="F393" s="25" t="s">
        <v>895</v>
      </c>
      <c r="G393" s="25" t="n">
        <v>2024</v>
      </c>
      <c r="H393" s="25" t="n">
        <v>3</v>
      </c>
      <c r="I393" s="25" t="s">
        <v>3879</v>
      </c>
      <c r="J393" s="18" t="n">
        <v>1</v>
      </c>
      <c r="K393" s="14" t="n">
        <v>2.36</v>
      </c>
      <c r="L393" s="29"/>
      <c r="M393" s="14" t="n">
        <v>0.53</v>
      </c>
      <c r="N393" s="29"/>
      <c r="O393" s="32" t="n">
        <v>1.83</v>
      </c>
      <c r="P393" s="29"/>
      <c r="Q393" s="25" t="n">
        <v>1</v>
      </c>
      <c r="R393" s="25" t="n">
        <v>1</v>
      </c>
      <c r="S393" s="25" t="n">
        <v>1</v>
      </c>
      <c r="T393" s="25" t="n">
        <v>1</v>
      </c>
      <c r="U393" s="29"/>
      <c r="V393" s="29"/>
      <c r="W393" s="29"/>
      <c r="X393" s="29"/>
      <c r="Y393" s="29"/>
      <c r="Z393" s="25" t="s">
        <v>2897</v>
      </c>
      <c r="AA393" s="12" t="s">
        <v>4140</v>
      </c>
      <c r="AB393" s="25" t="s">
        <v>113</v>
      </c>
      <c r="AC393" s="22" t="s">
        <v>896</v>
      </c>
    </row>
    <row r="394" customFormat="false" ht="19.5" hidden="false" customHeight="true" outlineLevel="0" collapsed="false">
      <c r="A394" s="27" t="s">
        <v>4225</v>
      </c>
      <c r="B394" s="27" t="s">
        <v>300</v>
      </c>
      <c r="C394" s="9" t="s">
        <v>301</v>
      </c>
      <c r="D394" s="9" t="s">
        <v>294</v>
      </c>
      <c r="E394" s="9" t="s">
        <v>295</v>
      </c>
      <c r="F394" s="27" t="s">
        <v>913</v>
      </c>
      <c r="G394" s="27" t="n">
        <v>2024</v>
      </c>
      <c r="H394" s="27" t="n">
        <v>5</v>
      </c>
      <c r="I394" s="27" t="s">
        <v>3879</v>
      </c>
      <c r="J394" s="20" t="n">
        <v>1</v>
      </c>
      <c r="K394" s="11" t="n">
        <v>0.92</v>
      </c>
      <c r="L394" s="30"/>
      <c r="M394" s="30"/>
      <c r="N394" s="30"/>
      <c r="O394" s="30"/>
      <c r="P394" s="30"/>
      <c r="Q394" s="27" t="n">
        <v>1</v>
      </c>
      <c r="R394" s="27" t="n">
        <v>1</v>
      </c>
      <c r="S394" s="27" t="n">
        <v>0</v>
      </c>
      <c r="T394" s="27" t="n">
        <v>0</v>
      </c>
      <c r="U394" s="30"/>
      <c r="V394" s="30"/>
      <c r="W394" s="30"/>
      <c r="X394" s="30"/>
      <c r="Y394" s="30"/>
      <c r="Z394" s="27" t="s">
        <v>2908</v>
      </c>
      <c r="AA394" s="9" t="s">
        <v>4140</v>
      </c>
      <c r="AB394" s="27" t="s">
        <v>113</v>
      </c>
      <c r="AC394" s="23" t="s">
        <v>914</v>
      </c>
    </row>
    <row r="395" customFormat="false" ht="19.5" hidden="false" customHeight="true" outlineLevel="0" collapsed="false">
      <c r="A395" s="25" t="s">
        <v>4226</v>
      </c>
      <c r="B395" s="25" t="s">
        <v>300</v>
      </c>
      <c r="C395" s="12" t="s">
        <v>301</v>
      </c>
      <c r="D395" s="12" t="s">
        <v>294</v>
      </c>
      <c r="E395" s="12" t="s">
        <v>295</v>
      </c>
      <c r="F395" s="25" t="s">
        <v>931</v>
      </c>
      <c r="G395" s="25" t="n">
        <v>2024</v>
      </c>
      <c r="H395" s="25" t="n">
        <v>5</v>
      </c>
      <c r="I395" s="25" t="s">
        <v>3879</v>
      </c>
      <c r="J395" s="18" t="n">
        <v>1</v>
      </c>
      <c r="K395" s="14" t="n">
        <v>0.93</v>
      </c>
      <c r="L395" s="29"/>
      <c r="M395" s="14" t="n">
        <v>0.92</v>
      </c>
      <c r="N395" s="29"/>
      <c r="O395" s="32" t="n">
        <v>0.01</v>
      </c>
      <c r="P395" s="29"/>
      <c r="Q395" s="25" t="n">
        <v>1</v>
      </c>
      <c r="R395" s="25" t="n">
        <v>1</v>
      </c>
      <c r="S395" s="25" t="n">
        <v>0</v>
      </c>
      <c r="T395" s="25" t="n">
        <v>0</v>
      </c>
      <c r="U395" s="29"/>
      <c r="V395" s="29"/>
      <c r="W395" s="29"/>
      <c r="X395" s="29"/>
      <c r="Y395" s="29"/>
      <c r="Z395" s="25" t="s">
        <v>3836</v>
      </c>
      <c r="AA395" s="12" t="s">
        <v>4140</v>
      </c>
      <c r="AB395" s="25" t="s">
        <v>113</v>
      </c>
      <c r="AC395" s="22" t="s">
        <v>932</v>
      </c>
    </row>
    <row r="396" customFormat="false" ht="19.5" hidden="false" customHeight="true" outlineLevel="0" collapsed="false">
      <c r="A396" s="27" t="s">
        <v>4227</v>
      </c>
      <c r="B396" s="27" t="s">
        <v>312</v>
      </c>
      <c r="C396" s="9" t="s">
        <v>313</v>
      </c>
      <c r="D396" s="9" t="s">
        <v>314</v>
      </c>
      <c r="E396" s="9" t="s">
        <v>295</v>
      </c>
      <c r="F396" s="27" t="s">
        <v>848</v>
      </c>
      <c r="G396" s="27" t="n">
        <v>2024</v>
      </c>
      <c r="H396" s="27" t="n">
        <v>3</v>
      </c>
      <c r="I396" s="27" t="s">
        <v>3879</v>
      </c>
      <c r="J396" s="20" t="n">
        <v>1</v>
      </c>
      <c r="K396" s="11" t="n">
        <v>0.02</v>
      </c>
      <c r="L396" s="30"/>
      <c r="M396" s="30"/>
      <c r="N396" s="30"/>
      <c r="O396" s="30"/>
      <c r="P396" s="30"/>
      <c r="Q396" s="27" t="n">
        <v>0</v>
      </c>
      <c r="R396" s="27" t="n">
        <v>0</v>
      </c>
      <c r="S396" s="27" t="n">
        <v>0</v>
      </c>
      <c r="T396" s="27" t="n">
        <v>0</v>
      </c>
      <c r="U396" s="30"/>
      <c r="V396" s="30"/>
      <c r="W396" s="30"/>
      <c r="X396" s="30"/>
      <c r="Y396" s="30"/>
      <c r="Z396" s="27" t="s">
        <v>2891</v>
      </c>
      <c r="AA396" s="9" t="s">
        <v>4140</v>
      </c>
      <c r="AB396" s="27" t="s">
        <v>113</v>
      </c>
      <c r="AC396" s="23" t="s">
        <v>849</v>
      </c>
    </row>
    <row r="397" customFormat="false" ht="19.5" hidden="false" customHeight="true" outlineLevel="0" collapsed="false">
      <c r="A397" s="25" t="s">
        <v>4228</v>
      </c>
      <c r="B397" s="25" t="s">
        <v>312</v>
      </c>
      <c r="C397" s="12" t="s">
        <v>313</v>
      </c>
      <c r="D397" s="12" t="s">
        <v>314</v>
      </c>
      <c r="E397" s="12" t="s">
        <v>295</v>
      </c>
      <c r="F397" s="25" t="s">
        <v>878</v>
      </c>
      <c r="G397" s="25" t="n">
        <v>2024</v>
      </c>
      <c r="H397" s="25" t="n">
        <v>3</v>
      </c>
      <c r="I397" s="25" t="s">
        <v>3879</v>
      </c>
      <c r="J397" s="18" t="n">
        <v>1</v>
      </c>
      <c r="K397" s="14" t="n">
        <v>0.2</v>
      </c>
      <c r="L397" s="29"/>
      <c r="M397" s="14" t="n">
        <v>0.02</v>
      </c>
      <c r="N397" s="14" t="n">
        <v>0.02</v>
      </c>
      <c r="O397" s="32" t="n">
        <v>0.18</v>
      </c>
      <c r="P397" s="29"/>
      <c r="Q397" s="25" t="n">
        <v>0</v>
      </c>
      <c r="R397" s="25" t="n">
        <v>0</v>
      </c>
      <c r="S397" s="25" t="n">
        <v>0</v>
      </c>
      <c r="T397" s="25" t="n">
        <v>0</v>
      </c>
      <c r="U397" s="29"/>
      <c r="V397" s="29"/>
      <c r="W397" s="29"/>
      <c r="X397" s="29"/>
      <c r="Y397" s="29"/>
      <c r="Z397" s="25" t="s">
        <v>3836</v>
      </c>
      <c r="AA397" s="12" t="s">
        <v>4140</v>
      </c>
      <c r="AB397" s="25" t="s">
        <v>113</v>
      </c>
      <c r="AC397" s="22" t="s">
        <v>879</v>
      </c>
    </row>
    <row r="398" customFormat="false" ht="19.5" hidden="false" customHeight="true" outlineLevel="0" collapsed="false">
      <c r="A398" s="27" t="s">
        <v>4229</v>
      </c>
      <c r="B398" s="27" t="s">
        <v>312</v>
      </c>
      <c r="C398" s="9" t="s">
        <v>313</v>
      </c>
      <c r="D398" s="9" t="s">
        <v>314</v>
      </c>
      <c r="E398" s="9" t="s">
        <v>295</v>
      </c>
      <c r="F398" s="27" t="s">
        <v>913</v>
      </c>
      <c r="G398" s="27" t="n">
        <v>2024</v>
      </c>
      <c r="H398" s="27" t="n">
        <v>5</v>
      </c>
      <c r="I398" s="27" t="s">
        <v>3879</v>
      </c>
      <c r="J398" s="20" t="n">
        <v>1</v>
      </c>
      <c r="K398" s="11" t="n">
        <v>0.2</v>
      </c>
      <c r="L398" s="30"/>
      <c r="M398" s="30"/>
      <c r="N398" s="30"/>
      <c r="O398" s="30"/>
      <c r="P398" s="30"/>
      <c r="Q398" s="27" t="n">
        <v>0</v>
      </c>
      <c r="R398" s="27" t="n">
        <v>0</v>
      </c>
      <c r="S398" s="27" t="n">
        <v>0</v>
      </c>
      <c r="T398" s="27" t="n">
        <v>0</v>
      </c>
      <c r="U398" s="30"/>
      <c r="V398" s="30"/>
      <c r="W398" s="30"/>
      <c r="X398" s="30"/>
      <c r="Y398" s="30"/>
      <c r="Z398" s="27" t="s">
        <v>2908</v>
      </c>
      <c r="AA398" s="9" t="s">
        <v>4140</v>
      </c>
      <c r="AB398" s="27" t="s">
        <v>113</v>
      </c>
      <c r="AC398" s="23" t="s">
        <v>914</v>
      </c>
    </row>
    <row r="399" customFormat="false" ht="19.5" hidden="false" customHeight="true" outlineLevel="0" collapsed="false">
      <c r="A399" s="25" t="s">
        <v>4230</v>
      </c>
      <c r="B399" s="25" t="s">
        <v>312</v>
      </c>
      <c r="C399" s="12" t="s">
        <v>313</v>
      </c>
      <c r="D399" s="12" t="s">
        <v>314</v>
      </c>
      <c r="E399" s="12" t="s">
        <v>295</v>
      </c>
      <c r="F399" s="25" t="s">
        <v>931</v>
      </c>
      <c r="G399" s="25" t="n">
        <v>2024</v>
      </c>
      <c r="H399" s="25" t="n">
        <v>5</v>
      </c>
      <c r="I399" s="25" t="s">
        <v>3879</v>
      </c>
      <c r="J399" s="18" t="n">
        <v>1</v>
      </c>
      <c r="K399" s="14" t="n">
        <v>0.32</v>
      </c>
      <c r="L399" s="29"/>
      <c r="M399" s="14" t="n">
        <v>0.2</v>
      </c>
      <c r="N399" s="29"/>
      <c r="O399" s="32" t="n">
        <v>0.12</v>
      </c>
      <c r="P399" s="29"/>
      <c r="Q399" s="25" t="n">
        <v>0</v>
      </c>
      <c r="R399" s="25" t="n">
        <v>0</v>
      </c>
      <c r="S399" s="25" t="n">
        <v>0</v>
      </c>
      <c r="T399" s="25" t="n">
        <v>0</v>
      </c>
      <c r="U399" s="29"/>
      <c r="V399" s="29"/>
      <c r="W399" s="29"/>
      <c r="X399" s="29"/>
      <c r="Y399" s="29"/>
      <c r="Z399" s="25" t="s">
        <v>3836</v>
      </c>
      <c r="AA399" s="12" t="s">
        <v>4140</v>
      </c>
      <c r="AB399" s="25" t="s">
        <v>113</v>
      </c>
      <c r="AC399" s="22" t="s">
        <v>932</v>
      </c>
    </row>
    <row r="400" customFormat="false" ht="19.5" hidden="false" customHeight="true" outlineLevel="0" collapsed="false">
      <c r="A400" s="27" t="s">
        <v>4231</v>
      </c>
      <c r="B400" s="27" t="s">
        <v>284</v>
      </c>
      <c r="C400" s="9" t="s">
        <v>285</v>
      </c>
      <c r="D400" s="9" t="s">
        <v>286</v>
      </c>
      <c r="E400" s="9" t="s">
        <v>287</v>
      </c>
      <c r="F400" s="27" t="s">
        <v>830</v>
      </c>
      <c r="G400" s="27" t="n">
        <v>2024</v>
      </c>
      <c r="H400" s="27" t="n">
        <v>2</v>
      </c>
      <c r="I400" s="27" t="s">
        <v>3879</v>
      </c>
      <c r="J400" s="20" t="n">
        <v>1</v>
      </c>
      <c r="K400" s="11" t="n">
        <v>0.1</v>
      </c>
      <c r="L400" s="30"/>
      <c r="M400" s="30"/>
      <c r="N400" s="30"/>
      <c r="O400" s="30"/>
      <c r="P400" s="30"/>
      <c r="Q400" s="27" t="n">
        <v>0</v>
      </c>
      <c r="R400" s="27" t="n">
        <v>0</v>
      </c>
      <c r="S400" s="27" t="n">
        <v>0</v>
      </c>
      <c r="T400" s="27" t="n">
        <v>0</v>
      </c>
      <c r="U400" s="30"/>
      <c r="V400" s="30"/>
      <c r="W400" s="30"/>
      <c r="X400" s="30"/>
      <c r="Y400" s="30"/>
      <c r="Z400" s="27" t="s">
        <v>3836</v>
      </c>
      <c r="AA400" s="9" t="s">
        <v>4140</v>
      </c>
      <c r="AB400" s="27" t="s">
        <v>113</v>
      </c>
      <c r="AC400" s="23" t="s">
        <v>832</v>
      </c>
    </row>
    <row r="401" customFormat="false" ht="19.5" hidden="false" customHeight="true" outlineLevel="0" collapsed="false">
      <c r="A401" s="25" t="s">
        <v>4232</v>
      </c>
      <c r="B401" s="25" t="s">
        <v>284</v>
      </c>
      <c r="C401" s="12" t="s">
        <v>285</v>
      </c>
      <c r="D401" s="12" t="s">
        <v>286</v>
      </c>
      <c r="E401" s="12" t="s">
        <v>287</v>
      </c>
      <c r="F401" s="25" t="s">
        <v>848</v>
      </c>
      <c r="G401" s="25" t="n">
        <v>2024</v>
      </c>
      <c r="H401" s="25" t="n">
        <v>3</v>
      </c>
      <c r="I401" s="25" t="s">
        <v>3879</v>
      </c>
      <c r="J401" s="18" t="n">
        <v>1</v>
      </c>
      <c r="K401" s="14" t="n">
        <v>1.25</v>
      </c>
      <c r="L401" s="29"/>
      <c r="M401" s="29"/>
      <c r="N401" s="29"/>
      <c r="O401" s="29"/>
      <c r="P401" s="29"/>
      <c r="Q401" s="25" t="n">
        <v>1</v>
      </c>
      <c r="R401" s="25" t="n">
        <v>1</v>
      </c>
      <c r="S401" s="25" t="n">
        <v>1</v>
      </c>
      <c r="T401" s="25" t="n">
        <v>0</v>
      </c>
      <c r="U401" s="29"/>
      <c r="V401" s="29"/>
      <c r="W401" s="29"/>
      <c r="X401" s="29"/>
      <c r="Y401" s="29"/>
      <c r="Z401" s="25" t="s">
        <v>2891</v>
      </c>
      <c r="AA401" s="12" t="s">
        <v>4140</v>
      </c>
      <c r="AB401" s="25" t="s">
        <v>113</v>
      </c>
      <c r="AC401" s="22" t="s">
        <v>849</v>
      </c>
    </row>
    <row r="402" customFormat="false" ht="19.5" hidden="false" customHeight="true" outlineLevel="0" collapsed="false">
      <c r="A402" s="27" t="s">
        <v>4233</v>
      </c>
      <c r="B402" s="27" t="s">
        <v>284</v>
      </c>
      <c r="C402" s="9" t="s">
        <v>285</v>
      </c>
      <c r="D402" s="9" t="s">
        <v>286</v>
      </c>
      <c r="E402" s="9" t="s">
        <v>287</v>
      </c>
      <c r="F402" s="27" t="s">
        <v>913</v>
      </c>
      <c r="G402" s="27" t="n">
        <v>2024</v>
      </c>
      <c r="H402" s="27" t="n">
        <v>5</v>
      </c>
      <c r="I402" s="27" t="s">
        <v>3879</v>
      </c>
      <c r="J402" s="20" t="n">
        <v>1</v>
      </c>
      <c r="K402" s="11" t="n">
        <v>1.66</v>
      </c>
      <c r="L402" s="30"/>
      <c r="M402" s="30"/>
      <c r="N402" s="30"/>
      <c r="O402" s="30"/>
      <c r="P402" s="30"/>
      <c r="Q402" s="27" t="n">
        <v>1</v>
      </c>
      <c r="R402" s="27" t="n">
        <v>1</v>
      </c>
      <c r="S402" s="27" t="n">
        <v>1</v>
      </c>
      <c r="T402" s="27" t="n">
        <v>0</v>
      </c>
      <c r="U402" s="30"/>
      <c r="V402" s="30"/>
      <c r="W402" s="30"/>
      <c r="X402" s="30"/>
      <c r="Y402" s="30"/>
      <c r="Z402" s="27" t="s">
        <v>2908</v>
      </c>
      <c r="AA402" s="9" t="s">
        <v>4140</v>
      </c>
      <c r="AB402" s="27" t="s">
        <v>113</v>
      </c>
      <c r="AC402" s="23" t="s">
        <v>914</v>
      </c>
    </row>
    <row r="403" customFormat="false" ht="19.5" hidden="false" customHeight="true" outlineLevel="0" collapsed="false">
      <c r="A403" s="25" t="s">
        <v>4234</v>
      </c>
      <c r="B403" s="25" t="s">
        <v>284</v>
      </c>
      <c r="C403" s="12" t="s">
        <v>285</v>
      </c>
      <c r="D403" s="12" t="s">
        <v>286</v>
      </c>
      <c r="E403" s="12" t="s">
        <v>287</v>
      </c>
      <c r="F403" s="25" t="s">
        <v>931</v>
      </c>
      <c r="G403" s="25" t="n">
        <v>2024</v>
      </c>
      <c r="H403" s="25" t="n">
        <v>5</v>
      </c>
      <c r="I403" s="25" t="s">
        <v>3879</v>
      </c>
      <c r="J403" s="18" t="n">
        <v>1</v>
      </c>
      <c r="K403" s="14" t="n">
        <v>1.7</v>
      </c>
      <c r="L403" s="29"/>
      <c r="M403" s="14" t="n">
        <v>1.66</v>
      </c>
      <c r="N403" s="29"/>
      <c r="O403" s="32" t="n">
        <v>0.04</v>
      </c>
      <c r="P403" s="29"/>
      <c r="Q403" s="25" t="n">
        <v>1</v>
      </c>
      <c r="R403" s="25" t="n">
        <v>1</v>
      </c>
      <c r="S403" s="25" t="n">
        <v>1</v>
      </c>
      <c r="T403" s="25" t="n">
        <v>0</v>
      </c>
      <c r="U403" s="29"/>
      <c r="V403" s="29"/>
      <c r="W403" s="29"/>
      <c r="X403" s="29"/>
      <c r="Y403" s="29"/>
      <c r="Z403" s="25" t="s">
        <v>3836</v>
      </c>
      <c r="AA403" s="12" t="s">
        <v>4140</v>
      </c>
      <c r="AB403" s="25" t="s">
        <v>113</v>
      </c>
      <c r="AC403" s="22" t="s">
        <v>932</v>
      </c>
    </row>
    <row r="404" customFormat="false" ht="19.5" hidden="false" customHeight="true" outlineLevel="0" collapsed="false">
      <c r="A404" s="27" t="s">
        <v>4235</v>
      </c>
      <c r="B404" s="27" t="s">
        <v>284</v>
      </c>
      <c r="C404" s="9" t="s">
        <v>285</v>
      </c>
      <c r="D404" s="9" t="s">
        <v>286</v>
      </c>
      <c r="E404" s="9" t="s">
        <v>287</v>
      </c>
      <c r="F404" s="27" t="s">
        <v>949</v>
      </c>
      <c r="G404" s="27" t="n">
        <v>2024</v>
      </c>
      <c r="H404" s="27" t="n">
        <v>5</v>
      </c>
      <c r="I404" s="27" t="s">
        <v>3879</v>
      </c>
      <c r="J404" s="20" t="n">
        <v>1</v>
      </c>
      <c r="K404" s="11" t="n">
        <v>0.15</v>
      </c>
      <c r="L404" s="30"/>
      <c r="M404" s="11" t="n">
        <v>1.7</v>
      </c>
      <c r="N404" s="30"/>
      <c r="O404" s="31" t="n">
        <v>-1.55</v>
      </c>
      <c r="P404" s="30"/>
      <c r="Q404" s="27" t="n">
        <v>0</v>
      </c>
      <c r="R404" s="27" t="n">
        <v>0</v>
      </c>
      <c r="S404" s="27" t="n">
        <v>0</v>
      </c>
      <c r="T404" s="27" t="n">
        <v>0</v>
      </c>
      <c r="U404" s="30"/>
      <c r="V404" s="30"/>
      <c r="W404" s="30"/>
      <c r="X404" s="30"/>
      <c r="Y404" s="30"/>
      <c r="Z404" s="27" t="s">
        <v>2913</v>
      </c>
      <c r="AA404" s="9" t="s">
        <v>4140</v>
      </c>
      <c r="AB404" s="27" t="s">
        <v>113</v>
      </c>
      <c r="AC404" s="23" t="s">
        <v>950</v>
      </c>
    </row>
    <row r="405" customFormat="false" ht="19.5" hidden="false" customHeight="true" outlineLevel="0" collapsed="false">
      <c r="A405" s="25" t="s">
        <v>4236</v>
      </c>
      <c r="B405" s="25" t="s">
        <v>284</v>
      </c>
      <c r="C405" s="12" t="s">
        <v>285</v>
      </c>
      <c r="D405" s="12" t="s">
        <v>286</v>
      </c>
      <c r="E405" s="12" t="s">
        <v>287</v>
      </c>
      <c r="F405" s="25" t="s">
        <v>1009</v>
      </c>
      <c r="G405" s="25" t="n">
        <v>2025</v>
      </c>
      <c r="H405" s="25" t="n">
        <v>2</v>
      </c>
      <c r="I405" s="25" t="s">
        <v>3879</v>
      </c>
      <c r="J405" s="18" t="n">
        <v>1</v>
      </c>
      <c r="K405" s="14" t="n">
        <v>0.42</v>
      </c>
      <c r="L405" s="29"/>
      <c r="M405" s="29"/>
      <c r="N405" s="29"/>
      <c r="O405" s="29"/>
      <c r="P405" s="29"/>
      <c r="Q405" s="25" t="n">
        <v>0</v>
      </c>
      <c r="R405" s="25" t="n">
        <v>0</v>
      </c>
      <c r="S405" s="25" t="n">
        <v>0</v>
      </c>
      <c r="T405" s="25" t="n">
        <v>0</v>
      </c>
      <c r="U405" s="29"/>
      <c r="V405" s="29"/>
      <c r="W405" s="29"/>
      <c r="X405" s="29"/>
      <c r="Y405" s="29"/>
      <c r="Z405" s="25" t="s">
        <v>3836</v>
      </c>
      <c r="AA405" s="12" t="s">
        <v>3887</v>
      </c>
      <c r="AB405" s="25" t="s">
        <v>113</v>
      </c>
      <c r="AC405" s="22" t="s">
        <v>1010</v>
      </c>
    </row>
    <row r="406" customFormat="false" ht="19.5" hidden="false" customHeight="true" outlineLevel="0" collapsed="false">
      <c r="A406" s="27" t="s">
        <v>4237</v>
      </c>
      <c r="B406" s="27" t="s">
        <v>284</v>
      </c>
      <c r="C406" s="9" t="s">
        <v>285</v>
      </c>
      <c r="D406" s="9" t="s">
        <v>286</v>
      </c>
      <c r="E406" s="9" t="s">
        <v>287</v>
      </c>
      <c r="F406" s="27" t="s">
        <v>1031</v>
      </c>
      <c r="G406" s="27" t="n">
        <v>2025</v>
      </c>
      <c r="H406" s="27" t="n">
        <v>3</v>
      </c>
      <c r="I406" s="27" t="s">
        <v>3879</v>
      </c>
      <c r="J406" s="20" t="n">
        <v>1</v>
      </c>
      <c r="K406" s="11" t="n">
        <v>0.22</v>
      </c>
      <c r="L406" s="30"/>
      <c r="M406" s="11" t="n">
        <v>0.42</v>
      </c>
      <c r="N406" s="30"/>
      <c r="O406" s="31" t="n">
        <v>-0.2</v>
      </c>
      <c r="P406" s="30"/>
      <c r="Q406" s="27" t="n">
        <v>0</v>
      </c>
      <c r="R406" s="27" t="n">
        <v>0</v>
      </c>
      <c r="S406" s="27" t="n">
        <v>0</v>
      </c>
      <c r="T406" s="27" t="n">
        <v>0</v>
      </c>
      <c r="U406" s="30"/>
      <c r="V406" s="30"/>
      <c r="W406" s="30"/>
      <c r="X406" s="30"/>
      <c r="Y406" s="30"/>
      <c r="Z406" s="27" t="s">
        <v>2891</v>
      </c>
      <c r="AA406" s="9" t="s">
        <v>3887</v>
      </c>
      <c r="AB406" s="27" t="s">
        <v>113</v>
      </c>
      <c r="AC406" s="23" t="s">
        <v>1032</v>
      </c>
    </row>
    <row r="407" customFormat="false" ht="19.5" hidden="false" customHeight="true" outlineLevel="0" collapsed="false">
      <c r="A407" s="25" t="s">
        <v>4238</v>
      </c>
      <c r="B407" s="25" t="s">
        <v>284</v>
      </c>
      <c r="C407" s="12" t="s">
        <v>285</v>
      </c>
      <c r="D407" s="12" t="s">
        <v>286</v>
      </c>
      <c r="E407" s="12" t="s">
        <v>287</v>
      </c>
      <c r="F407" s="25" t="s">
        <v>1051</v>
      </c>
      <c r="G407" s="25" t="n">
        <v>2025</v>
      </c>
      <c r="H407" s="25" t="n">
        <v>3</v>
      </c>
      <c r="I407" s="25" t="s">
        <v>3879</v>
      </c>
      <c r="J407" s="18" t="n">
        <v>1</v>
      </c>
      <c r="K407" s="14" t="n">
        <v>0.28</v>
      </c>
      <c r="L407" s="29"/>
      <c r="M407" s="14" t="n">
        <v>0.22</v>
      </c>
      <c r="N407" s="29"/>
      <c r="O407" s="32" t="n">
        <v>0.06</v>
      </c>
      <c r="P407" s="29"/>
      <c r="Q407" s="25" t="n">
        <v>0</v>
      </c>
      <c r="R407" s="25" t="n">
        <v>0</v>
      </c>
      <c r="S407" s="25" t="n">
        <v>0</v>
      </c>
      <c r="T407" s="25" t="n">
        <v>0</v>
      </c>
      <c r="U407" s="29"/>
      <c r="V407" s="29"/>
      <c r="W407" s="29"/>
      <c r="X407" s="29"/>
      <c r="Y407" s="29"/>
      <c r="Z407" s="25" t="s">
        <v>3836</v>
      </c>
      <c r="AA407" s="12" t="s">
        <v>3887</v>
      </c>
      <c r="AB407" s="25" t="s">
        <v>113</v>
      </c>
      <c r="AC407" s="22" t="s">
        <v>1052</v>
      </c>
    </row>
    <row r="408" customFormat="false" ht="19.5" hidden="false" customHeight="true" outlineLevel="0" collapsed="false">
      <c r="A408" s="27" t="s">
        <v>4239</v>
      </c>
      <c r="B408" s="27" t="s">
        <v>284</v>
      </c>
      <c r="C408" s="9" t="s">
        <v>285</v>
      </c>
      <c r="D408" s="9" t="s">
        <v>286</v>
      </c>
      <c r="E408" s="9" t="s">
        <v>287</v>
      </c>
      <c r="F408" s="27" t="s">
        <v>1078</v>
      </c>
      <c r="G408" s="27" t="n">
        <v>2025</v>
      </c>
      <c r="H408" s="27" t="n">
        <v>4</v>
      </c>
      <c r="I408" s="27" t="s">
        <v>3879</v>
      </c>
      <c r="J408" s="20" t="n">
        <v>1</v>
      </c>
      <c r="K408" s="11" t="n">
        <v>0.26</v>
      </c>
      <c r="L408" s="30"/>
      <c r="M408" s="11" t="n">
        <v>0.28</v>
      </c>
      <c r="N408" s="30"/>
      <c r="O408" s="31" t="n">
        <v>-0.02</v>
      </c>
      <c r="P408" s="30"/>
      <c r="Q408" s="27" t="n">
        <v>0</v>
      </c>
      <c r="R408" s="27" t="n">
        <v>0</v>
      </c>
      <c r="S408" s="27" t="n">
        <v>0</v>
      </c>
      <c r="T408" s="27" t="n">
        <v>0</v>
      </c>
      <c r="U408" s="30"/>
      <c r="V408" s="30"/>
      <c r="W408" s="30"/>
      <c r="X408" s="11" t="n">
        <v>0.53</v>
      </c>
      <c r="Y408" s="30"/>
      <c r="Z408" s="27" t="s">
        <v>2931</v>
      </c>
      <c r="AA408" s="9" t="s">
        <v>3887</v>
      </c>
      <c r="AB408" s="27" t="s">
        <v>113</v>
      </c>
      <c r="AC408" s="23" t="s">
        <v>1079</v>
      </c>
    </row>
    <row r="409" customFormat="false" ht="19.5" hidden="false" customHeight="true" outlineLevel="0" collapsed="false">
      <c r="A409" s="25" t="s">
        <v>4240</v>
      </c>
      <c r="B409" s="25" t="s">
        <v>284</v>
      </c>
      <c r="C409" s="12" t="s">
        <v>285</v>
      </c>
      <c r="D409" s="12" t="s">
        <v>286</v>
      </c>
      <c r="E409" s="12" t="s">
        <v>287</v>
      </c>
      <c r="F409" s="25" t="s">
        <v>1222</v>
      </c>
      <c r="G409" s="25" t="n">
        <v>2026</v>
      </c>
      <c r="H409" s="25" t="n">
        <v>4</v>
      </c>
      <c r="I409" s="25" t="s">
        <v>3879</v>
      </c>
      <c r="J409" s="18" t="n">
        <v>1</v>
      </c>
      <c r="K409" s="14" t="n">
        <v>0.07</v>
      </c>
      <c r="L409" s="29"/>
      <c r="M409" s="29"/>
      <c r="N409" s="29"/>
      <c r="O409" s="29"/>
      <c r="P409" s="29"/>
      <c r="Q409" s="25" t="n">
        <v>0</v>
      </c>
      <c r="R409" s="25" t="n">
        <v>0</v>
      </c>
      <c r="S409" s="25" t="n">
        <v>0</v>
      </c>
      <c r="T409" s="25" t="n">
        <v>0</v>
      </c>
      <c r="U409" s="29"/>
      <c r="V409" s="29"/>
      <c r="W409" s="29"/>
      <c r="X409" s="29"/>
      <c r="Y409" s="29"/>
      <c r="Z409" s="25" t="s">
        <v>3836</v>
      </c>
      <c r="AA409" s="12" t="s">
        <v>3894</v>
      </c>
      <c r="AB409" s="25" t="s">
        <v>113</v>
      </c>
      <c r="AC409" s="22" t="s">
        <v>120</v>
      </c>
    </row>
    <row r="410" customFormat="false" ht="19.5" hidden="false" customHeight="true" outlineLevel="0" collapsed="false">
      <c r="A410" s="27" t="s">
        <v>4241</v>
      </c>
      <c r="B410" s="27" t="s">
        <v>266</v>
      </c>
      <c r="C410" s="9" t="s">
        <v>267</v>
      </c>
      <c r="D410" s="9" t="s">
        <v>269</v>
      </c>
      <c r="E410" s="9" t="s">
        <v>270</v>
      </c>
      <c r="F410" s="27" t="s">
        <v>625</v>
      </c>
      <c r="G410" s="27" t="n">
        <v>2016</v>
      </c>
      <c r="H410" s="27" t="n">
        <v>2</v>
      </c>
      <c r="I410" s="27" t="s">
        <v>3879</v>
      </c>
      <c r="J410" s="20" t="n">
        <v>1</v>
      </c>
      <c r="K410" s="11" t="n">
        <v>1.4</v>
      </c>
      <c r="L410" s="30"/>
      <c r="M410" s="30"/>
      <c r="N410" s="30"/>
      <c r="O410" s="30"/>
      <c r="P410" s="30"/>
      <c r="Q410" s="27" t="n">
        <v>1</v>
      </c>
      <c r="R410" s="27" t="n">
        <v>1</v>
      </c>
      <c r="S410" s="27" t="n">
        <v>1</v>
      </c>
      <c r="T410" s="27" t="n">
        <v>0</v>
      </c>
      <c r="U410" s="30"/>
      <c r="V410" s="30"/>
      <c r="W410" s="30"/>
      <c r="X410" s="30"/>
      <c r="Y410" s="30"/>
      <c r="Z410" s="27" t="s">
        <v>3836</v>
      </c>
      <c r="AA410" s="9" t="s">
        <v>3880</v>
      </c>
      <c r="AB410" s="27" t="s">
        <v>86</v>
      </c>
      <c r="AC410" s="23" t="s">
        <v>197</v>
      </c>
    </row>
    <row r="411" customFormat="false" ht="19.5" hidden="false" customHeight="true" outlineLevel="0" collapsed="false">
      <c r="A411" s="25" t="s">
        <v>4242</v>
      </c>
      <c r="B411" s="25" t="s">
        <v>266</v>
      </c>
      <c r="C411" s="12" t="s">
        <v>267</v>
      </c>
      <c r="D411" s="12" t="s">
        <v>269</v>
      </c>
      <c r="E411" s="12" t="s">
        <v>270</v>
      </c>
      <c r="F411" s="25" t="s">
        <v>663</v>
      </c>
      <c r="G411" s="25" t="n">
        <v>2016</v>
      </c>
      <c r="H411" s="25" t="n">
        <v>5</v>
      </c>
      <c r="I411" s="25" t="s">
        <v>3879</v>
      </c>
      <c r="J411" s="18" t="n">
        <v>1</v>
      </c>
      <c r="K411" s="14" t="n">
        <v>1.3</v>
      </c>
      <c r="L411" s="29"/>
      <c r="M411" s="29"/>
      <c r="N411" s="29"/>
      <c r="O411" s="29"/>
      <c r="P411" s="14" t="n">
        <v>1</v>
      </c>
      <c r="Q411" s="25" t="n">
        <v>1</v>
      </c>
      <c r="R411" s="25" t="n">
        <v>1</v>
      </c>
      <c r="S411" s="25" t="n">
        <v>1</v>
      </c>
      <c r="T411" s="25" t="n">
        <v>0</v>
      </c>
      <c r="U411" s="29"/>
      <c r="V411" s="29"/>
      <c r="W411" s="29"/>
      <c r="X411" s="29"/>
      <c r="Y411" s="29"/>
      <c r="Z411" s="25" t="s">
        <v>3836</v>
      </c>
      <c r="AA411" s="12" t="s">
        <v>3880</v>
      </c>
      <c r="AB411" s="25" t="s">
        <v>86</v>
      </c>
      <c r="AC411" s="22" t="s">
        <v>664</v>
      </c>
    </row>
    <row r="412" customFormat="false" ht="19.5" hidden="false" customHeight="true" outlineLevel="0" collapsed="false">
      <c r="A412" s="27" t="s">
        <v>4243</v>
      </c>
      <c r="B412" s="27" t="s">
        <v>266</v>
      </c>
      <c r="C412" s="9" t="s">
        <v>267</v>
      </c>
      <c r="D412" s="9" t="s">
        <v>269</v>
      </c>
      <c r="E412" s="9" t="s">
        <v>270</v>
      </c>
      <c r="F412" s="27" t="s">
        <v>680</v>
      </c>
      <c r="G412" s="27" t="n">
        <v>2016</v>
      </c>
      <c r="H412" s="27" t="n">
        <v>5</v>
      </c>
      <c r="I412" s="27" t="s">
        <v>3879</v>
      </c>
      <c r="J412" s="20" t="n">
        <v>1</v>
      </c>
      <c r="K412" s="11" t="n">
        <v>1</v>
      </c>
      <c r="L412" s="30"/>
      <c r="M412" s="11" t="n">
        <v>1.3</v>
      </c>
      <c r="N412" s="30"/>
      <c r="O412" s="31" t="n">
        <v>-0.3</v>
      </c>
      <c r="P412" s="11" t="n">
        <v>0.8</v>
      </c>
      <c r="Q412" s="27" t="n">
        <v>1</v>
      </c>
      <c r="R412" s="27" t="n">
        <v>1</v>
      </c>
      <c r="S412" s="27" t="n">
        <v>0</v>
      </c>
      <c r="T412" s="27" t="n">
        <v>0</v>
      </c>
      <c r="U412" s="30"/>
      <c r="V412" s="30"/>
      <c r="W412" s="30"/>
      <c r="X412" s="30"/>
      <c r="Y412" s="30"/>
      <c r="Z412" s="27" t="s">
        <v>3836</v>
      </c>
      <c r="AA412" s="9" t="s">
        <v>3880</v>
      </c>
      <c r="AB412" s="27" t="s">
        <v>86</v>
      </c>
      <c r="AC412" s="23" t="s">
        <v>681</v>
      </c>
    </row>
    <row r="413" customFormat="false" ht="19.5" hidden="false" customHeight="true" outlineLevel="0" collapsed="false">
      <c r="A413" s="25" t="s">
        <v>4244</v>
      </c>
      <c r="B413" s="25" t="s">
        <v>266</v>
      </c>
      <c r="C413" s="12" t="s">
        <v>267</v>
      </c>
      <c r="D413" s="12" t="s">
        <v>269</v>
      </c>
      <c r="E413" s="12" t="s">
        <v>270</v>
      </c>
      <c r="F413" s="25" t="s">
        <v>696</v>
      </c>
      <c r="G413" s="25" t="n">
        <v>2016</v>
      </c>
      <c r="H413" s="25" t="n">
        <v>5</v>
      </c>
      <c r="I413" s="25" t="s">
        <v>3879</v>
      </c>
      <c r="J413" s="18" t="n">
        <v>1</v>
      </c>
      <c r="K413" s="14" t="n">
        <v>0.8</v>
      </c>
      <c r="L413" s="29"/>
      <c r="M413" s="14" t="n">
        <v>1</v>
      </c>
      <c r="N413" s="14" t="n">
        <v>1.3</v>
      </c>
      <c r="O413" s="32" t="n">
        <v>-0.2</v>
      </c>
      <c r="P413" s="14" t="n">
        <v>0.5</v>
      </c>
      <c r="Q413" s="25" t="n">
        <v>1</v>
      </c>
      <c r="R413" s="25" t="n">
        <v>1</v>
      </c>
      <c r="S413" s="25" t="n">
        <v>0</v>
      </c>
      <c r="T413" s="25" t="n">
        <v>0</v>
      </c>
      <c r="U413" s="29"/>
      <c r="V413" s="29"/>
      <c r="W413" s="29"/>
      <c r="X413" s="29"/>
      <c r="Y413" s="29"/>
      <c r="Z413" s="25" t="s">
        <v>3836</v>
      </c>
      <c r="AA413" s="12" t="s">
        <v>3880</v>
      </c>
      <c r="AB413" s="25" t="s">
        <v>86</v>
      </c>
      <c r="AC413" s="22" t="s">
        <v>697</v>
      </c>
    </row>
    <row r="414" customFormat="false" ht="19.5" hidden="false" customHeight="true" outlineLevel="0" collapsed="false">
      <c r="A414" s="27" t="s">
        <v>4245</v>
      </c>
      <c r="B414" s="27" t="s">
        <v>266</v>
      </c>
      <c r="C414" s="9" t="s">
        <v>267</v>
      </c>
      <c r="D414" s="9" t="s">
        <v>269</v>
      </c>
      <c r="E414" s="9" t="s">
        <v>270</v>
      </c>
      <c r="F414" s="27" t="s">
        <v>712</v>
      </c>
      <c r="G414" s="27" t="n">
        <v>2016</v>
      </c>
      <c r="H414" s="27" t="n">
        <v>5</v>
      </c>
      <c r="I414" s="27" t="s">
        <v>3879</v>
      </c>
      <c r="J414" s="20" t="n">
        <v>1</v>
      </c>
      <c r="K414" s="11" t="n">
        <v>0.5</v>
      </c>
      <c r="L414" s="30"/>
      <c r="M414" s="11" t="n">
        <v>0.8</v>
      </c>
      <c r="N414" s="11" t="n">
        <v>1</v>
      </c>
      <c r="O414" s="31" t="n">
        <v>-0.3</v>
      </c>
      <c r="P414" s="11" t="n">
        <v>0.4</v>
      </c>
      <c r="Q414" s="27" t="n">
        <v>0</v>
      </c>
      <c r="R414" s="27" t="n">
        <v>0</v>
      </c>
      <c r="S414" s="27" t="n">
        <v>0</v>
      </c>
      <c r="T414" s="27" t="n">
        <v>0</v>
      </c>
      <c r="U414" s="30"/>
      <c r="V414" s="30"/>
      <c r="W414" s="30"/>
      <c r="X414" s="30"/>
      <c r="Y414" s="30"/>
      <c r="Z414" s="27" t="s">
        <v>3836</v>
      </c>
      <c r="AA414" s="9" t="s">
        <v>3880</v>
      </c>
      <c r="AB414" s="27" t="s">
        <v>86</v>
      </c>
      <c r="AC414" s="23" t="s">
        <v>713</v>
      </c>
    </row>
    <row r="415" customFormat="false" ht="19.5" hidden="false" customHeight="true" outlineLevel="0" collapsed="false">
      <c r="A415" s="25" t="s">
        <v>4246</v>
      </c>
      <c r="B415" s="25" t="s">
        <v>266</v>
      </c>
      <c r="C415" s="12" t="s">
        <v>267</v>
      </c>
      <c r="D415" s="12" t="s">
        <v>269</v>
      </c>
      <c r="E415" s="12" t="s">
        <v>270</v>
      </c>
      <c r="F415" s="25" t="s">
        <v>728</v>
      </c>
      <c r="G415" s="25" t="n">
        <v>2016</v>
      </c>
      <c r="H415" s="25" t="n">
        <v>5</v>
      </c>
      <c r="I415" s="25" t="s">
        <v>3879</v>
      </c>
      <c r="J415" s="18" t="n">
        <v>1</v>
      </c>
      <c r="K415" s="14" t="n">
        <v>0.4</v>
      </c>
      <c r="L415" s="29"/>
      <c r="M415" s="14" t="n">
        <v>0.5</v>
      </c>
      <c r="N415" s="14" t="n">
        <v>0.8</v>
      </c>
      <c r="O415" s="32" t="n">
        <v>-0.1</v>
      </c>
      <c r="P415" s="29"/>
      <c r="Q415" s="25" t="n">
        <v>0</v>
      </c>
      <c r="R415" s="25" t="n">
        <v>0</v>
      </c>
      <c r="S415" s="25" t="n">
        <v>0</v>
      </c>
      <c r="T415" s="25" t="n">
        <v>0</v>
      </c>
      <c r="U415" s="29"/>
      <c r="V415" s="29"/>
      <c r="W415" s="29"/>
      <c r="X415" s="29"/>
      <c r="Y415" s="29"/>
      <c r="Z415" s="25" t="s">
        <v>3836</v>
      </c>
      <c r="AA415" s="12" t="s">
        <v>3880</v>
      </c>
      <c r="AB415" s="25" t="s">
        <v>86</v>
      </c>
      <c r="AC415" s="22" t="s">
        <v>729</v>
      </c>
    </row>
    <row r="416" customFormat="false" ht="19.5" hidden="false" customHeight="true" outlineLevel="0" collapsed="false">
      <c r="A416" s="27" t="s">
        <v>4247</v>
      </c>
      <c r="B416" s="27" t="s">
        <v>266</v>
      </c>
      <c r="C416" s="9" t="s">
        <v>267</v>
      </c>
      <c r="D416" s="9" t="s">
        <v>269</v>
      </c>
      <c r="E416" s="9" t="s">
        <v>270</v>
      </c>
      <c r="F416" s="27" t="s">
        <v>744</v>
      </c>
      <c r="G416" s="27" t="n">
        <v>2020</v>
      </c>
      <c r="H416" s="27" t="n">
        <v>2</v>
      </c>
      <c r="I416" s="27" t="s">
        <v>3879</v>
      </c>
      <c r="J416" s="20" t="n">
        <v>1</v>
      </c>
      <c r="K416" s="11" t="n">
        <v>3.5</v>
      </c>
      <c r="L416" s="30"/>
      <c r="M416" s="30"/>
      <c r="N416" s="30"/>
      <c r="O416" s="30"/>
      <c r="P416" s="30"/>
      <c r="Q416" s="27" t="n">
        <v>1</v>
      </c>
      <c r="R416" s="27" t="n">
        <v>1</v>
      </c>
      <c r="S416" s="27" t="n">
        <v>1</v>
      </c>
      <c r="T416" s="27" t="n">
        <v>1</v>
      </c>
      <c r="U416" s="30"/>
      <c r="V416" s="30"/>
      <c r="W416" s="30"/>
      <c r="X416" s="30"/>
      <c r="Y416" s="30"/>
      <c r="Z416" s="27" t="s">
        <v>3836</v>
      </c>
      <c r="AA416" s="9" t="s">
        <v>3880</v>
      </c>
      <c r="AB416" s="27" t="s">
        <v>86</v>
      </c>
      <c r="AC416" s="23" t="s">
        <v>197</v>
      </c>
    </row>
    <row r="417" customFormat="false" ht="19.5" hidden="false" customHeight="true" outlineLevel="0" collapsed="false">
      <c r="A417" s="25" t="s">
        <v>4248</v>
      </c>
      <c r="B417" s="25" t="s">
        <v>266</v>
      </c>
      <c r="C417" s="12" t="s">
        <v>267</v>
      </c>
      <c r="D417" s="12" t="s">
        <v>269</v>
      </c>
      <c r="E417" s="12" t="s">
        <v>270</v>
      </c>
      <c r="F417" s="25" t="s">
        <v>764</v>
      </c>
      <c r="G417" s="25" t="n">
        <v>2020</v>
      </c>
      <c r="H417" s="25" t="n">
        <v>5</v>
      </c>
      <c r="I417" s="25" t="s">
        <v>3879</v>
      </c>
      <c r="J417" s="18" t="n">
        <v>1</v>
      </c>
      <c r="K417" s="14" t="n">
        <v>5.88</v>
      </c>
      <c r="L417" s="29"/>
      <c r="M417" s="29"/>
      <c r="N417" s="29"/>
      <c r="O417" s="29"/>
      <c r="P417" s="14" t="n">
        <v>5.6</v>
      </c>
      <c r="Q417" s="25" t="n">
        <v>1</v>
      </c>
      <c r="R417" s="25" t="n">
        <v>1</v>
      </c>
      <c r="S417" s="25" t="n">
        <v>1</v>
      </c>
      <c r="T417" s="25" t="n">
        <v>1</v>
      </c>
      <c r="U417" s="29"/>
      <c r="V417" s="29"/>
      <c r="W417" s="29"/>
      <c r="X417" s="29"/>
      <c r="Y417" s="29"/>
      <c r="Z417" s="25" t="s">
        <v>3836</v>
      </c>
      <c r="AA417" s="12" t="s">
        <v>3880</v>
      </c>
      <c r="AB417" s="25" t="s">
        <v>86</v>
      </c>
      <c r="AC417" s="22" t="s">
        <v>664</v>
      </c>
    </row>
    <row r="418" customFormat="false" ht="19.5" hidden="false" customHeight="true" outlineLevel="0" collapsed="false">
      <c r="A418" s="27" t="s">
        <v>4249</v>
      </c>
      <c r="B418" s="27" t="s">
        <v>266</v>
      </c>
      <c r="C418" s="9" t="s">
        <v>267</v>
      </c>
      <c r="D418" s="9" t="s">
        <v>269</v>
      </c>
      <c r="E418" s="9" t="s">
        <v>270</v>
      </c>
      <c r="F418" s="27" t="s">
        <v>777</v>
      </c>
      <c r="G418" s="27" t="n">
        <v>2020</v>
      </c>
      <c r="H418" s="27" t="n">
        <v>5</v>
      </c>
      <c r="I418" s="27" t="s">
        <v>3879</v>
      </c>
      <c r="J418" s="20" t="n">
        <v>1</v>
      </c>
      <c r="K418" s="11" t="n">
        <v>5.6</v>
      </c>
      <c r="L418" s="30"/>
      <c r="M418" s="11" t="n">
        <v>5.88</v>
      </c>
      <c r="N418" s="30"/>
      <c r="O418" s="31" t="n">
        <v>-0.28</v>
      </c>
      <c r="P418" s="11" t="n">
        <v>4.8</v>
      </c>
      <c r="Q418" s="27" t="n">
        <v>1</v>
      </c>
      <c r="R418" s="27" t="n">
        <v>1</v>
      </c>
      <c r="S418" s="27" t="n">
        <v>1</v>
      </c>
      <c r="T418" s="27" t="n">
        <v>1</v>
      </c>
      <c r="U418" s="30"/>
      <c r="V418" s="30"/>
      <c r="W418" s="30"/>
      <c r="X418" s="30"/>
      <c r="Y418" s="30"/>
      <c r="Z418" s="27" t="s">
        <v>3836</v>
      </c>
      <c r="AA418" s="9" t="s">
        <v>3880</v>
      </c>
      <c r="AB418" s="27" t="s">
        <v>86</v>
      </c>
      <c r="AC418" s="23" t="s">
        <v>681</v>
      </c>
    </row>
    <row r="419" customFormat="false" ht="19.5" hidden="false" customHeight="true" outlineLevel="0" collapsed="false">
      <c r="A419" s="25" t="s">
        <v>4250</v>
      </c>
      <c r="B419" s="25" t="s">
        <v>266</v>
      </c>
      <c r="C419" s="12" t="s">
        <v>267</v>
      </c>
      <c r="D419" s="12" t="s">
        <v>269</v>
      </c>
      <c r="E419" s="12" t="s">
        <v>270</v>
      </c>
      <c r="F419" s="25" t="s">
        <v>790</v>
      </c>
      <c r="G419" s="25" t="n">
        <v>2020</v>
      </c>
      <c r="H419" s="25" t="n">
        <v>5</v>
      </c>
      <c r="I419" s="25" t="s">
        <v>3879</v>
      </c>
      <c r="J419" s="18" t="n">
        <v>1</v>
      </c>
      <c r="K419" s="14" t="n">
        <v>4.8</v>
      </c>
      <c r="L419" s="29"/>
      <c r="M419" s="14" t="n">
        <v>5.6</v>
      </c>
      <c r="N419" s="14" t="n">
        <v>5.88</v>
      </c>
      <c r="O419" s="32" t="n">
        <v>-0.8</v>
      </c>
      <c r="P419" s="14" t="n">
        <v>3.7</v>
      </c>
      <c r="Q419" s="25" t="n">
        <v>1</v>
      </c>
      <c r="R419" s="25" t="n">
        <v>1</v>
      </c>
      <c r="S419" s="25" t="n">
        <v>1</v>
      </c>
      <c r="T419" s="25" t="n">
        <v>1</v>
      </c>
      <c r="U419" s="29"/>
      <c r="V419" s="29"/>
      <c r="W419" s="29"/>
      <c r="X419" s="29"/>
      <c r="Y419" s="29"/>
      <c r="Z419" s="25" t="s">
        <v>3836</v>
      </c>
      <c r="AA419" s="12" t="s">
        <v>3880</v>
      </c>
      <c r="AB419" s="25" t="s">
        <v>86</v>
      </c>
      <c r="AC419" s="22" t="s">
        <v>697</v>
      </c>
    </row>
    <row r="420" customFormat="false" ht="19.5" hidden="false" customHeight="true" outlineLevel="0" collapsed="false">
      <c r="A420" s="27" t="s">
        <v>4251</v>
      </c>
      <c r="B420" s="27" t="s">
        <v>266</v>
      </c>
      <c r="C420" s="9" t="s">
        <v>267</v>
      </c>
      <c r="D420" s="9" t="s">
        <v>269</v>
      </c>
      <c r="E420" s="9" t="s">
        <v>270</v>
      </c>
      <c r="F420" s="27" t="s">
        <v>803</v>
      </c>
      <c r="G420" s="27" t="n">
        <v>2020</v>
      </c>
      <c r="H420" s="27" t="n">
        <v>5</v>
      </c>
      <c r="I420" s="27" t="s">
        <v>3879</v>
      </c>
      <c r="J420" s="20" t="n">
        <v>1</v>
      </c>
      <c r="K420" s="11" t="n">
        <v>3.7</v>
      </c>
      <c r="L420" s="30"/>
      <c r="M420" s="11" t="n">
        <v>4.8</v>
      </c>
      <c r="N420" s="11" t="n">
        <v>5.6</v>
      </c>
      <c r="O420" s="31" t="n">
        <v>-1.1</v>
      </c>
      <c r="P420" s="11" t="n">
        <v>3.3</v>
      </c>
      <c r="Q420" s="27" t="n">
        <v>1</v>
      </c>
      <c r="R420" s="27" t="n">
        <v>1</v>
      </c>
      <c r="S420" s="27" t="n">
        <v>1</v>
      </c>
      <c r="T420" s="27" t="n">
        <v>1</v>
      </c>
      <c r="U420" s="30"/>
      <c r="V420" s="30"/>
      <c r="W420" s="30"/>
      <c r="X420" s="30"/>
      <c r="Y420" s="30"/>
      <c r="Z420" s="27" t="s">
        <v>3836</v>
      </c>
      <c r="AA420" s="9" t="s">
        <v>3880</v>
      </c>
      <c r="AB420" s="27" t="s">
        <v>86</v>
      </c>
      <c r="AC420" s="23" t="s">
        <v>713</v>
      </c>
    </row>
    <row r="421" customFormat="false" ht="19.5" hidden="false" customHeight="true" outlineLevel="0" collapsed="false">
      <c r="A421" s="25" t="s">
        <v>4252</v>
      </c>
      <c r="B421" s="25" t="s">
        <v>266</v>
      </c>
      <c r="C421" s="12" t="s">
        <v>267</v>
      </c>
      <c r="D421" s="12" t="s">
        <v>269</v>
      </c>
      <c r="E421" s="12" t="s">
        <v>270</v>
      </c>
      <c r="F421" s="25" t="s">
        <v>816</v>
      </c>
      <c r="G421" s="25" t="n">
        <v>2020</v>
      </c>
      <c r="H421" s="25" t="n">
        <v>5</v>
      </c>
      <c r="I421" s="25" t="s">
        <v>3879</v>
      </c>
      <c r="J421" s="18" t="n">
        <v>1</v>
      </c>
      <c r="K421" s="14" t="n">
        <v>3.3</v>
      </c>
      <c r="L421" s="29"/>
      <c r="M421" s="14" t="n">
        <v>3.7</v>
      </c>
      <c r="N421" s="14" t="n">
        <v>4.8</v>
      </c>
      <c r="O421" s="32" t="n">
        <v>-0.4</v>
      </c>
      <c r="P421" s="29"/>
      <c r="Q421" s="25" t="n">
        <v>1</v>
      </c>
      <c r="R421" s="25" t="n">
        <v>1</v>
      </c>
      <c r="S421" s="25" t="n">
        <v>1</v>
      </c>
      <c r="T421" s="25" t="n">
        <v>1</v>
      </c>
      <c r="U421" s="29"/>
      <c r="V421" s="29"/>
      <c r="W421" s="29"/>
      <c r="X421" s="29"/>
      <c r="Y421" s="29"/>
      <c r="Z421" s="25" t="s">
        <v>3836</v>
      </c>
      <c r="AA421" s="12" t="s">
        <v>3880</v>
      </c>
      <c r="AB421" s="25" t="s">
        <v>86</v>
      </c>
      <c r="AC421" s="22" t="s">
        <v>729</v>
      </c>
    </row>
    <row r="422" customFormat="false" ht="19.5" hidden="false" customHeight="true" outlineLevel="0" collapsed="false">
      <c r="A422" s="27" t="s">
        <v>4253</v>
      </c>
      <c r="B422" s="27" t="s">
        <v>266</v>
      </c>
      <c r="C422" s="9" t="s">
        <v>267</v>
      </c>
      <c r="D422" s="9" t="s">
        <v>269</v>
      </c>
      <c r="E422" s="9" t="s">
        <v>270</v>
      </c>
      <c r="F422" s="27" t="s">
        <v>830</v>
      </c>
      <c r="G422" s="27" t="n">
        <v>2024</v>
      </c>
      <c r="H422" s="27" t="n">
        <v>2</v>
      </c>
      <c r="I422" s="27" t="s">
        <v>3879</v>
      </c>
      <c r="J422" s="20" t="n">
        <v>1</v>
      </c>
      <c r="K422" s="11" t="n">
        <v>2</v>
      </c>
      <c r="L422" s="30"/>
      <c r="M422" s="30"/>
      <c r="N422" s="30"/>
      <c r="O422" s="30"/>
      <c r="P422" s="30"/>
      <c r="Q422" s="27" t="n">
        <v>1</v>
      </c>
      <c r="R422" s="27" t="n">
        <v>1</v>
      </c>
      <c r="S422" s="27" t="n">
        <v>1</v>
      </c>
      <c r="T422" s="27" t="n">
        <v>0</v>
      </c>
      <c r="U422" s="30"/>
      <c r="V422" s="30"/>
      <c r="W422" s="30"/>
      <c r="X422" s="30"/>
      <c r="Y422" s="30"/>
      <c r="Z422" s="27" t="s">
        <v>3836</v>
      </c>
      <c r="AA422" s="9" t="s">
        <v>4140</v>
      </c>
      <c r="AB422" s="27" t="s">
        <v>113</v>
      </c>
      <c r="AC422" s="23" t="s">
        <v>832</v>
      </c>
    </row>
    <row r="423" customFormat="false" ht="19.5" hidden="false" customHeight="true" outlineLevel="0" collapsed="false">
      <c r="A423" s="25" t="s">
        <v>4254</v>
      </c>
      <c r="B423" s="25" t="s">
        <v>266</v>
      </c>
      <c r="C423" s="12" t="s">
        <v>267</v>
      </c>
      <c r="D423" s="12" t="s">
        <v>269</v>
      </c>
      <c r="E423" s="12" t="s">
        <v>270</v>
      </c>
      <c r="F423" s="25" t="s">
        <v>848</v>
      </c>
      <c r="G423" s="25" t="n">
        <v>2024</v>
      </c>
      <c r="H423" s="25" t="n">
        <v>3</v>
      </c>
      <c r="I423" s="25" t="s">
        <v>3879</v>
      </c>
      <c r="J423" s="18" t="n">
        <v>1</v>
      </c>
      <c r="K423" s="14" t="n">
        <v>2.86</v>
      </c>
      <c r="L423" s="29"/>
      <c r="M423" s="29"/>
      <c r="N423" s="29"/>
      <c r="O423" s="29"/>
      <c r="P423" s="29"/>
      <c r="Q423" s="25" t="n">
        <v>1</v>
      </c>
      <c r="R423" s="25" t="n">
        <v>1</v>
      </c>
      <c r="S423" s="25" t="n">
        <v>1</v>
      </c>
      <c r="T423" s="25" t="n">
        <v>1</v>
      </c>
      <c r="U423" s="29"/>
      <c r="V423" s="29"/>
      <c r="W423" s="29"/>
      <c r="X423" s="29"/>
      <c r="Y423" s="29"/>
      <c r="Z423" s="25" t="s">
        <v>2891</v>
      </c>
      <c r="AA423" s="12" t="s">
        <v>4140</v>
      </c>
      <c r="AB423" s="25" t="s">
        <v>113</v>
      </c>
      <c r="AC423" s="22" t="s">
        <v>849</v>
      </c>
    </row>
    <row r="424" customFormat="false" ht="19.5" hidden="false" customHeight="true" outlineLevel="0" collapsed="false">
      <c r="A424" s="27" t="s">
        <v>4255</v>
      </c>
      <c r="B424" s="27" t="s">
        <v>266</v>
      </c>
      <c r="C424" s="9" t="s">
        <v>267</v>
      </c>
      <c r="D424" s="9" t="s">
        <v>269</v>
      </c>
      <c r="E424" s="9" t="s">
        <v>270</v>
      </c>
      <c r="F424" s="27" t="s">
        <v>895</v>
      </c>
      <c r="G424" s="27" t="n">
        <v>2024</v>
      </c>
      <c r="H424" s="27" t="n">
        <v>3</v>
      </c>
      <c r="I424" s="27" t="s">
        <v>3879</v>
      </c>
      <c r="J424" s="20" t="n">
        <v>1</v>
      </c>
      <c r="K424" s="11" t="n">
        <v>6.8</v>
      </c>
      <c r="L424" s="30"/>
      <c r="M424" s="11" t="n">
        <v>2.86</v>
      </c>
      <c r="N424" s="30"/>
      <c r="O424" s="31" t="n">
        <v>3.94</v>
      </c>
      <c r="P424" s="30"/>
      <c r="Q424" s="27" t="n">
        <v>1</v>
      </c>
      <c r="R424" s="27" t="n">
        <v>1</v>
      </c>
      <c r="S424" s="27" t="n">
        <v>1</v>
      </c>
      <c r="T424" s="27" t="n">
        <v>1</v>
      </c>
      <c r="U424" s="30"/>
      <c r="V424" s="30"/>
      <c r="W424" s="30"/>
      <c r="X424" s="30"/>
      <c r="Y424" s="30"/>
      <c r="Z424" s="27" t="s">
        <v>2897</v>
      </c>
      <c r="AA424" s="9" t="s">
        <v>4140</v>
      </c>
      <c r="AB424" s="27" t="s">
        <v>113</v>
      </c>
      <c r="AC424" s="23" t="s">
        <v>896</v>
      </c>
    </row>
    <row r="425" customFormat="false" ht="19.5" hidden="false" customHeight="true" outlineLevel="0" collapsed="false">
      <c r="A425" s="25" t="s">
        <v>4256</v>
      </c>
      <c r="B425" s="25" t="s">
        <v>266</v>
      </c>
      <c r="C425" s="12" t="s">
        <v>267</v>
      </c>
      <c r="D425" s="12" t="s">
        <v>269</v>
      </c>
      <c r="E425" s="12" t="s">
        <v>270</v>
      </c>
      <c r="F425" s="25" t="s">
        <v>913</v>
      </c>
      <c r="G425" s="25" t="n">
        <v>2024</v>
      </c>
      <c r="H425" s="25" t="n">
        <v>5</v>
      </c>
      <c r="I425" s="25" t="s">
        <v>3879</v>
      </c>
      <c r="J425" s="18" t="n">
        <v>1</v>
      </c>
      <c r="K425" s="14" t="n">
        <v>3.3</v>
      </c>
      <c r="L425" s="29"/>
      <c r="M425" s="29"/>
      <c r="N425" s="29"/>
      <c r="O425" s="29"/>
      <c r="P425" s="29"/>
      <c r="Q425" s="25" t="n">
        <v>1</v>
      </c>
      <c r="R425" s="25" t="n">
        <v>1</v>
      </c>
      <c r="S425" s="25" t="n">
        <v>1</v>
      </c>
      <c r="T425" s="25" t="n">
        <v>1</v>
      </c>
      <c r="U425" s="29"/>
      <c r="V425" s="29"/>
      <c r="W425" s="29"/>
      <c r="X425" s="29"/>
      <c r="Y425" s="29"/>
      <c r="Z425" s="25" t="s">
        <v>2908</v>
      </c>
      <c r="AA425" s="12" t="s">
        <v>4140</v>
      </c>
      <c r="AB425" s="25" t="s">
        <v>113</v>
      </c>
      <c r="AC425" s="22" t="s">
        <v>914</v>
      </c>
    </row>
    <row r="426" customFormat="false" ht="19.5" hidden="false" customHeight="true" outlineLevel="0" collapsed="false">
      <c r="A426" s="27" t="s">
        <v>4257</v>
      </c>
      <c r="B426" s="27" t="s">
        <v>266</v>
      </c>
      <c r="C426" s="9" t="s">
        <v>267</v>
      </c>
      <c r="D426" s="9" t="s">
        <v>269</v>
      </c>
      <c r="E426" s="9" t="s">
        <v>270</v>
      </c>
      <c r="F426" s="27" t="s">
        <v>931</v>
      </c>
      <c r="G426" s="27" t="n">
        <v>2024</v>
      </c>
      <c r="H426" s="27" t="n">
        <v>5</v>
      </c>
      <c r="I426" s="27" t="s">
        <v>3879</v>
      </c>
      <c r="J426" s="20" t="n">
        <v>1</v>
      </c>
      <c r="K426" s="11" t="n">
        <v>2.5</v>
      </c>
      <c r="L426" s="30"/>
      <c r="M426" s="11" t="n">
        <v>3.3</v>
      </c>
      <c r="N426" s="30"/>
      <c r="O426" s="31" t="n">
        <v>-0.8</v>
      </c>
      <c r="P426" s="30"/>
      <c r="Q426" s="27" t="n">
        <v>1</v>
      </c>
      <c r="R426" s="27" t="n">
        <v>1</v>
      </c>
      <c r="S426" s="27" t="n">
        <v>1</v>
      </c>
      <c r="T426" s="27" t="n">
        <v>1</v>
      </c>
      <c r="U426" s="30"/>
      <c r="V426" s="30"/>
      <c r="W426" s="30"/>
      <c r="X426" s="30"/>
      <c r="Y426" s="30"/>
      <c r="Z426" s="27" t="s">
        <v>3836</v>
      </c>
      <c r="AA426" s="9" t="s">
        <v>4140</v>
      </c>
      <c r="AB426" s="27" t="s">
        <v>113</v>
      </c>
      <c r="AC426" s="23" t="s">
        <v>932</v>
      </c>
    </row>
    <row r="427" customFormat="false" ht="19.5" hidden="false" customHeight="true" outlineLevel="0" collapsed="false">
      <c r="A427" s="25" t="s">
        <v>4258</v>
      </c>
      <c r="B427" s="25" t="s">
        <v>266</v>
      </c>
      <c r="C427" s="12" t="s">
        <v>267</v>
      </c>
      <c r="D427" s="12" t="s">
        <v>269</v>
      </c>
      <c r="E427" s="12" t="s">
        <v>270</v>
      </c>
      <c r="F427" s="25" t="s">
        <v>949</v>
      </c>
      <c r="G427" s="25" t="n">
        <v>2024</v>
      </c>
      <c r="H427" s="25" t="n">
        <v>5</v>
      </c>
      <c r="I427" s="25" t="s">
        <v>3879</v>
      </c>
      <c r="J427" s="18" t="n">
        <v>1</v>
      </c>
      <c r="K427" s="14" t="n">
        <v>0.52</v>
      </c>
      <c r="L427" s="29"/>
      <c r="M427" s="14" t="n">
        <v>2.5</v>
      </c>
      <c r="N427" s="29"/>
      <c r="O427" s="32" t="n">
        <v>-1.98</v>
      </c>
      <c r="P427" s="29"/>
      <c r="Q427" s="25" t="n">
        <v>1</v>
      </c>
      <c r="R427" s="25" t="n">
        <v>0</v>
      </c>
      <c r="S427" s="25" t="n">
        <v>0</v>
      </c>
      <c r="T427" s="25" t="n">
        <v>0</v>
      </c>
      <c r="U427" s="29"/>
      <c r="V427" s="29"/>
      <c r="W427" s="29"/>
      <c r="X427" s="29"/>
      <c r="Y427" s="29"/>
      <c r="Z427" s="25" t="s">
        <v>2913</v>
      </c>
      <c r="AA427" s="12" t="s">
        <v>4140</v>
      </c>
      <c r="AB427" s="25" t="s">
        <v>113</v>
      </c>
      <c r="AC427" s="22" t="s">
        <v>950</v>
      </c>
    </row>
    <row r="428" customFormat="false" ht="19.5" hidden="false" customHeight="true" outlineLevel="0" collapsed="false">
      <c r="A428" s="27" t="s">
        <v>4259</v>
      </c>
      <c r="B428" s="27" t="s">
        <v>266</v>
      </c>
      <c r="C428" s="9" t="s">
        <v>267</v>
      </c>
      <c r="D428" s="9" t="s">
        <v>269</v>
      </c>
      <c r="E428" s="9" t="s">
        <v>270</v>
      </c>
      <c r="F428" s="27" t="s">
        <v>963</v>
      </c>
      <c r="G428" s="27" t="n">
        <v>2024</v>
      </c>
      <c r="H428" s="27" t="n">
        <v>12</v>
      </c>
      <c r="I428" s="27" t="s">
        <v>3879</v>
      </c>
      <c r="J428" s="20" t="n">
        <v>1</v>
      </c>
      <c r="K428" s="11" t="n">
        <v>0.64</v>
      </c>
      <c r="L428" s="30"/>
      <c r="M428" s="30"/>
      <c r="N428" s="30"/>
      <c r="O428" s="30"/>
      <c r="P428" s="30"/>
      <c r="Q428" s="27" t="n">
        <v>1</v>
      </c>
      <c r="R428" s="27" t="n">
        <v>0</v>
      </c>
      <c r="S428" s="27" t="n">
        <v>0</v>
      </c>
      <c r="T428" s="27" t="n">
        <v>0</v>
      </c>
      <c r="U428" s="30"/>
      <c r="V428" s="30"/>
      <c r="W428" s="30"/>
      <c r="X428" s="30"/>
      <c r="Y428" s="30"/>
      <c r="Z428" s="27" t="s">
        <v>3836</v>
      </c>
      <c r="AA428" s="9" t="s">
        <v>4140</v>
      </c>
      <c r="AB428" s="27" t="s">
        <v>113</v>
      </c>
      <c r="AC428" s="23" t="s">
        <v>964</v>
      </c>
    </row>
    <row r="429" customFormat="false" ht="19.5" hidden="false" customHeight="true" outlineLevel="0" collapsed="false">
      <c r="A429" s="25" t="s">
        <v>4260</v>
      </c>
      <c r="B429" s="25" t="s">
        <v>266</v>
      </c>
      <c r="C429" s="12" t="s">
        <v>267</v>
      </c>
      <c r="D429" s="12" t="s">
        <v>269</v>
      </c>
      <c r="E429" s="12" t="s">
        <v>270</v>
      </c>
      <c r="F429" s="25" t="s">
        <v>967</v>
      </c>
      <c r="G429" s="25" t="n">
        <v>2025</v>
      </c>
      <c r="H429" s="25" t="n">
        <v>2</v>
      </c>
      <c r="I429" s="25" t="s">
        <v>3879</v>
      </c>
      <c r="J429" s="18" t="n">
        <v>1</v>
      </c>
      <c r="K429" s="14" t="n">
        <v>0.06</v>
      </c>
      <c r="L429" s="29"/>
      <c r="M429" s="29"/>
      <c r="N429" s="29"/>
      <c r="O429" s="29"/>
      <c r="P429" s="29"/>
      <c r="Q429" s="25" t="n">
        <v>0</v>
      </c>
      <c r="R429" s="25" t="n">
        <v>0</v>
      </c>
      <c r="S429" s="25" t="n">
        <v>0</v>
      </c>
      <c r="T429" s="25" t="n">
        <v>0</v>
      </c>
      <c r="U429" s="29"/>
      <c r="V429" s="29"/>
      <c r="W429" s="29"/>
      <c r="X429" s="29"/>
      <c r="Y429" s="29"/>
      <c r="Z429" s="25" t="s">
        <v>3836</v>
      </c>
      <c r="AA429" s="12" t="s">
        <v>3887</v>
      </c>
      <c r="AB429" s="25" t="s">
        <v>113</v>
      </c>
      <c r="AC429" s="22" t="s">
        <v>968</v>
      </c>
    </row>
    <row r="430" customFormat="false" ht="19.5" hidden="false" customHeight="true" outlineLevel="0" collapsed="false">
      <c r="A430" s="27" t="s">
        <v>4261</v>
      </c>
      <c r="B430" s="27" t="s">
        <v>266</v>
      </c>
      <c r="C430" s="9" t="s">
        <v>267</v>
      </c>
      <c r="D430" s="9" t="s">
        <v>269</v>
      </c>
      <c r="E430" s="9" t="s">
        <v>270</v>
      </c>
      <c r="F430" s="27" t="s">
        <v>975</v>
      </c>
      <c r="G430" s="27" t="n">
        <v>2025</v>
      </c>
      <c r="H430" s="27" t="n">
        <v>2</v>
      </c>
      <c r="I430" s="27" t="s">
        <v>3879</v>
      </c>
      <c r="J430" s="20" t="n">
        <v>1</v>
      </c>
      <c r="K430" s="11" t="n">
        <v>1.8</v>
      </c>
      <c r="L430" s="30"/>
      <c r="M430" s="30"/>
      <c r="N430" s="30"/>
      <c r="O430" s="30"/>
      <c r="P430" s="30"/>
      <c r="Q430" s="27" t="n">
        <v>1</v>
      </c>
      <c r="R430" s="27" t="n">
        <v>1</v>
      </c>
      <c r="S430" s="27" t="n">
        <v>1</v>
      </c>
      <c r="T430" s="27" t="n">
        <v>0</v>
      </c>
      <c r="U430" s="30"/>
      <c r="V430" s="30"/>
      <c r="W430" s="30"/>
      <c r="X430" s="30"/>
      <c r="Y430" s="30"/>
      <c r="Z430" s="27" t="s">
        <v>3836</v>
      </c>
      <c r="AA430" s="9" t="s">
        <v>3887</v>
      </c>
      <c r="AB430" s="27" t="s">
        <v>86</v>
      </c>
      <c r="AC430" s="23" t="s">
        <v>197</v>
      </c>
    </row>
    <row r="431" customFormat="false" ht="19.5" hidden="false" customHeight="true" outlineLevel="0" collapsed="false">
      <c r="A431" s="25" t="s">
        <v>4262</v>
      </c>
      <c r="B431" s="25" t="s">
        <v>266</v>
      </c>
      <c r="C431" s="12" t="s">
        <v>267</v>
      </c>
      <c r="D431" s="12" t="s">
        <v>269</v>
      </c>
      <c r="E431" s="12" t="s">
        <v>270</v>
      </c>
      <c r="F431" s="25" t="s">
        <v>1009</v>
      </c>
      <c r="G431" s="25" t="n">
        <v>2025</v>
      </c>
      <c r="H431" s="25" t="n">
        <v>2</v>
      </c>
      <c r="I431" s="25" t="s">
        <v>3879</v>
      </c>
      <c r="J431" s="18" t="n">
        <v>1</v>
      </c>
      <c r="K431" s="14" t="n">
        <v>1.58</v>
      </c>
      <c r="L431" s="29"/>
      <c r="M431" s="29"/>
      <c r="N431" s="29"/>
      <c r="O431" s="29"/>
      <c r="P431" s="29"/>
      <c r="Q431" s="25" t="n">
        <v>1</v>
      </c>
      <c r="R431" s="25" t="n">
        <v>1</v>
      </c>
      <c r="S431" s="25" t="n">
        <v>1</v>
      </c>
      <c r="T431" s="25" t="n">
        <v>0</v>
      </c>
      <c r="U431" s="29"/>
      <c r="V431" s="29"/>
      <c r="W431" s="29"/>
      <c r="X431" s="29"/>
      <c r="Y431" s="29"/>
      <c r="Z431" s="25" t="s">
        <v>3836</v>
      </c>
      <c r="AA431" s="12" t="s">
        <v>3887</v>
      </c>
      <c r="AB431" s="25" t="s">
        <v>113</v>
      </c>
      <c r="AC431" s="22" t="s">
        <v>1010</v>
      </c>
    </row>
    <row r="432" customFormat="false" ht="19.5" hidden="false" customHeight="true" outlineLevel="0" collapsed="false">
      <c r="A432" s="27" t="s">
        <v>4263</v>
      </c>
      <c r="B432" s="27" t="s">
        <v>266</v>
      </c>
      <c r="C432" s="9" t="s">
        <v>267</v>
      </c>
      <c r="D432" s="9" t="s">
        <v>269</v>
      </c>
      <c r="E432" s="9" t="s">
        <v>270</v>
      </c>
      <c r="F432" s="27" t="s">
        <v>1031</v>
      </c>
      <c r="G432" s="27" t="n">
        <v>2025</v>
      </c>
      <c r="H432" s="27" t="n">
        <v>3</v>
      </c>
      <c r="I432" s="27" t="s">
        <v>3879</v>
      </c>
      <c r="J432" s="20" t="n">
        <v>1</v>
      </c>
      <c r="K432" s="11" t="n">
        <v>1.12</v>
      </c>
      <c r="L432" s="30"/>
      <c r="M432" s="11" t="n">
        <v>1.58</v>
      </c>
      <c r="N432" s="30"/>
      <c r="O432" s="31" t="n">
        <v>-0.46</v>
      </c>
      <c r="P432" s="30"/>
      <c r="Q432" s="27" t="n">
        <v>1</v>
      </c>
      <c r="R432" s="27" t="n">
        <v>1</v>
      </c>
      <c r="S432" s="27" t="n">
        <v>1</v>
      </c>
      <c r="T432" s="27" t="n">
        <v>0</v>
      </c>
      <c r="U432" s="30"/>
      <c r="V432" s="30"/>
      <c r="W432" s="30"/>
      <c r="X432" s="30"/>
      <c r="Y432" s="30"/>
      <c r="Z432" s="27" t="s">
        <v>2891</v>
      </c>
      <c r="AA432" s="9" t="s">
        <v>3887</v>
      </c>
      <c r="AB432" s="27" t="s">
        <v>113</v>
      </c>
      <c r="AC432" s="23" t="s">
        <v>1032</v>
      </c>
    </row>
    <row r="433" customFormat="false" ht="19.5" hidden="false" customHeight="true" outlineLevel="0" collapsed="false">
      <c r="A433" s="25" t="s">
        <v>4264</v>
      </c>
      <c r="B433" s="25" t="s">
        <v>266</v>
      </c>
      <c r="C433" s="12" t="s">
        <v>267</v>
      </c>
      <c r="D433" s="12" t="s">
        <v>269</v>
      </c>
      <c r="E433" s="12" t="s">
        <v>270</v>
      </c>
      <c r="F433" s="25" t="s">
        <v>1051</v>
      </c>
      <c r="G433" s="25" t="n">
        <v>2025</v>
      </c>
      <c r="H433" s="25" t="n">
        <v>3</v>
      </c>
      <c r="I433" s="25" t="s">
        <v>3879</v>
      </c>
      <c r="J433" s="18" t="n">
        <v>1</v>
      </c>
      <c r="K433" s="14" t="n">
        <v>1.16</v>
      </c>
      <c r="L433" s="29"/>
      <c r="M433" s="14" t="n">
        <v>1.12</v>
      </c>
      <c r="N433" s="29"/>
      <c r="O433" s="32" t="n">
        <v>0.04</v>
      </c>
      <c r="P433" s="29"/>
      <c r="Q433" s="25" t="n">
        <v>1</v>
      </c>
      <c r="R433" s="25" t="n">
        <v>1</v>
      </c>
      <c r="S433" s="25" t="n">
        <v>1</v>
      </c>
      <c r="T433" s="25" t="n">
        <v>0</v>
      </c>
      <c r="U433" s="29"/>
      <c r="V433" s="29"/>
      <c r="W433" s="29"/>
      <c r="X433" s="29"/>
      <c r="Y433" s="29"/>
      <c r="Z433" s="25" t="s">
        <v>3836</v>
      </c>
      <c r="AA433" s="12" t="s">
        <v>3887</v>
      </c>
      <c r="AB433" s="25" t="s">
        <v>113</v>
      </c>
      <c r="AC433" s="22" t="s">
        <v>1052</v>
      </c>
    </row>
    <row r="434" customFormat="false" ht="19.5" hidden="false" customHeight="true" outlineLevel="0" collapsed="false">
      <c r="A434" s="27" t="s">
        <v>4265</v>
      </c>
      <c r="B434" s="27" t="s">
        <v>266</v>
      </c>
      <c r="C434" s="9" t="s">
        <v>267</v>
      </c>
      <c r="D434" s="9" t="s">
        <v>269</v>
      </c>
      <c r="E434" s="9" t="s">
        <v>270</v>
      </c>
      <c r="F434" s="27" t="s">
        <v>1070</v>
      </c>
      <c r="G434" s="27" t="n">
        <v>2025</v>
      </c>
      <c r="H434" s="27" t="n">
        <v>3</v>
      </c>
      <c r="I434" s="27" t="s">
        <v>3879</v>
      </c>
      <c r="J434" s="20" t="n">
        <v>1</v>
      </c>
      <c r="K434" s="11" t="n">
        <v>0.14</v>
      </c>
      <c r="L434" s="30"/>
      <c r="M434" s="11" t="n">
        <v>1.16</v>
      </c>
      <c r="N434" s="30"/>
      <c r="O434" s="31" t="n">
        <v>-1.02</v>
      </c>
      <c r="P434" s="30"/>
      <c r="Q434" s="27" t="n">
        <v>0</v>
      </c>
      <c r="R434" s="27" t="n">
        <v>0</v>
      </c>
      <c r="S434" s="27" t="n">
        <v>0</v>
      </c>
      <c r="T434" s="27" t="n">
        <v>0</v>
      </c>
      <c r="U434" s="30"/>
      <c r="V434" s="30"/>
      <c r="W434" s="30"/>
      <c r="X434" s="11" t="n">
        <v>0.5</v>
      </c>
      <c r="Y434" s="30"/>
      <c r="Z434" s="27" t="s">
        <v>2913</v>
      </c>
      <c r="AA434" s="9" t="s">
        <v>3887</v>
      </c>
      <c r="AB434" s="27" t="s">
        <v>113</v>
      </c>
      <c r="AC434" s="23" t="s">
        <v>1071</v>
      </c>
    </row>
    <row r="435" customFormat="false" ht="19.5" hidden="false" customHeight="true" outlineLevel="0" collapsed="false">
      <c r="A435" s="25" t="s">
        <v>4266</v>
      </c>
      <c r="B435" s="25" t="s">
        <v>266</v>
      </c>
      <c r="C435" s="12" t="s">
        <v>267</v>
      </c>
      <c r="D435" s="12" t="s">
        <v>269</v>
      </c>
      <c r="E435" s="12" t="s">
        <v>270</v>
      </c>
      <c r="F435" s="25" t="s">
        <v>1078</v>
      </c>
      <c r="G435" s="25" t="n">
        <v>2025</v>
      </c>
      <c r="H435" s="25" t="n">
        <v>4</v>
      </c>
      <c r="I435" s="25" t="s">
        <v>3879</v>
      </c>
      <c r="J435" s="18" t="n">
        <v>1</v>
      </c>
      <c r="K435" s="14" t="n">
        <v>1.81</v>
      </c>
      <c r="L435" s="29"/>
      <c r="M435" s="14" t="n">
        <v>0.14</v>
      </c>
      <c r="N435" s="29"/>
      <c r="O435" s="32" t="n">
        <v>1.67</v>
      </c>
      <c r="P435" s="29"/>
      <c r="Q435" s="25" t="n">
        <v>1</v>
      </c>
      <c r="R435" s="25" t="n">
        <v>1</v>
      </c>
      <c r="S435" s="25" t="n">
        <v>1</v>
      </c>
      <c r="T435" s="25" t="n">
        <v>0</v>
      </c>
      <c r="U435" s="29"/>
      <c r="V435" s="29"/>
      <c r="W435" s="29"/>
      <c r="X435" s="14" t="n">
        <v>0.53</v>
      </c>
      <c r="Y435" s="29"/>
      <c r="Z435" s="25" t="s">
        <v>2931</v>
      </c>
      <c r="AA435" s="12" t="s">
        <v>3887</v>
      </c>
      <c r="AB435" s="25" t="s">
        <v>113</v>
      </c>
      <c r="AC435" s="22" t="s">
        <v>1079</v>
      </c>
    </row>
    <row r="436" customFormat="false" ht="19.5" hidden="false" customHeight="true" outlineLevel="0" collapsed="false">
      <c r="A436" s="27" t="s">
        <v>4267</v>
      </c>
      <c r="B436" s="27" t="s">
        <v>266</v>
      </c>
      <c r="C436" s="9" t="s">
        <v>267</v>
      </c>
      <c r="D436" s="9" t="s">
        <v>269</v>
      </c>
      <c r="E436" s="9" t="s">
        <v>270</v>
      </c>
      <c r="F436" s="27" t="s">
        <v>1102</v>
      </c>
      <c r="G436" s="27" t="n">
        <v>2025</v>
      </c>
      <c r="H436" s="27" t="n">
        <v>5</v>
      </c>
      <c r="I436" s="27" t="s">
        <v>3879</v>
      </c>
      <c r="J436" s="20" t="n">
        <v>1</v>
      </c>
      <c r="K436" s="11" t="n">
        <v>0.16</v>
      </c>
      <c r="L436" s="30"/>
      <c r="M436" s="30"/>
      <c r="N436" s="30"/>
      <c r="O436" s="30"/>
      <c r="P436" s="11" t="n">
        <v>0.14</v>
      </c>
      <c r="Q436" s="27" t="n">
        <v>0</v>
      </c>
      <c r="R436" s="27" t="n">
        <v>0</v>
      </c>
      <c r="S436" s="27" t="n">
        <v>0</v>
      </c>
      <c r="T436" s="27" t="n">
        <v>0</v>
      </c>
      <c r="U436" s="30"/>
      <c r="V436" s="30"/>
      <c r="W436" s="30"/>
      <c r="X436" s="30"/>
      <c r="Y436" s="30"/>
      <c r="Z436" s="27" t="s">
        <v>3836</v>
      </c>
      <c r="AA436" s="9" t="s">
        <v>3887</v>
      </c>
      <c r="AB436" s="27" t="s">
        <v>86</v>
      </c>
      <c r="AC436" s="23" t="s">
        <v>664</v>
      </c>
    </row>
    <row r="437" customFormat="false" ht="19.5" hidden="false" customHeight="true" outlineLevel="0" collapsed="false">
      <c r="A437" s="25" t="s">
        <v>4268</v>
      </c>
      <c r="B437" s="25" t="s">
        <v>266</v>
      </c>
      <c r="C437" s="12" t="s">
        <v>267</v>
      </c>
      <c r="D437" s="12" t="s">
        <v>269</v>
      </c>
      <c r="E437" s="12" t="s">
        <v>270</v>
      </c>
      <c r="F437" s="25" t="s">
        <v>1117</v>
      </c>
      <c r="G437" s="25" t="n">
        <v>2025</v>
      </c>
      <c r="H437" s="25" t="n">
        <v>5</v>
      </c>
      <c r="I437" s="25" t="s">
        <v>3879</v>
      </c>
      <c r="J437" s="18" t="n">
        <v>1</v>
      </c>
      <c r="K437" s="14" t="n">
        <v>0.14</v>
      </c>
      <c r="L437" s="29"/>
      <c r="M437" s="14" t="n">
        <v>0.16</v>
      </c>
      <c r="N437" s="29"/>
      <c r="O437" s="32" t="n">
        <v>-0.02</v>
      </c>
      <c r="P437" s="14" t="n">
        <v>0.14</v>
      </c>
      <c r="Q437" s="25" t="n">
        <v>0</v>
      </c>
      <c r="R437" s="25" t="n">
        <v>0</v>
      </c>
      <c r="S437" s="25" t="n">
        <v>0</v>
      </c>
      <c r="T437" s="25" t="n">
        <v>0</v>
      </c>
      <c r="U437" s="29"/>
      <c r="V437" s="29"/>
      <c r="W437" s="29"/>
      <c r="X437" s="29"/>
      <c r="Y437" s="29"/>
      <c r="Z437" s="25" t="s">
        <v>3836</v>
      </c>
      <c r="AA437" s="12" t="s">
        <v>3887</v>
      </c>
      <c r="AB437" s="25" t="s">
        <v>86</v>
      </c>
      <c r="AC437" s="22" t="s">
        <v>681</v>
      </c>
    </row>
    <row r="438" customFormat="false" ht="19.5" hidden="false" customHeight="true" outlineLevel="0" collapsed="false">
      <c r="A438" s="27" t="s">
        <v>4269</v>
      </c>
      <c r="B438" s="27" t="s">
        <v>266</v>
      </c>
      <c r="C438" s="9" t="s">
        <v>267</v>
      </c>
      <c r="D438" s="9" t="s">
        <v>269</v>
      </c>
      <c r="E438" s="9" t="s">
        <v>270</v>
      </c>
      <c r="F438" s="27" t="s">
        <v>1132</v>
      </c>
      <c r="G438" s="27" t="n">
        <v>2025</v>
      </c>
      <c r="H438" s="27" t="n">
        <v>5</v>
      </c>
      <c r="I438" s="27" t="s">
        <v>3879</v>
      </c>
      <c r="J438" s="20" t="n">
        <v>1</v>
      </c>
      <c r="K438" s="11" t="n">
        <v>0.14</v>
      </c>
      <c r="L438" s="30"/>
      <c r="M438" s="11" t="n">
        <v>0.14</v>
      </c>
      <c r="N438" s="11" t="n">
        <v>0.16</v>
      </c>
      <c r="O438" s="31" t="n">
        <v>0</v>
      </c>
      <c r="P438" s="11" t="n">
        <v>0.2</v>
      </c>
      <c r="Q438" s="27" t="n">
        <v>0</v>
      </c>
      <c r="R438" s="27" t="n">
        <v>0</v>
      </c>
      <c r="S438" s="27" t="n">
        <v>0</v>
      </c>
      <c r="T438" s="27" t="n">
        <v>0</v>
      </c>
      <c r="U438" s="30"/>
      <c r="V438" s="30"/>
      <c r="W438" s="30"/>
      <c r="X438" s="30"/>
      <c r="Y438" s="30"/>
      <c r="Z438" s="27" t="s">
        <v>3836</v>
      </c>
      <c r="AA438" s="9" t="s">
        <v>3887</v>
      </c>
      <c r="AB438" s="27" t="s">
        <v>86</v>
      </c>
      <c r="AC438" s="23" t="s">
        <v>697</v>
      </c>
    </row>
    <row r="439" customFormat="false" ht="19.5" hidden="false" customHeight="true" outlineLevel="0" collapsed="false">
      <c r="A439" s="25" t="s">
        <v>4270</v>
      </c>
      <c r="B439" s="25" t="s">
        <v>266</v>
      </c>
      <c r="C439" s="12" t="s">
        <v>267</v>
      </c>
      <c r="D439" s="12" t="s">
        <v>269</v>
      </c>
      <c r="E439" s="12" t="s">
        <v>270</v>
      </c>
      <c r="F439" s="25" t="s">
        <v>1147</v>
      </c>
      <c r="G439" s="25" t="n">
        <v>2025</v>
      </c>
      <c r="H439" s="25" t="n">
        <v>5</v>
      </c>
      <c r="I439" s="25" t="s">
        <v>3879</v>
      </c>
      <c r="J439" s="18" t="n">
        <v>1</v>
      </c>
      <c r="K439" s="14" t="n">
        <v>0.2</v>
      </c>
      <c r="L439" s="29"/>
      <c r="M439" s="14" t="n">
        <v>0.14</v>
      </c>
      <c r="N439" s="14" t="n">
        <v>0.14</v>
      </c>
      <c r="O439" s="32" t="n">
        <v>0.06</v>
      </c>
      <c r="P439" s="14" t="n">
        <v>0.2</v>
      </c>
      <c r="Q439" s="25" t="n">
        <v>0</v>
      </c>
      <c r="R439" s="25" t="n">
        <v>0</v>
      </c>
      <c r="S439" s="25" t="n">
        <v>0</v>
      </c>
      <c r="T439" s="25" t="n">
        <v>0</v>
      </c>
      <c r="U439" s="29"/>
      <c r="V439" s="29"/>
      <c r="W439" s="29"/>
      <c r="X439" s="29"/>
      <c r="Y439" s="29"/>
      <c r="Z439" s="25" t="s">
        <v>3836</v>
      </c>
      <c r="AA439" s="12" t="s">
        <v>3887</v>
      </c>
      <c r="AB439" s="25" t="s">
        <v>86</v>
      </c>
      <c r="AC439" s="22" t="s">
        <v>713</v>
      </c>
    </row>
    <row r="440" customFormat="false" ht="19.5" hidden="false" customHeight="true" outlineLevel="0" collapsed="false">
      <c r="A440" s="27" t="s">
        <v>4271</v>
      </c>
      <c r="B440" s="27" t="s">
        <v>266</v>
      </c>
      <c r="C440" s="9" t="s">
        <v>267</v>
      </c>
      <c r="D440" s="9" t="s">
        <v>269</v>
      </c>
      <c r="E440" s="9" t="s">
        <v>270</v>
      </c>
      <c r="F440" s="27" t="s">
        <v>1162</v>
      </c>
      <c r="G440" s="27" t="n">
        <v>2025</v>
      </c>
      <c r="H440" s="27" t="n">
        <v>5</v>
      </c>
      <c r="I440" s="27" t="s">
        <v>3879</v>
      </c>
      <c r="J440" s="20" t="n">
        <v>1</v>
      </c>
      <c r="K440" s="11" t="n">
        <v>0.2</v>
      </c>
      <c r="L440" s="30"/>
      <c r="M440" s="11" t="n">
        <v>0.2</v>
      </c>
      <c r="N440" s="11" t="n">
        <v>0.14</v>
      </c>
      <c r="O440" s="31" t="n">
        <v>0</v>
      </c>
      <c r="P440" s="30"/>
      <c r="Q440" s="27" t="n">
        <v>0</v>
      </c>
      <c r="R440" s="27" t="n">
        <v>0</v>
      </c>
      <c r="S440" s="27" t="n">
        <v>0</v>
      </c>
      <c r="T440" s="27" t="n">
        <v>0</v>
      </c>
      <c r="U440" s="30"/>
      <c r="V440" s="30"/>
      <c r="W440" s="30"/>
      <c r="X440" s="30"/>
      <c r="Y440" s="30"/>
      <c r="Z440" s="27" t="s">
        <v>3836</v>
      </c>
      <c r="AA440" s="9" t="s">
        <v>3887</v>
      </c>
      <c r="AB440" s="27" t="s">
        <v>86</v>
      </c>
      <c r="AC440" s="23" t="s">
        <v>729</v>
      </c>
    </row>
    <row r="441" customFormat="false" ht="19.5" hidden="false" customHeight="true" outlineLevel="0" collapsed="false">
      <c r="A441" s="25" t="s">
        <v>4272</v>
      </c>
      <c r="B441" s="25" t="s">
        <v>266</v>
      </c>
      <c r="C441" s="12" t="s">
        <v>267</v>
      </c>
      <c r="D441" s="12" t="s">
        <v>269</v>
      </c>
      <c r="E441" s="12" t="s">
        <v>270</v>
      </c>
      <c r="F441" s="25" t="s">
        <v>1177</v>
      </c>
      <c r="G441" s="25" t="n">
        <v>2026</v>
      </c>
      <c r="H441" s="25" t="n">
        <v>2</v>
      </c>
      <c r="I441" s="25" t="s">
        <v>3879</v>
      </c>
      <c r="J441" s="18" t="n">
        <v>1</v>
      </c>
      <c r="K441" s="14" t="n">
        <v>0.68</v>
      </c>
      <c r="L441" s="29"/>
      <c r="M441" s="29"/>
      <c r="N441" s="29"/>
      <c r="O441" s="29"/>
      <c r="P441" s="14" t="n">
        <v>0</v>
      </c>
      <c r="Q441" s="25" t="n">
        <v>1</v>
      </c>
      <c r="R441" s="25" t="n">
        <v>0</v>
      </c>
      <c r="S441" s="25" t="n">
        <v>0</v>
      </c>
      <c r="T441" s="25" t="n">
        <v>0</v>
      </c>
      <c r="U441" s="29"/>
      <c r="V441" s="29"/>
      <c r="W441" s="29"/>
      <c r="X441" s="14" t="n">
        <v>0.53</v>
      </c>
      <c r="Y441" s="29"/>
      <c r="Z441" s="25" t="s">
        <v>3836</v>
      </c>
      <c r="AA441" s="12" t="s">
        <v>3894</v>
      </c>
      <c r="AB441" s="25" t="s">
        <v>86</v>
      </c>
      <c r="AC441" s="22" t="s">
        <v>197</v>
      </c>
    </row>
    <row r="442" customFormat="false" ht="19.5" hidden="false" customHeight="true" outlineLevel="0" collapsed="false">
      <c r="A442" s="27" t="s">
        <v>4273</v>
      </c>
      <c r="B442" s="27" t="s">
        <v>266</v>
      </c>
      <c r="C442" s="9" t="s">
        <v>267</v>
      </c>
      <c r="D442" s="9" t="s">
        <v>269</v>
      </c>
      <c r="E442" s="9" t="s">
        <v>270</v>
      </c>
      <c r="F442" s="27" t="s">
        <v>1194</v>
      </c>
      <c r="G442" s="27" t="n">
        <v>2026</v>
      </c>
      <c r="H442" s="27" t="n">
        <v>2</v>
      </c>
      <c r="I442" s="27" t="s">
        <v>3879</v>
      </c>
      <c r="J442" s="20" t="n">
        <v>1</v>
      </c>
      <c r="K442" s="11" t="n">
        <v>0</v>
      </c>
      <c r="L442" s="30"/>
      <c r="M442" s="11" t="n">
        <v>0.68</v>
      </c>
      <c r="N442" s="30"/>
      <c r="O442" s="31" t="n">
        <v>-0.68</v>
      </c>
      <c r="P442" s="30"/>
      <c r="Q442" s="27" t="n">
        <v>0</v>
      </c>
      <c r="R442" s="27" t="n">
        <v>0</v>
      </c>
      <c r="S442" s="27" t="n">
        <v>0</v>
      </c>
      <c r="T442" s="27" t="n">
        <v>0</v>
      </c>
      <c r="U442" s="11" t="n">
        <v>1.55</v>
      </c>
      <c r="V442" s="30"/>
      <c r="W442" s="30"/>
      <c r="X442" s="11" t="n">
        <v>0.59</v>
      </c>
      <c r="Y442" s="30"/>
      <c r="Z442" s="27" t="s">
        <v>2931</v>
      </c>
      <c r="AA442" s="9" t="s">
        <v>3894</v>
      </c>
      <c r="AB442" s="27" t="s">
        <v>86</v>
      </c>
      <c r="AC442" s="23" t="s">
        <v>197</v>
      </c>
    </row>
    <row r="443" customFormat="false" ht="19.5" hidden="false" customHeight="true" outlineLevel="0" collapsed="false">
      <c r="A443" s="25" t="s">
        <v>4274</v>
      </c>
      <c r="B443" s="25" t="s">
        <v>266</v>
      </c>
      <c r="C443" s="12" t="s">
        <v>267</v>
      </c>
      <c r="D443" s="12" t="s">
        <v>269</v>
      </c>
      <c r="E443" s="12" t="s">
        <v>270</v>
      </c>
      <c r="F443" s="25" t="s">
        <v>1222</v>
      </c>
      <c r="G443" s="25" t="n">
        <v>2026</v>
      </c>
      <c r="H443" s="25" t="n">
        <v>4</v>
      </c>
      <c r="I443" s="25" t="s">
        <v>3879</v>
      </c>
      <c r="J443" s="18" t="n">
        <v>1</v>
      </c>
      <c r="K443" s="14" t="n">
        <v>0.94</v>
      </c>
      <c r="L443" s="29"/>
      <c r="M443" s="29"/>
      <c r="N443" s="29"/>
      <c r="O443" s="29"/>
      <c r="P443" s="29"/>
      <c r="Q443" s="25" t="n">
        <v>1</v>
      </c>
      <c r="R443" s="25" t="n">
        <v>1</v>
      </c>
      <c r="S443" s="25" t="n">
        <v>0</v>
      </c>
      <c r="T443" s="25" t="n">
        <v>0</v>
      </c>
      <c r="U443" s="29"/>
      <c r="V443" s="29"/>
      <c r="W443" s="29"/>
      <c r="X443" s="29"/>
      <c r="Y443" s="29"/>
      <c r="Z443" s="25" t="s">
        <v>3836</v>
      </c>
      <c r="AA443" s="12" t="s">
        <v>3894</v>
      </c>
      <c r="AB443" s="25" t="s">
        <v>113</v>
      </c>
      <c r="AC443" s="22" t="s">
        <v>120</v>
      </c>
    </row>
    <row r="444" customFormat="false" ht="19.5" hidden="false" customHeight="true" outlineLevel="0" collapsed="false">
      <c r="A444" s="27" t="s">
        <v>4275</v>
      </c>
      <c r="B444" s="27" t="s">
        <v>266</v>
      </c>
      <c r="C444" s="9" t="s">
        <v>267</v>
      </c>
      <c r="D444" s="9" t="s">
        <v>269</v>
      </c>
      <c r="E444" s="9" t="s">
        <v>270</v>
      </c>
      <c r="F444" s="27" t="s">
        <v>1231</v>
      </c>
      <c r="G444" s="27" t="n">
        <v>2026</v>
      </c>
      <c r="H444" s="27" t="n">
        <v>5</v>
      </c>
      <c r="I444" s="27" t="s">
        <v>3879</v>
      </c>
      <c r="J444" s="20" t="n">
        <v>1</v>
      </c>
      <c r="K444" s="11" t="n">
        <v>0.23</v>
      </c>
      <c r="L444" s="30"/>
      <c r="M444" s="30"/>
      <c r="N444" s="30"/>
      <c r="O444" s="30"/>
      <c r="P444" s="11" t="n">
        <v>0.2</v>
      </c>
      <c r="Q444" s="27" t="n">
        <v>0</v>
      </c>
      <c r="R444" s="27" t="n">
        <v>0</v>
      </c>
      <c r="S444" s="27" t="n">
        <v>0</v>
      </c>
      <c r="T444" s="27" t="n">
        <v>0</v>
      </c>
      <c r="U444" s="30"/>
      <c r="V444" s="30"/>
      <c r="W444" s="30"/>
      <c r="X444" s="11" t="n">
        <v>0.425</v>
      </c>
      <c r="Y444" s="30"/>
      <c r="Z444" s="27" t="s">
        <v>2939</v>
      </c>
      <c r="AA444" s="9" t="s">
        <v>3894</v>
      </c>
      <c r="AB444" s="27" t="s">
        <v>86</v>
      </c>
      <c r="AC444" s="23" t="s">
        <v>664</v>
      </c>
    </row>
    <row r="445" customFormat="false" ht="19.5" hidden="false" customHeight="true" outlineLevel="0" collapsed="false">
      <c r="A445" s="25" t="s">
        <v>4276</v>
      </c>
      <c r="B445" s="25" t="s">
        <v>266</v>
      </c>
      <c r="C445" s="12" t="s">
        <v>267</v>
      </c>
      <c r="D445" s="12" t="s">
        <v>269</v>
      </c>
      <c r="E445" s="12" t="s">
        <v>270</v>
      </c>
      <c r="F445" s="25" t="s">
        <v>1246</v>
      </c>
      <c r="G445" s="25" t="n">
        <v>2026</v>
      </c>
      <c r="H445" s="25" t="n">
        <v>5</v>
      </c>
      <c r="I445" s="25" t="s">
        <v>3879</v>
      </c>
      <c r="J445" s="18" t="n">
        <v>1</v>
      </c>
      <c r="K445" s="14" t="n">
        <v>0.2</v>
      </c>
      <c r="L445" s="29"/>
      <c r="M445" s="14" t="n">
        <v>0.23</v>
      </c>
      <c r="N445" s="29"/>
      <c r="O445" s="32" t="n">
        <v>-0.03</v>
      </c>
      <c r="P445" s="14" t="n">
        <v>0.17</v>
      </c>
      <c r="Q445" s="25" t="n">
        <v>0</v>
      </c>
      <c r="R445" s="25" t="n">
        <v>0</v>
      </c>
      <c r="S445" s="25" t="n">
        <v>0</v>
      </c>
      <c r="T445" s="25" t="n">
        <v>0</v>
      </c>
      <c r="U445" s="29"/>
      <c r="V445" s="29"/>
      <c r="W445" s="29"/>
      <c r="X445" s="14" t="n">
        <v>0.51</v>
      </c>
      <c r="Y445" s="29"/>
      <c r="Z445" s="25" t="s">
        <v>2939</v>
      </c>
      <c r="AA445" s="12" t="s">
        <v>3894</v>
      </c>
      <c r="AB445" s="25" t="s">
        <v>86</v>
      </c>
      <c r="AC445" s="22" t="s">
        <v>664</v>
      </c>
    </row>
    <row r="446" customFormat="false" ht="19.5" hidden="false" customHeight="true" outlineLevel="0" collapsed="false">
      <c r="A446" s="27" t="s">
        <v>4277</v>
      </c>
      <c r="B446" s="27" t="s">
        <v>266</v>
      </c>
      <c r="C446" s="9" t="s">
        <v>267</v>
      </c>
      <c r="D446" s="9" t="s">
        <v>269</v>
      </c>
      <c r="E446" s="9" t="s">
        <v>270</v>
      </c>
      <c r="F446" s="27" t="s">
        <v>1261</v>
      </c>
      <c r="G446" s="27" t="n">
        <v>2026</v>
      </c>
      <c r="H446" s="27" t="n">
        <v>5</v>
      </c>
      <c r="I446" s="27" t="s">
        <v>3879</v>
      </c>
      <c r="J446" s="20" t="n">
        <v>1</v>
      </c>
      <c r="K446" s="11" t="n">
        <v>0.17</v>
      </c>
      <c r="L446" s="30"/>
      <c r="M446" s="11" t="n">
        <v>0.2</v>
      </c>
      <c r="N446" s="11" t="n">
        <v>0.23</v>
      </c>
      <c r="O446" s="31" t="n">
        <v>-0.03</v>
      </c>
      <c r="P446" s="11" t="n">
        <v>0.2</v>
      </c>
      <c r="Q446" s="27" t="n">
        <v>0</v>
      </c>
      <c r="R446" s="27" t="n">
        <v>0</v>
      </c>
      <c r="S446" s="27" t="n">
        <v>0</v>
      </c>
      <c r="T446" s="27" t="n">
        <v>0</v>
      </c>
      <c r="U446" s="30"/>
      <c r="V446" s="30"/>
      <c r="W446" s="30"/>
      <c r="X446" s="11" t="n">
        <v>0.51</v>
      </c>
      <c r="Y446" s="30"/>
      <c r="Z446" s="27" t="s">
        <v>2939</v>
      </c>
      <c r="AA446" s="9" t="s">
        <v>3894</v>
      </c>
      <c r="AB446" s="27" t="s">
        <v>86</v>
      </c>
      <c r="AC446" s="23" t="s">
        <v>681</v>
      </c>
    </row>
    <row r="447" customFormat="false" ht="19.5" hidden="false" customHeight="true" outlineLevel="0" collapsed="false">
      <c r="A447" s="25" t="s">
        <v>4278</v>
      </c>
      <c r="B447" s="25" t="s">
        <v>266</v>
      </c>
      <c r="C447" s="12" t="s">
        <v>267</v>
      </c>
      <c r="D447" s="12" t="s">
        <v>269</v>
      </c>
      <c r="E447" s="12" t="s">
        <v>270</v>
      </c>
      <c r="F447" s="25" t="s">
        <v>1276</v>
      </c>
      <c r="G447" s="25" t="n">
        <v>2026</v>
      </c>
      <c r="H447" s="25" t="n">
        <v>5</v>
      </c>
      <c r="I447" s="25" t="s">
        <v>3879</v>
      </c>
      <c r="J447" s="18" t="n">
        <v>1</v>
      </c>
      <c r="K447" s="14" t="n">
        <v>0.2</v>
      </c>
      <c r="L447" s="29"/>
      <c r="M447" s="14" t="n">
        <v>0.17</v>
      </c>
      <c r="N447" s="14" t="n">
        <v>0.2</v>
      </c>
      <c r="O447" s="32" t="n">
        <v>0.03</v>
      </c>
      <c r="P447" s="14" t="n">
        <v>0.23</v>
      </c>
      <c r="Q447" s="25" t="n">
        <v>0</v>
      </c>
      <c r="R447" s="25" t="n">
        <v>0</v>
      </c>
      <c r="S447" s="25" t="n">
        <v>0</v>
      </c>
      <c r="T447" s="25" t="n">
        <v>0</v>
      </c>
      <c r="U447" s="29"/>
      <c r="V447" s="29"/>
      <c r="W447" s="29"/>
      <c r="X447" s="14" t="n">
        <v>0.47</v>
      </c>
      <c r="Y447" s="29"/>
      <c r="Z447" s="25" t="s">
        <v>2939</v>
      </c>
      <c r="AA447" s="12" t="s">
        <v>3894</v>
      </c>
      <c r="AB447" s="25" t="s">
        <v>86</v>
      </c>
      <c r="AC447" s="22" t="s">
        <v>697</v>
      </c>
    </row>
    <row r="448" customFormat="false" ht="19.5" hidden="false" customHeight="true" outlineLevel="0" collapsed="false">
      <c r="A448" s="27" t="s">
        <v>4279</v>
      </c>
      <c r="B448" s="27" t="s">
        <v>266</v>
      </c>
      <c r="C448" s="9" t="s">
        <v>267</v>
      </c>
      <c r="D448" s="9" t="s">
        <v>269</v>
      </c>
      <c r="E448" s="9" t="s">
        <v>270</v>
      </c>
      <c r="F448" s="27" t="s">
        <v>1291</v>
      </c>
      <c r="G448" s="27" t="n">
        <v>2026</v>
      </c>
      <c r="H448" s="27" t="n">
        <v>5</v>
      </c>
      <c r="I448" s="27" t="s">
        <v>3879</v>
      </c>
      <c r="J448" s="20" t="n">
        <v>1</v>
      </c>
      <c r="K448" s="11" t="n">
        <v>0.23</v>
      </c>
      <c r="L448" s="30"/>
      <c r="M448" s="11" t="n">
        <v>0.2</v>
      </c>
      <c r="N448" s="11" t="n">
        <v>0.17</v>
      </c>
      <c r="O448" s="31" t="n">
        <v>0.03</v>
      </c>
      <c r="P448" s="11" t="n">
        <v>0.24</v>
      </c>
      <c r="Q448" s="27" t="n">
        <v>0</v>
      </c>
      <c r="R448" s="27" t="n">
        <v>0</v>
      </c>
      <c r="S448" s="27" t="n">
        <v>0</v>
      </c>
      <c r="T448" s="27" t="n">
        <v>0</v>
      </c>
      <c r="U448" s="30"/>
      <c r="V448" s="30"/>
      <c r="W448" s="30"/>
      <c r="X448" s="11" t="n">
        <v>0.55</v>
      </c>
      <c r="Y448" s="30"/>
      <c r="Z448" s="27" t="s">
        <v>2939</v>
      </c>
      <c r="AA448" s="9" t="s">
        <v>3894</v>
      </c>
      <c r="AB448" s="27" t="s">
        <v>86</v>
      </c>
      <c r="AC448" s="23" t="s">
        <v>713</v>
      </c>
    </row>
    <row r="449" customFormat="false" ht="19.5" hidden="false" customHeight="true" outlineLevel="0" collapsed="false">
      <c r="A449" s="25" t="s">
        <v>4280</v>
      </c>
      <c r="B449" s="25" t="s">
        <v>266</v>
      </c>
      <c r="C449" s="12" t="s">
        <v>267</v>
      </c>
      <c r="D449" s="12" t="s">
        <v>269</v>
      </c>
      <c r="E449" s="12" t="s">
        <v>270</v>
      </c>
      <c r="F449" s="25" t="s">
        <v>1306</v>
      </c>
      <c r="G449" s="25" t="n">
        <v>2026</v>
      </c>
      <c r="H449" s="25" t="n">
        <v>5</v>
      </c>
      <c r="I449" s="25" t="s">
        <v>3879</v>
      </c>
      <c r="J449" s="18" t="n">
        <v>1</v>
      </c>
      <c r="K449" s="14" t="n">
        <v>0.24</v>
      </c>
      <c r="L449" s="29"/>
      <c r="M449" s="14" t="n">
        <v>0.23</v>
      </c>
      <c r="N449" s="14" t="n">
        <v>0.2</v>
      </c>
      <c r="O449" s="32" t="n">
        <v>0.01</v>
      </c>
      <c r="P449" s="29"/>
      <c r="Q449" s="25" t="n">
        <v>0</v>
      </c>
      <c r="R449" s="25" t="n">
        <v>0</v>
      </c>
      <c r="S449" s="25" t="n">
        <v>0</v>
      </c>
      <c r="T449" s="25" t="n">
        <v>0</v>
      </c>
      <c r="U449" s="29"/>
      <c r="V449" s="29"/>
      <c r="W449" s="29"/>
      <c r="X449" s="14" t="n">
        <v>0.57</v>
      </c>
      <c r="Y449" s="29"/>
      <c r="Z449" s="25" t="s">
        <v>2939</v>
      </c>
      <c r="AA449" s="12" t="s">
        <v>3894</v>
      </c>
      <c r="AB449" s="25" t="s">
        <v>86</v>
      </c>
      <c r="AC449" s="22" t="s">
        <v>729</v>
      </c>
    </row>
    <row r="450" customFormat="false" ht="19.5" hidden="false" customHeight="true" outlineLevel="0" collapsed="false">
      <c r="A450" s="27" t="s">
        <v>4281</v>
      </c>
      <c r="B450" s="27" t="s">
        <v>533</v>
      </c>
      <c r="C450" s="9" t="s">
        <v>534</v>
      </c>
      <c r="D450" s="9" t="s">
        <v>260</v>
      </c>
      <c r="E450" s="9" t="s">
        <v>535</v>
      </c>
      <c r="F450" s="27" t="s">
        <v>625</v>
      </c>
      <c r="G450" s="27" t="n">
        <v>2016</v>
      </c>
      <c r="H450" s="27" t="n">
        <v>2</v>
      </c>
      <c r="I450" s="27" t="s">
        <v>3879</v>
      </c>
      <c r="J450" s="20" t="n">
        <v>1</v>
      </c>
      <c r="K450" s="11" t="n">
        <v>2.4</v>
      </c>
      <c r="L450" s="30"/>
      <c r="M450" s="30"/>
      <c r="N450" s="30"/>
      <c r="O450" s="30"/>
      <c r="P450" s="30"/>
      <c r="Q450" s="27" t="n">
        <v>1</v>
      </c>
      <c r="R450" s="27" t="n">
        <v>1</v>
      </c>
      <c r="S450" s="27" t="n">
        <v>1</v>
      </c>
      <c r="T450" s="27" t="n">
        <v>1</v>
      </c>
      <c r="U450" s="30"/>
      <c r="V450" s="30"/>
      <c r="W450" s="30"/>
      <c r="X450" s="30"/>
      <c r="Y450" s="30"/>
      <c r="Z450" s="27" t="s">
        <v>3836</v>
      </c>
      <c r="AA450" s="9" t="s">
        <v>3880</v>
      </c>
      <c r="AB450" s="27" t="s">
        <v>86</v>
      </c>
      <c r="AC450" s="23" t="s">
        <v>197</v>
      </c>
    </row>
    <row r="451" customFormat="false" ht="19.5" hidden="false" customHeight="true" outlineLevel="0" collapsed="false">
      <c r="A451" s="25" t="s">
        <v>4282</v>
      </c>
      <c r="B451" s="25" t="s">
        <v>533</v>
      </c>
      <c r="C451" s="12" t="s">
        <v>534</v>
      </c>
      <c r="D451" s="12" t="s">
        <v>260</v>
      </c>
      <c r="E451" s="12" t="s">
        <v>535</v>
      </c>
      <c r="F451" s="25" t="s">
        <v>663</v>
      </c>
      <c r="G451" s="25" t="n">
        <v>2016</v>
      </c>
      <c r="H451" s="25" t="n">
        <v>5</v>
      </c>
      <c r="I451" s="25" t="s">
        <v>3879</v>
      </c>
      <c r="J451" s="18" t="n">
        <v>1</v>
      </c>
      <c r="K451" s="14" t="n">
        <v>3.7</v>
      </c>
      <c r="L451" s="29"/>
      <c r="M451" s="29"/>
      <c r="N451" s="29"/>
      <c r="O451" s="29"/>
      <c r="P451" s="14" t="n">
        <v>3.3</v>
      </c>
      <c r="Q451" s="25" t="n">
        <v>1</v>
      </c>
      <c r="R451" s="25" t="n">
        <v>1</v>
      </c>
      <c r="S451" s="25" t="n">
        <v>1</v>
      </c>
      <c r="T451" s="25" t="n">
        <v>1</v>
      </c>
      <c r="U451" s="29"/>
      <c r="V451" s="29"/>
      <c r="W451" s="29"/>
      <c r="X451" s="29"/>
      <c r="Y451" s="29"/>
      <c r="Z451" s="25" t="s">
        <v>3836</v>
      </c>
      <c r="AA451" s="12" t="s">
        <v>3880</v>
      </c>
      <c r="AB451" s="25" t="s">
        <v>86</v>
      </c>
      <c r="AC451" s="22" t="s">
        <v>664</v>
      </c>
    </row>
    <row r="452" customFormat="false" ht="19.5" hidden="false" customHeight="true" outlineLevel="0" collapsed="false">
      <c r="A452" s="27" t="s">
        <v>4283</v>
      </c>
      <c r="B452" s="27" t="s">
        <v>533</v>
      </c>
      <c r="C452" s="9" t="s">
        <v>534</v>
      </c>
      <c r="D452" s="9" t="s">
        <v>260</v>
      </c>
      <c r="E452" s="9" t="s">
        <v>535</v>
      </c>
      <c r="F452" s="27" t="s">
        <v>680</v>
      </c>
      <c r="G452" s="27" t="n">
        <v>2016</v>
      </c>
      <c r="H452" s="27" t="n">
        <v>5</v>
      </c>
      <c r="I452" s="27" t="s">
        <v>3879</v>
      </c>
      <c r="J452" s="20" t="n">
        <v>1</v>
      </c>
      <c r="K452" s="11" t="n">
        <v>3.3</v>
      </c>
      <c r="L452" s="30"/>
      <c r="M452" s="11" t="n">
        <v>3.7</v>
      </c>
      <c r="N452" s="30"/>
      <c r="O452" s="31" t="n">
        <v>-0.4</v>
      </c>
      <c r="P452" s="11" t="n">
        <v>2.8</v>
      </c>
      <c r="Q452" s="27" t="n">
        <v>1</v>
      </c>
      <c r="R452" s="27" t="n">
        <v>1</v>
      </c>
      <c r="S452" s="27" t="n">
        <v>1</v>
      </c>
      <c r="T452" s="27" t="n">
        <v>1</v>
      </c>
      <c r="U452" s="30"/>
      <c r="V452" s="30"/>
      <c r="W452" s="30"/>
      <c r="X452" s="30"/>
      <c r="Y452" s="30"/>
      <c r="Z452" s="27" t="s">
        <v>3836</v>
      </c>
      <c r="AA452" s="9" t="s">
        <v>3880</v>
      </c>
      <c r="AB452" s="27" t="s">
        <v>86</v>
      </c>
      <c r="AC452" s="23" t="s">
        <v>681</v>
      </c>
    </row>
    <row r="453" customFormat="false" ht="19.5" hidden="false" customHeight="true" outlineLevel="0" collapsed="false">
      <c r="A453" s="25" t="s">
        <v>4284</v>
      </c>
      <c r="B453" s="25" t="s">
        <v>533</v>
      </c>
      <c r="C453" s="12" t="s">
        <v>534</v>
      </c>
      <c r="D453" s="12" t="s">
        <v>260</v>
      </c>
      <c r="E453" s="12" t="s">
        <v>535</v>
      </c>
      <c r="F453" s="25" t="s">
        <v>696</v>
      </c>
      <c r="G453" s="25" t="n">
        <v>2016</v>
      </c>
      <c r="H453" s="25" t="n">
        <v>5</v>
      </c>
      <c r="I453" s="25" t="s">
        <v>3879</v>
      </c>
      <c r="J453" s="18" t="n">
        <v>1</v>
      </c>
      <c r="K453" s="14" t="n">
        <v>2.8</v>
      </c>
      <c r="L453" s="29"/>
      <c r="M453" s="14" t="n">
        <v>3.3</v>
      </c>
      <c r="N453" s="14" t="n">
        <v>3.7</v>
      </c>
      <c r="O453" s="32" t="n">
        <v>-0.5</v>
      </c>
      <c r="P453" s="14" t="n">
        <v>2.7</v>
      </c>
      <c r="Q453" s="25" t="n">
        <v>1</v>
      </c>
      <c r="R453" s="25" t="n">
        <v>1</v>
      </c>
      <c r="S453" s="25" t="n">
        <v>1</v>
      </c>
      <c r="T453" s="25" t="n">
        <v>1</v>
      </c>
      <c r="U453" s="29"/>
      <c r="V453" s="29"/>
      <c r="W453" s="29"/>
      <c r="X453" s="29"/>
      <c r="Y453" s="29"/>
      <c r="Z453" s="25" t="s">
        <v>3836</v>
      </c>
      <c r="AA453" s="12" t="s">
        <v>3880</v>
      </c>
      <c r="AB453" s="25" t="s">
        <v>86</v>
      </c>
      <c r="AC453" s="22" t="s">
        <v>697</v>
      </c>
    </row>
    <row r="454" customFormat="false" ht="19.5" hidden="false" customHeight="true" outlineLevel="0" collapsed="false">
      <c r="A454" s="27" t="s">
        <v>4285</v>
      </c>
      <c r="B454" s="27" t="s">
        <v>533</v>
      </c>
      <c r="C454" s="9" t="s">
        <v>534</v>
      </c>
      <c r="D454" s="9" t="s">
        <v>260</v>
      </c>
      <c r="E454" s="9" t="s">
        <v>535</v>
      </c>
      <c r="F454" s="27" t="s">
        <v>712</v>
      </c>
      <c r="G454" s="27" t="n">
        <v>2016</v>
      </c>
      <c r="H454" s="27" t="n">
        <v>5</v>
      </c>
      <c r="I454" s="27" t="s">
        <v>3879</v>
      </c>
      <c r="J454" s="20" t="n">
        <v>1</v>
      </c>
      <c r="K454" s="11" t="n">
        <v>2.7</v>
      </c>
      <c r="L454" s="30"/>
      <c r="M454" s="11" t="n">
        <v>2.8</v>
      </c>
      <c r="N454" s="11" t="n">
        <v>3.3</v>
      </c>
      <c r="O454" s="31" t="n">
        <v>-0.1</v>
      </c>
      <c r="P454" s="11" t="n">
        <v>2.4</v>
      </c>
      <c r="Q454" s="27" t="n">
        <v>1</v>
      </c>
      <c r="R454" s="27" t="n">
        <v>1</v>
      </c>
      <c r="S454" s="27" t="n">
        <v>1</v>
      </c>
      <c r="T454" s="27" t="n">
        <v>1</v>
      </c>
      <c r="U454" s="30"/>
      <c r="V454" s="30"/>
      <c r="W454" s="30"/>
      <c r="X454" s="30"/>
      <c r="Y454" s="30"/>
      <c r="Z454" s="27" t="s">
        <v>3836</v>
      </c>
      <c r="AA454" s="9" t="s">
        <v>3880</v>
      </c>
      <c r="AB454" s="27" t="s">
        <v>86</v>
      </c>
      <c r="AC454" s="23" t="s">
        <v>713</v>
      </c>
    </row>
    <row r="455" customFormat="false" ht="19.5" hidden="false" customHeight="true" outlineLevel="0" collapsed="false">
      <c r="A455" s="25" t="s">
        <v>4286</v>
      </c>
      <c r="B455" s="25" t="s">
        <v>533</v>
      </c>
      <c r="C455" s="12" t="s">
        <v>534</v>
      </c>
      <c r="D455" s="12" t="s">
        <v>260</v>
      </c>
      <c r="E455" s="12" t="s">
        <v>535</v>
      </c>
      <c r="F455" s="25" t="s">
        <v>728</v>
      </c>
      <c r="G455" s="25" t="n">
        <v>2016</v>
      </c>
      <c r="H455" s="25" t="n">
        <v>5</v>
      </c>
      <c r="I455" s="25" t="s">
        <v>3879</v>
      </c>
      <c r="J455" s="18" t="n">
        <v>1</v>
      </c>
      <c r="K455" s="14" t="n">
        <v>2.4</v>
      </c>
      <c r="L455" s="29"/>
      <c r="M455" s="14" t="n">
        <v>2.7</v>
      </c>
      <c r="N455" s="14" t="n">
        <v>2.8</v>
      </c>
      <c r="O455" s="32" t="n">
        <v>-0.3</v>
      </c>
      <c r="P455" s="29"/>
      <c r="Q455" s="25" t="n">
        <v>1</v>
      </c>
      <c r="R455" s="25" t="n">
        <v>1</v>
      </c>
      <c r="S455" s="25" t="n">
        <v>1</v>
      </c>
      <c r="T455" s="25" t="n">
        <v>1</v>
      </c>
      <c r="U455" s="29"/>
      <c r="V455" s="29"/>
      <c r="W455" s="29"/>
      <c r="X455" s="29"/>
      <c r="Y455" s="29"/>
      <c r="Z455" s="25" t="s">
        <v>3836</v>
      </c>
      <c r="AA455" s="12" t="s">
        <v>3880</v>
      </c>
      <c r="AB455" s="25" t="s">
        <v>86</v>
      </c>
      <c r="AC455" s="22" t="s">
        <v>729</v>
      </c>
    </row>
    <row r="456" customFormat="false" ht="19.5" hidden="false" customHeight="true" outlineLevel="0" collapsed="false">
      <c r="A456" s="27" t="s">
        <v>4287</v>
      </c>
      <c r="B456" s="27" t="s">
        <v>533</v>
      </c>
      <c r="C456" s="9" t="s">
        <v>534</v>
      </c>
      <c r="D456" s="9" t="s">
        <v>260</v>
      </c>
      <c r="E456" s="9" t="s">
        <v>535</v>
      </c>
      <c r="F456" s="27" t="s">
        <v>744</v>
      </c>
      <c r="G456" s="27" t="n">
        <v>2020</v>
      </c>
      <c r="H456" s="27" t="n">
        <v>2</v>
      </c>
      <c r="I456" s="27" t="s">
        <v>3879</v>
      </c>
      <c r="J456" s="20" t="n">
        <v>1</v>
      </c>
      <c r="K456" s="11" t="n">
        <v>5.1</v>
      </c>
      <c r="L456" s="30"/>
      <c r="M456" s="30"/>
      <c r="N456" s="30"/>
      <c r="O456" s="30"/>
      <c r="P456" s="30"/>
      <c r="Q456" s="27" t="n">
        <v>1</v>
      </c>
      <c r="R456" s="27" t="n">
        <v>1</v>
      </c>
      <c r="S456" s="27" t="n">
        <v>1</v>
      </c>
      <c r="T456" s="27" t="n">
        <v>1</v>
      </c>
      <c r="U456" s="30"/>
      <c r="V456" s="30"/>
      <c r="W456" s="30"/>
      <c r="X456" s="30"/>
      <c r="Y456" s="30"/>
      <c r="Z456" s="27" t="s">
        <v>3836</v>
      </c>
      <c r="AA456" s="9" t="s">
        <v>3880</v>
      </c>
      <c r="AB456" s="27" t="s">
        <v>86</v>
      </c>
      <c r="AC456" s="23" t="s">
        <v>197</v>
      </c>
    </row>
    <row r="457" customFormat="false" ht="19.5" hidden="false" customHeight="true" outlineLevel="0" collapsed="false">
      <c r="A457" s="25" t="s">
        <v>4288</v>
      </c>
      <c r="B457" s="25" t="s">
        <v>533</v>
      </c>
      <c r="C457" s="12" t="s">
        <v>534</v>
      </c>
      <c r="D457" s="12" t="s">
        <v>260</v>
      </c>
      <c r="E457" s="12" t="s">
        <v>535</v>
      </c>
      <c r="F457" s="25" t="s">
        <v>764</v>
      </c>
      <c r="G457" s="25" t="n">
        <v>2020</v>
      </c>
      <c r="H457" s="25" t="n">
        <v>5</v>
      </c>
      <c r="I457" s="25" t="s">
        <v>3879</v>
      </c>
      <c r="J457" s="18" t="n">
        <v>1</v>
      </c>
      <c r="K457" s="14" t="n">
        <v>8.5</v>
      </c>
      <c r="L457" s="29"/>
      <c r="M457" s="29"/>
      <c r="N457" s="29"/>
      <c r="O457" s="29"/>
      <c r="P457" s="14" t="n">
        <v>7.4</v>
      </c>
      <c r="Q457" s="25" t="n">
        <v>1</v>
      </c>
      <c r="R457" s="25" t="n">
        <v>1</v>
      </c>
      <c r="S457" s="25" t="n">
        <v>1</v>
      </c>
      <c r="T457" s="25" t="n">
        <v>1</v>
      </c>
      <c r="U457" s="29"/>
      <c r="V457" s="29"/>
      <c r="W457" s="29"/>
      <c r="X457" s="29"/>
      <c r="Y457" s="29"/>
      <c r="Z457" s="25" t="s">
        <v>3836</v>
      </c>
      <c r="AA457" s="12" t="s">
        <v>3880</v>
      </c>
      <c r="AB457" s="25" t="s">
        <v>86</v>
      </c>
      <c r="AC457" s="22" t="s">
        <v>664</v>
      </c>
    </row>
    <row r="458" customFormat="false" ht="19.5" hidden="false" customHeight="true" outlineLevel="0" collapsed="false">
      <c r="A458" s="27" t="s">
        <v>4289</v>
      </c>
      <c r="B458" s="27" t="s">
        <v>533</v>
      </c>
      <c r="C458" s="9" t="s">
        <v>534</v>
      </c>
      <c r="D458" s="9" t="s">
        <v>260</v>
      </c>
      <c r="E458" s="9" t="s">
        <v>535</v>
      </c>
      <c r="F458" s="27" t="s">
        <v>777</v>
      </c>
      <c r="G458" s="27" t="n">
        <v>2020</v>
      </c>
      <c r="H458" s="27" t="n">
        <v>5</v>
      </c>
      <c r="I458" s="27" t="s">
        <v>3879</v>
      </c>
      <c r="J458" s="20" t="n">
        <v>1</v>
      </c>
      <c r="K458" s="11" t="n">
        <v>7.4</v>
      </c>
      <c r="L458" s="30"/>
      <c r="M458" s="11" t="n">
        <v>8.5</v>
      </c>
      <c r="N458" s="30"/>
      <c r="O458" s="31" t="n">
        <v>-1.1</v>
      </c>
      <c r="P458" s="11" t="n">
        <v>7.2</v>
      </c>
      <c r="Q458" s="27" t="n">
        <v>1</v>
      </c>
      <c r="R458" s="27" t="n">
        <v>1</v>
      </c>
      <c r="S458" s="27" t="n">
        <v>1</v>
      </c>
      <c r="T458" s="27" t="n">
        <v>1</v>
      </c>
      <c r="U458" s="30"/>
      <c r="V458" s="30"/>
      <c r="W458" s="30"/>
      <c r="X458" s="30"/>
      <c r="Y458" s="30"/>
      <c r="Z458" s="27" t="s">
        <v>3836</v>
      </c>
      <c r="AA458" s="9" t="s">
        <v>3880</v>
      </c>
      <c r="AB458" s="27" t="s">
        <v>86</v>
      </c>
      <c r="AC458" s="23" t="s">
        <v>681</v>
      </c>
    </row>
    <row r="459" customFormat="false" ht="19.5" hidden="false" customHeight="true" outlineLevel="0" collapsed="false">
      <c r="A459" s="25" t="s">
        <v>4290</v>
      </c>
      <c r="B459" s="25" t="s">
        <v>533</v>
      </c>
      <c r="C459" s="12" t="s">
        <v>534</v>
      </c>
      <c r="D459" s="12" t="s">
        <v>260</v>
      </c>
      <c r="E459" s="12" t="s">
        <v>535</v>
      </c>
      <c r="F459" s="25" t="s">
        <v>790</v>
      </c>
      <c r="G459" s="25" t="n">
        <v>2020</v>
      </c>
      <c r="H459" s="25" t="n">
        <v>5</v>
      </c>
      <c r="I459" s="25" t="s">
        <v>3879</v>
      </c>
      <c r="J459" s="18" t="n">
        <v>1</v>
      </c>
      <c r="K459" s="14" t="n">
        <v>7.2</v>
      </c>
      <c r="L459" s="29"/>
      <c r="M459" s="14" t="n">
        <v>7.4</v>
      </c>
      <c r="N459" s="14" t="n">
        <v>8.5</v>
      </c>
      <c r="O459" s="32" t="n">
        <v>-0.2</v>
      </c>
      <c r="P459" s="14" t="n">
        <v>6.7</v>
      </c>
      <c r="Q459" s="25" t="n">
        <v>1</v>
      </c>
      <c r="R459" s="25" t="n">
        <v>1</v>
      </c>
      <c r="S459" s="25" t="n">
        <v>1</v>
      </c>
      <c r="T459" s="25" t="n">
        <v>1</v>
      </c>
      <c r="U459" s="29"/>
      <c r="V459" s="29"/>
      <c r="W459" s="29"/>
      <c r="X459" s="29"/>
      <c r="Y459" s="29"/>
      <c r="Z459" s="25" t="s">
        <v>3836</v>
      </c>
      <c r="AA459" s="12" t="s">
        <v>3880</v>
      </c>
      <c r="AB459" s="25" t="s">
        <v>86</v>
      </c>
      <c r="AC459" s="22" t="s">
        <v>697</v>
      </c>
    </row>
    <row r="460" customFormat="false" ht="19.5" hidden="false" customHeight="true" outlineLevel="0" collapsed="false">
      <c r="A460" s="27" t="s">
        <v>4291</v>
      </c>
      <c r="B460" s="27" t="s">
        <v>533</v>
      </c>
      <c r="C460" s="9" t="s">
        <v>534</v>
      </c>
      <c r="D460" s="9" t="s">
        <v>260</v>
      </c>
      <c r="E460" s="9" t="s">
        <v>535</v>
      </c>
      <c r="F460" s="27" t="s">
        <v>803</v>
      </c>
      <c r="G460" s="27" t="n">
        <v>2020</v>
      </c>
      <c r="H460" s="27" t="n">
        <v>5</v>
      </c>
      <c r="I460" s="27" t="s">
        <v>3879</v>
      </c>
      <c r="J460" s="20" t="n">
        <v>1</v>
      </c>
      <c r="K460" s="11" t="n">
        <v>6.7</v>
      </c>
      <c r="L460" s="30"/>
      <c r="M460" s="11" t="n">
        <v>7.2</v>
      </c>
      <c r="N460" s="11" t="n">
        <v>7.4</v>
      </c>
      <c r="O460" s="31" t="n">
        <v>-0.5</v>
      </c>
      <c r="P460" s="11" t="n">
        <v>5.8</v>
      </c>
      <c r="Q460" s="27" t="n">
        <v>1</v>
      </c>
      <c r="R460" s="27" t="n">
        <v>1</v>
      </c>
      <c r="S460" s="27" t="n">
        <v>1</v>
      </c>
      <c r="T460" s="27" t="n">
        <v>1</v>
      </c>
      <c r="U460" s="30"/>
      <c r="V460" s="30"/>
      <c r="W460" s="30"/>
      <c r="X460" s="30"/>
      <c r="Y460" s="30"/>
      <c r="Z460" s="27" t="s">
        <v>3836</v>
      </c>
      <c r="AA460" s="9" t="s">
        <v>3880</v>
      </c>
      <c r="AB460" s="27" t="s">
        <v>86</v>
      </c>
      <c r="AC460" s="23" t="s">
        <v>713</v>
      </c>
    </row>
    <row r="461" customFormat="false" ht="19.5" hidden="false" customHeight="true" outlineLevel="0" collapsed="false">
      <c r="A461" s="25" t="s">
        <v>4292</v>
      </c>
      <c r="B461" s="25" t="s">
        <v>533</v>
      </c>
      <c r="C461" s="12" t="s">
        <v>534</v>
      </c>
      <c r="D461" s="12" t="s">
        <v>260</v>
      </c>
      <c r="E461" s="12" t="s">
        <v>535</v>
      </c>
      <c r="F461" s="25" t="s">
        <v>816</v>
      </c>
      <c r="G461" s="25" t="n">
        <v>2020</v>
      </c>
      <c r="H461" s="25" t="n">
        <v>5</v>
      </c>
      <c r="I461" s="25" t="s">
        <v>3879</v>
      </c>
      <c r="J461" s="18" t="n">
        <v>1</v>
      </c>
      <c r="K461" s="14" t="n">
        <v>5.8</v>
      </c>
      <c r="L461" s="29"/>
      <c r="M461" s="14" t="n">
        <v>6.7</v>
      </c>
      <c r="N461" s="14" t="n">
        <v>7.2</v>
      </c>
      <c r="O461" s="32" t="n">
        <v>-0.9</v>
      </c>
      <c r="P461" s="29"/>
      <c r="Q461" s="25" t="n">
        <v>1</v>
      </c>
      <c r="R461" s="25" t="n">
        <v>1</v>
      </c>
      <c r="S461" s="25" t="n">
        <v>1</v>
      </c>
      <c r="T461" s="25" t="n">
        <v>1</v>
      </c>
      <c r="U461" s="29"/>
      <c r="V461" s="29"/>
      <c r="W461" s="29"/>
      <c r="X461" s="29"/>
      <c r="Y461" s="29"/>
      <c r="Z461" s="25" t="s">
        <v>3836</v>
      </c>
      <c r="AA461" s="12" t="s">
        <v>3880</v>
      </c>
      <c r="AB461" s="25" t="s">
        <v>86</v>
      </c>
      <c r="AC461" s="22" t="s">
        <v>729</v>
      </c>
    </row>
    <row r="462" customFormat="false" ht="19.5" hidden="false" customHeight="true" outlineLevel="0" collapsed="false">
      <c r="A462" s="27" t="s">
        <v>4293</v>
      </c>
      <c r="B462" s="27" t="s">
        <v>533</v>
      </c>
      <c r="C462" s="9" t="s">
        <v>534</v>
      </c>
      <c r="D462" s="9" t="s">
        <v>260</v>
      </c>
      <c r="E462" s="9" t="s">
        <v>535</v>
      </c>
      <c r="F462" s="27" t="s">
        <v>975</v>
      </c>
      <c r="G462" s="27" t="n">
        <v>2025</v>
      </c>
      <c r="H462" s="27" t="n">
        <v>2</v>
      </c>
      <c r="I462" s="27" t="s">
        <v>3879</v>
      </c>
      <c r="J462" s="20" t="n">
        <v>1</v>
      </c>
      <c r="K462" s="11" t="n">
        <v>3.3</v>
      </c>
      <c r="L462" s="30"/>
      <c r="M462" s="30"/>
      <c r="N462" s="30"/>
      <c r="O462" s="30"/>
      <c r="P462" s="30"/>
      <c r="Q462" s="27" t="n">
        <v>1</v>
      </c>
      <c r="R462" s="27" t="n">
        <v>1</v>
      </c>
      <c r="S462" s="27" t="n">
        <v>1</v>
      </c>
      <c r="T462" s="27" t="n">
        <v>1</v>
      </c>
      <c r="U462" s="30"/>
      <c r="V462" s="30"/>
      <c r="W462" s="30"/>
      <c r="X462" s="30"/>
      <c r="Y462" s="30"/>
      <c r="Z462" s="27" t="s">
        <v>3836</v>
      </c>
      <c r="AA462" s="9" t="s">
        <v>3887</v>
      </c>
      <c r="AB462" s="27" t="s">
        <v>86</v>
      </c>
      <c r="AC462" s="23" t="s">
        <v>197</v>
      </c>
    </row>
    <row r="463" customFormat="false" ht="19.5" hidden="false" customHeight="true" outlineLevel="0" collapsed="false">
      <c r="A463" s="25" t="s">
        <v>4294</v>
      </c>
      <c r="B463" s="25" t="s">
        <v>533</v>
      </c>
      <c r="C463" s="12" t="s">
        <v>534</v>
      </c>
      <c r="D463" s="12" t="s">
        <v>260</v>
      </c>
      <c r="E463" s="12" t="s">
        <v>535</v>
      </c>
      <c r="F463" s="25" t="s">
        <v>1102</v>
      </c>
      <c r="G463" s="25" t="n">
        <v>2025</v>
      </c>
      <c r="H463" s="25" t="n">
        <v>5</v>
      </c>
      <c r="I463" s="25" t="s">
        <v>3879</v>
      </c>
      <c r="J463" s="18" t="n">
        <v>1</v>
      </c>
      <c r="K463" s="14" t="n">
        <v>3.6</v>
      </c>
      <c r="L463" s="29"/>
      <c r="M463" s="29"/>
      <c r="N463" s="29"/>
      <c r="O463" s="29"/>
      <c r="P463" s="14" t="n">
        <v>3.3</v>
      </c>
      <c r="Q463" s="25" t="n">
        <v>1</v>
      </c>
      <c r="R463" s="25" t="n">
        <v>1</v>
      </c>
      <c r="S463" s="25" t="n">
        <v>1</v>
      </c>
      <c r="T463" s="25" t="n">
        <v>1</v>
      </c>
      <c r="U463" s="29"/>
      <c r="V463" s="29"/>
      <c r="W463" s="29"/>
      <c r="X463" s="29"/>
      <c r="Y463" s="29"/>
      <c r="Z463" s="25" t="s">
        <v>3836</v>
      </c>
      <c r="AA463" s="12" t="s">
        <v>3887</v>
      </c>
      <c r="AB463" s="25" t="s">
        <v>86</v>
      </c>
      <c r="AC463" s="22" t="s">
        <v>664</v>
      </c>
    </row>
    <row r="464" customFormat="false" ht="19.5" hidden="false" customHeight="true" outlineLevel="0" collapsed="false">
      <c r="A464" s="27" t="s">
        <v>4295</v>
      </c>
      <c r="B464" s="27" t="s">
        <v>533</v>
      </c>
      <c r="C464" s="9" t="s">
        <v>534</v>
      </c>
      <c r="D464" s="9" t="s">
        <v>260</v>
      </c>
      <c r="E464" s="9" t="s">
        <v>535</v>
      </c>
      <c r="F464" s="27" t="s">
        <v>1117</v>
      </c>
      <c r="G464" s="27" t="n">
        <v>2025</v>
      </c>
      <c r="H464" s="27" t="n">
        <v>5</v>
      </c>
      <c r="I464" s="27" t="s">
        <v>3879</v>
      </c>
      <c r="J464" s="20" t="n">
        <v>1</v>
      </c>
      <c r="K464" s="11" t="n">
        <v>3.3</v>
      </c>
      <c r="L464" s="30"/>
      <c r="M464" s="11" t="n">
        <v>3.6</v>
      </c>
      <c r="N464" s="30"/>
      <c r="O464" s="31" t="n">
        <v>-0.3</v>
      </c>
      <c r="P464" s="11" t="n">
        <v>3.2</v>
      </c>
      <c r="Q464" s="27" t="n">
        <v>1</v>
      </c>
      <c r="R464" s="27" t="n">
        <v>1</v>
      </c>
      <c r="S464" s="27" t="n">
        <v>1</v>
      </c>
      <c r="T464" s="27" t="n">
        <v>1</v>
      </c>
      <c r="U464" s="30"/>
      <c r="V464" s="30"/>
      <c r="W464" s="30"/>
      <c r="X464" s="30"/>
      <c r="Y464" s="30"/>
      <c r="Z464" s="27" t="s">
        <v>3836</v>
      </c>
      <c r="AA464" s="9" t="s">
        <v>3887</v>
      </c>
      <c r="AB464" s="27" t="s">
        <v>86</v>
      </c>
      <c r="AC464" s="23" t="s">
        <v>681</v>
      </c>
    </row>
    <row r="465" customFormat="false" ht="19.5" hidden="false" customHeight="true" outlineLevel="0" collapsed="false">
      <c r="A465" s="25" t="s">
        <v>4296</v>
      </c>
      <c r="B465" s="25" t="s">
        <v>533</v>
      </c>
      <c r="C465" s="12" t="s">
        <v>534</v>
      </c>
      <c r="D465" s="12" t="s">
        <v>260</v>
      </c>
      <c r="E465" s="12" t="s">
        <v>535</v>
      </c>
      <c r="F465" s="25" t="s">
        <v>1132</v>
      </c>
      <c r="G465" s="25" t="n">
        <v>2025</v>
      </c>
      <c r="H465" s="25" t="n">
        <v>5</v>
      </c>
      <c r="I465" s="25" t="s">
        <v>3879</v>
      </c>
      <c r="J465" s="18" t="n">
        <v>1</v>
      </c>
      <c r="K465" s="14" t="n">
        <v>3.2</v>
      </c>
      <c r="L465" s="29"/>
      <c r="M465" s="14" t="n">
        <v>3.3</v>
      </c>
      <c r="N465" s="14" t="n">
        <v>3.6</v>
      </c>
      <c r="O465" s="32" t="n">
        <v>-0.1</v>
      </c>
      <c r="P465" s="14" t="n">
        <v>5.1</v>
      </c>
      <c r="Q465" s="25" t="n">
        <v>1</v>
      </c>
      <c r="R465" s="25" t="n">
        <v>1</v>
      </c>
      <c r="S465" s="25" t="n">
        <v>1</v>
      </c>
      <c r="T465" s="25" t="n">
        <v>1</v>
      </c>
      <c r="U465" s="29"/>
      <c r="V465" s="29"/>
      <c r="W465" s="29"/>
      <c r="X465" s="29"/>
      <c r="Y465" s="29"/>
      <c r="Z465" s="25" t="s">
        <v>3836</v>
      </c>
      <c r="AA465" s="12" t="s">
        <v>3887</v>
      </c>
      <c r="AB465" s="25" t="s">
        <v>86</v>
      </c>
      <c r="AC465" s="22" t="s">
        <v>697</v>
      </c>
    </row>
    <row r="466" customFormat="false" ht="19.5" hidden="false" customHeight="true" outlineLevel="0" collapsed="false">
      <c r="A466" s="27" t="s">
        <v>4297</v>
      </c>
      <c r="B466" s="27" t="s">
        <v>533</v>
      </c>
      <c r="C466" s="9" t="s">
        <v>534</v>
      </c>
      <c r="D466" s="9" t="s">
        <v>260</v>
      </c>
      <c r="E466" s="9" t="s">
        <v>535</v>
      </c>
      <c r="F466" s="27" t="s">
        <v>1147</v>
      </c>
      <c r="G466" s="27" t="n">
        <v>2025</v>
      </c>
      <c r="H466" s="27" t="n">
        <v>5</v>
      </c>
      <c r="I466" s="27" t="s">
        <v>3879</v>
      </c>
      <c r="J466" s="20" t="n">
        <v>1</v>
      </c>
      <c r="K466" s="11" t="n">
        <v>5.1</v>
      </c>
      <c r="L466" s="30"/>
      <c r="M466" s="11" t="n">
        <v>3.2</v>
      </c>
      <c r="N466" s="11" t="n">
        <v>3.3</v>
      </c>
      <c r="O466" s="31" t="n">
        <v>1.9</v>
      </c>
      <c r="P466" s="11" t="n">
        <v>5.7</v>
      </c>
      <c r="Q466" s="27" t="n">
        <v>1</v>
      </c>
      <c r="R466" s="27" t="n">
        <v>1</v>
      </c>
      <c r="S466" s="27" t="n">
        <v>1</v>
      </c>
      <c r="T466" s="27" t="n">
        <v>1</v>
      </c>
      <c r="U466" s="30"/>
      <c r="V466" s="30"/>
      <c r="W466" s="30"/>
      <c r="X466" s="30"/>
      <c r="Y466" s="30"/>
      <c r="Z466" s="27" t="s">
        <v>3836</v>
      </c>
      <c r="AA466" s="9" t="s">
        <v>3887</v>
      </c>
      <c r="AB466" s="27" t="s">
        <v>86</v>
      </c>
      <c r="AC466" s="23" t="s">
        <v>713</v>
      </c>
    </row>
    <row r="467" customFormat="false" ht="19.5" hidden="false" customHeight="true" outlineLevel="0" collapsed="false">
      <c r="A467" s="25" t="s">
        <v>4298</v>
      </c>
      <c r="B467" s="25" t="s">
        <v>533</v>
      </c>
      <c r="C467" s="12" t="s">
        <v>534</v>
      </c>
      <c r="D467" s="12" t="s">
        <v>260</v>
      </c>
      <c r="E467" s="12" t="s">
        <v>535</v>
      </c>
      <c r="F467" s="25" t="s">
        <v>1162</v>
      </c>
      <c r="G467" s="25" t="n">
        <v>2025</v>
      </c>
      <c r="H467" s="25" t="n">
        <v>5</v>
      </c>
      <c r="I467" s="25" t="s">
        <v>3879</v>
      </c>
      <c r="J467" s="18" t="n">
        <v>1</v>
      </c>
      <c r="K467" s="14" t="n">
        <v>5.7</v>
      </c>
      <c r="L467" s="29"/>
      <c r="M467" s="14" t="n">
        <v>5.1</v>
      </c>
      <c r="N467" s="14" t="n">
        <v>3.2</v>
      </c>
      <c r="O467" s="32" t="n">
        <v>0.6</v>
      </c>
      <c r="P467" s="29"/>
      <c r="Q467" s="25" t="n">
        <v>1</v>
      </c>
      <c r="R467" s="25" t="n">
        <v>1</v>
      </c>
      <c r="S467" s="25" t="n">
        <v>1</v>
      </c>
      <c r="T467" s="25" t="n">
        <v>1</v>
      </c>
      <c r="U467" s="29"/>
      <c r="V467" s="29"/>
      <c r="W467" s="29"/>
      <c r="X467" s="29"/>
      <c r="Y467" s="29"/>
      <c r="Z467" s="25" t="s">
        <v>3836</v>
      </c>
      <c r="AA467" s="12" t="s">
        <v>3887</v>
      </c>
      <c r="AB467" s="25" t="s">
        <v>86</v>
      </c>
      <c r="AC467" s="22" t="s">
        <v>729</v>
      </c>
    </row>
    <row r="468" customFormat="false" ht="19.5" hidden="false" customHeight="true" outlineLevel="0" collapsed="false">
      <c r="A468" s="27" t="s">
        <v>4299</v>
      </c>
      <c r="B468" s="27" t="s">
        <v>533</v>
      </c>
      <c r="C468" s="9" t="s">
        <v>534</v>
      </c>
      <c r="D468" s="9" t="s">
        <v>260</v>
      </c>
      <c r="E468" s="9" t="s">
        <v>535</v>
      </c>
      <c r="F468" s="27" t="s">
        <v>1177</v>
      </c>
      <c r="G468" s="27" t="n">
        <v>2026</v>
      </c>
      <c r="H468" s="27" t="n">
        <v>2</v>
      </c>
      <c r="I468" s="27" t="s">
        <v>3879</v>
      </c>
      <c r="J468" s="20" t="n">
        <v>1</v>
      </c>
      <c r="K468" s="11" t="n">
        <v>4.1</v>
      </c>
      <c r="L468" s="30"/>
      <c r="M468" s="30"/>
      <c r="N468" s="30"/>
      <c r="O468" s="30"/>
      <c r="P468" s="11" t="n">
        <v>4.6</v>
      </c>
      <c r="Q468" s="27" t="n">
        <v>1</v>
      </c>
      <c r="R468" s="27" t="n">
        <v>1</v>
      </c>
      <c r="S468" s="27" t="n">
        <v>1</v>
      </c>
      <c r="T468" s="27" t="n">
        <v>1</v>
      </c>
      <c r="U468" s="30"/>
      <c r="V468" s="30"/>
      <c r="W468" s="30"/>
      <c r="X468" s="11" t="n">
        <v>0.51</v>
      </c>
      <c r="Y468" s="30"/>
      <c r="Z468" s="27" t="s">
        <v>3836</v>
      </c>
      <c r="AA468" s="9" t="s">
        <v>3894</v>
      </c>
      <c r="AB468" s="27" t="s">
        <v>86</v>
      </c>
      <c r="AC468" s="23" t="s">
        <v>197</v>
      </c>
    </row>
    <row r="469" customFormat="false" ht="19.5" hidden="false" customHeight="true" outlineLevel="0" collapsed="false">
      <c r="A469" s="25" t="s">
        <v>4300</v>
      </c>
      <c r="B469" s="25" t="s">
        <v>533</v>
      </c>
      <c r="C469" s="12" t="s">
        <v>534</v>
      </c>
      <c r="D469" s="12" t="s">
        <v>260</v>
      </c>
      <c r="E469" s="12" t="s">
        <v>535</v>
      </c>
      <c r="F469" s="25" t="s">
        <v>1194</v>
      </c>
      <c r="G469" s="25" t="n">
        <v>2026</v>
      </c>
      <c r="H469" s="25" t="n">
        <v>2</v>
      </c>
      <c r="I469" s="25" t="s">
        <v>3879</v>
      </c>
      <c r="J469" s="18" t="n">
        <v>1</v>
      </c>
      <c r="K469" s="14" t="n">
        <v>4.6</v>
      </c>
      <c r="L469" s="29"/>
      <c r="M469" s="14" t="n">
        <v>4.1</v>
      </c>
      <c r="N469" s="29"/>
      <c r="O469" s="32" t="n">
        <v>0.5</v>
      </c>
      <c r="P469" s="29"/>
      <c r="Q469" s="25" t="n">
        <v>1</v>
      </c>
      <c r="R469" s="25" t="n">
        <v>1</v>
      </c>
      <c r="S469" s="25" t="n">
        <v>1</v>
      </c>
      <c r="T469" s="25" t="n">
        <v>1</v>
      </c>
      <c r="U469" s="14" t="n">
        <v>1.55</v>
      </c>
      <c r="V469" s="29"/>
      <c r="W469" s="29"/>
      <c r="X469" s="14" t="n">
        <v>0.485</v>
      </c>
      <c r="Y469" s="29"/>
      <c r="Z469" s="25" t="s">
        <v>2931</v>
      </c>
      <c r="AA469" s="12" t="s">
        <v>3894</v>
      </c>
      <c r="AB469" s="25" t="s">
        <v>86</v>
      </c>
      <c r="AC469" s="22" t="s">
        <v>197</v>
      </c>
    </row>
    <row r="470" customFormat="false" ht="19.5" hidden="false" customHeight="true" outlineLevel="0" collapsed="false">
      <c r="A470" s="27" t="s">
        <v>4301</v>
      </c>
      <c r="B470" s="27" t="s">
        <v>533</v>
      </c>
      <c r="C470" s="9" t="s">
        <v>534</v>
      </c>
      <c r="D470" s="9" t="s">
        <v>260</v>
      </c>
      <c r="E470" s="9" t="s">
        <v>535</v>
      </c>
      <c r="F470" s="27" t="s">
        <v>1231</v>
      </c>
      <c r="G470" s="27" t="n">
        <v>2026</v>
      </c>
      <c r="H470" s="27" t="n">
        <v>5</v>
      </c>
      <c r="I470" s="27" t="s">
        <v>3879</v>
      </c>
      <c r="J470" s="20" t="n">
        <v>1</v>
      </c>
      <c r="K470" s="11" t="n">
        <v>2.5</v>
      </c>
      <c r="L470" s="30"/>
      <c r="M470" s="30"/>
      <c r="N470" s="30"/>
      <c r="O470" s="30"/>
      <c r="P470" s="11" t="n">
        <v>3.3</v>
      </c>
      <c r="Q470" s="27" t="n">
        <v>1</v>
      </c>
      <c r="R470" s="27" t="n">
        <v>1</v>
      </c>
      <c r="S470" s="27" t="n">
        <v>1</v>
      </c>
      <c r="T470" s="27" t="n">
        <v>1</v>
      </c>
      <c r="U470" s="30"/>
      <c r="V470" s="30"/>
      <c r="W470" s="30"/>
      <c r="X470" s="11" t="n">
        <v>0.12</v>
      </c>
      <c r="Y470" s="30"/>
      <c r="Z470" s="27" t="s">
        <v>2939</v>
      </c>
      <c r="AA470" s="9" t="s">
        <v>3894</v>
      </c>
      <c r="AB470" s="27" t="s">
        <v>86</v>
      </c>
      <c r="AC470" s="23" t="s">
        <v>664</v>
      </c>
    </row>
    <row r="471" customFormat="false" ht="19.5" hidden="false" customHeight="true" outlineLevel="0" collapsed="false">
      <c r="A471" s="25" t="s">
        <v>4302</v>
      </c>
      <c r="B471" s="25" t="s">
        <v>533</v>
      </c>
      <c r="C471" s="12" t="s">
        <v>534</v>
      </c>
      <c r="D471" s="12" t="s">
        <v>260</v>
      </c>
      <c r="E471" s="12" t="s">
        <v>535</v>
      </c>
      <c r="F471" s="25" t="s">
        <v>1246</v>
      </c>
      <c r="G471" s="25" t="n">
        <v>2026</v>
      </c>
      <c r="H471" s="25" t="n">
        <v>5</v>
      </c>
      <c r="I471" s="25" t="s">
        <v>3879</v>
      </c>
      <c r="J471" s="18" t="n">
        <v>1</v>
      </c>
      <c r="K471" s="14" t="n">
        <v>3.3</v>
      </c>
      <c r="L471" s="29"/>
      <c r="M471" s="14" t="n">
        <v>2.5</v>
      </c>
      <c r="N471" s="29"/>
      <c r="O471" s="32" t="n">
        <v>0.8</v>
      </c>
      <c r="P471" s="14" t="n">
        <v>3.2</v>
      </c>
      <c r="Q471" s="25" t="n">
        <v>1</v>
      </c>
      <c r="R471" s="25" t="n">
        <v>1</v>
      </c>
      <c r="S471" s="25" t="n">
        <v>1</v>
      </c>
      <c r="T471" s="25" t="n">
        <v>1</v>
      </c>
      <c r="U471" s="29"/>
      <c r="V471" s="29"/>
      <c r="W471" s="29"/>
      <c r="X471" s="14" t="n">
        <v>0.13</v>
      </c>
      <c r="Y471" s="29"/>
      <c r="Z471" s="25" t="s">
        <v>2939</v>
      </c>
      <c r="AA471" s="12" t="s">
        <v>3894</v>
      </c>
      <c r="AB471" s="25" t="s">
        <v>86</v>
      </c>
      <c r="AC471" s="22" t="s">
        <v>664</v>
      </c>
    </row>
    <row r="472" customFormat="false" ht="19.5" hidden="false" customHeight="true" outlineLevel="0" collapsed="false">
      <c r="A472" s="27" t="s">
        <v>4303</v>
      </c>
      <c r="B472" s="27" t="s">
        <v>533</v>
      </c>
      <c r="C472" s="9" t="s">
        <v>534</v>
      </c>
      <c r="D472" s="9" t="s">
        <v>260</v>
      </c>
      <c r="E472" s="9" t="s">
        <v>535</v>
      </c>
      <c r="F472" s="27" t="s">
        <v>1261</v>
      </c>
      <c r="G472" s="27" t="n">
        <v>2026</v>
      </c>
      <c r="H472" s="27" t="n">
        <v>5</v>
      </c>
      <c r="I472" s="27" t="s">
        <v>3879</v>
      </c>
      <c r="J472" s="20" t="n">
        <v>1</v>
      </c>
      <c r="K472" s="11" t="n">
        <v>3.2</v>
      </c>
      <c r="L472" s="30"/>
      <c r="M472" s="11" t="n">
        <v>3.3</v>
      </c>
      <c r="N472" s="11" t="n">
        <v>2.5</v>
      </c>
      <c r="O472" s="31" t="n">
        <v>-0.1</v>
      </c>
      <c r="P472" s="11" t="n">
        <v>2.9</v>
      </c>
      <c r="Q472" s="27" t="n">
        <v>1</v>
      </c>
      <c r="R472" s="27" t="n">
        <v>1</v>
      </c>
      <c r="S472" s="27" t="n">
        <v>1</v>
      </c>
      <c r="T472" s="27" t="n">
        <v>1</v>
      </c>
      <c r="U472" s="30"/>
      <c r="V472" s="30"/>
      <c r="W472" s="30"/>
      <c r="X472" s="11" t="n">
        <v>0.145</v>
      </c>
      <c r="Y472" s="30"/>
      <c r="Z472" s="27" t="s">
        <v>2939</v>
      </c>
      <c r="AA472" s="9" t="s">
        <v>3894</v>
      </c>
      <c r="AB472" s="27" t="s">
        <v>86</v>
      </c>
      <c r="AC472" s="23" t="s">
        <v>681</v>
      </c>
    </row>
    <row r="473" customFormat="false" ht="19.5" hidden="false" customHeight="true" outlineLevel="0" collapsed="false">
      <c r="A473" s="25" t="s">
        <v>4304</v>
      </c>
      <c r="B473" s="25" t="s">
        <v>533</v>
      </c>
      <c r="C473" s="12" t="s">
        <v>534</v>
      </c>
      <c r="D473" s="12" t="s">
        <v>260</v>
      </c>
      <c r="E473" s="12" t="s">
        <v>535</v>
      </c>
      <c r="F473" s="25" t="s">
        <v>1276</v>
      </c>
      <c r="G473" s="25" t="n">
        <v>2026</v>
      </c>
      <c r="H473" s="25" t="n">
        <v>5</v>
      </c>
      <c r="I473" s="25" t="s">
        <v>3879</v>
      </c>
      <c r="J473" s="18" t="n">
        <v>1</v>
      </c>
      <c r="K473" s="14" t="n">
        <v>2.9</v>
      </c>
      <c r="L473" s="29"/>
      <c r="M473" s="14" t="n">
        <v>3.2</v>
      </c>
      <c r="N473" s="14" t="n">
        <v>3.3</v>
      </c>
      <c r="O473" s="32" t="n">
        <v>-0.3</v>
      </c>
      <c r="P473" s="14" t="n">
        <v>2.9</v>
      </c>
      <c r="Q473" s="25" t="n">
        <v>1</v>
      </c>
      <c r="R473" s="25" t="n">
        <v>1</v>
      </c>
      <c r="S473" s="25" t="n">
        <v>1</v>
      </c>
      <c r="T473" s="25" t="n">
        <v>1</v>
      </c>
      <c r="U473" s="29"/>
      <c r="V473" s="29"/>
      <c r="W473" s="29"/>
      <c r="X473" s="14" t="n">
        <v>0.16</v>
      </c>
      <c r="Y473" s="29"/>
      <c r="Z473" s="25" t="s">
        <v>2939</v>
      </c>
      <c r="AA473" s="12" t="s">
        <v>3894</v>
      </c>
      <c r="AB473" s="25" t="s">
        <v>86</v>
      </c>
      <c r="AC473" s="22" t="s">
        <v>697</v>
      </c>
    </row>
    <row r="474" customFormat="false" ht="19.5" hidden="false" customHeight="true" outlineLevel="0" collapsed="false">
      <c r="A474" s="27" t="s">
        <v>4305</v>
      </c>
      <c r="B474" s="27" t="s">
        <v>533</v>
      </c>
      <c r="C474" s="9" t="s">
        <v>534</v>
      </c>
      <c r="D474" s="9" t="s">
        <v>260</v>
      </c>
      <c r="E474" s="9" t="s">
        <v>535</v>
      </c>
      <c r="F474" s="27" t="s">
        <v>1291</v>
      </c>
      <c r="G474" s="27" t="n">
        <v>2026</v>
      </c>
      <c r="H474" s="27" t="n">
        <v>5</v>
      </c>
      <c r="I474" s="27" t="s">
        <v>3879</v>
      </c>
      <c r="J474" s="20" t="n">
        <v>1</v>
      </c>
      <c r="K474" s="11" t="n">
        <v>2.9</v>
      </c>
      <c r="L474" s="30"/>
      <c r="M474" s="11" t="n">
        <v>2.9</v>
      </c>
      <c r="N474" s="11" t="n">
        <v>3.2</v>
      </c>
      <c r="O474" s="31" t="n">
        <v>0</v>
      </c>
      <c r="P474" s="11" t="n">
        <v>2.2</v>
      </c>
      <c r="Q474" s="27" t="n">
        <v>1</v>
      </c>
      <c r="R474" s="27" t="n">
        <v>1</v>
      </c>
      <c r="S474" s="27" t="n">
        <v>1</v>
      </c>
      <c r="T474" s="27" t="n">
        <v>1</v>
      </c>
      <c r="U474" s="30"/>
      <c r="V474" s="30"/>
      <c r="W474" s="30"/>
      <c r="X474" s="11" t="n">
        <v>0.18</v>
      </c>
      <c r="Y474" s="30"/>
      <c r="Z474" s="27" t="s">
        <v>2939</v>
      </c>
      <c r="AA474" s="9" t="s">
        <v>3894</v>
      </c>
      <c r="AB474" s="27" t="s">
        <v>86</v>
      </c>
      <c r="AC474" s="23" t="s">
        <v>713</v>
      </c>
    </row>
    <row r="475" customFormat="false" ht="19.5" hidden="false" customHeight="true" outlineLevel="0" collapsed="false">
      <c r="A475" s="25" t="s">
        <v>4306</v>
      </c>
      <c r="B475" s="25" t="s">
        <v>533</v>
      </c>
      <c r="C475" s="12" t="s">
        <v>534</v>
      </c>
      <c r="D475" s="12" t="s">
        <v>260</v>
      </c>
      <c r="E475" s="12" t="s">
        <v>535</v>
      </c>
      <c r="F475" s="25" t="s">
        <v>1306</v>
      </c>
      <c r="G475" s="25" t="n">
        <v>2026</v>
      </c>
      <c r="H475" s="25" t="n">
        <v>5</v>
      </c>
      <c r="I475" s="25" t="s">
        <v>3879</v>
      </c>
      <c r="J475" s="18" t="n">
        <v>1</v>
      </c>
      <c r="K475" s="14" t="n">
        <v>2.2</v>
      </c>
      <c r="L475" s="29"/>
      <c r="M475" s="14" t="n">
        <v>2.9</v>
      </c>
      <c r="N475" s="14" t="n">
        <v>2.9</v>
      </c>
      <c r="O475" s="32" t="n">
        <v>-0.7</v>
      </c>
      <c r="P475" s="29"/>
      <c r="Q475" s="25" t="n">
        <v>1</v>
      </c>
      <c r="R475" s="25" t="n">
        <v>1</v>
      </c>
      <c r="S475" s="25" t="n">
        <v>1</v>
      </c>
      <c r="T475" s="25" t="n">
        <v>1</v>
      </c>
      <c r="U475" s="29"/>
      <c r="V475" s="29"/>
      <c r="W475" s="29"/>
      <c r="X475" s="14" t="n">
        <v>0.205</v>
      </c>
      <c r="Y475" s="29"/>
      <c r="Z475" s="25" t="s">
        <v>2939</v>
      </c>
      <c r="AA475" s="12" t="s">
        <v>3894</v>
      </c>
      <c r="AB475" s="25" t="s">
        <v>86</v>
      </c>
      <c r="AC475" s="22" t="s">
        <v>729</v>
      </c>
    </row>
    <row r="476" customFormat="false" ht="19.5" hidden="false" customHeight="true" outlineLevel="0" collapsed="false">
      <c r="A476" s="27" t="s">
        <v>4307</v>
      </c>
      <c r="B476" s="27" t="s">
        <v>226</v>
      </c>
      <c r="C476" s="9" t="s">
        <v>227</v>
      </c>
      <c r="D476" s="9" t="s">
        <v>218</v>
      </c>
      <c r="E476" s="9" t="s">
        <v>219</v>
      </c>
      <c r="F476" s="27" t="s">
        <v>1323</v>
      </c>
      <c r="G476" s="27" t="n">
        <v>2026</v>
      </c>
      <c r="H476" s="27" t="n">
        <v>9</v>
      </c>
      <c r="I476" s="27" t="s">
        <v>3827</v>
      </c>
      <c r="J476" s="20" t="n">
        <v>2</v>
      </c>
      <c r="K476" s="11" t="n">
        <v>0</v>
      </c>
      <c r="L476" s="30"/>
      <c r="M476" s="11" t="n">
        <v>0</v>
      </c>
      <c r="N476" s="30"/>
      <c r="O476" s="31" t="n">
        <v>0</v>
      </c>
      <c r="P476" s="11" t="n">
        <v>0</v>
      </c>
      <c r="Q476" s="27" t="n">
        <v>0</v>
      </c>
      <c r="R476" s="27" t="n">
        <v>0</v>
      </c>
      <c r="S476" s="27" t="n">
        <v>0</v>
      </c>
      <c r="T476" s="27" t="n">
        <v>0</v>
      </c>
      <c r="U476" s="30"/>
      <c r="V476" s="30"/>
      <c r="W476" s="30"/>
      <c r="X476" s="30"/>
      <c r="Y476" s="30"/>
      <c r="Z476" s="27" t="s">
        <v>3836</v>
      </c>
      <c r="AA476" s="9" t="s">
        <v>3828</v>
      </c>
      <c r="AB476" s="27" t="s">
        <v>86</v>
      </c>
      <c r="AC476" s="23" t="s">
        <v>1326</v>
      </c>
    </row>
    <row r="477" customFormat="false" ht="19.5" hidden="false" customHeight="true" outlineLevel="0" collapsed="false">
      <c r="A477" s="25" t="s">
        <v>4308</v>
      </c>
      <c r="B477" s="25" t="s">
        <v>226</v>
      </c>
      <c r="C477" s="12" t="s">
        <v>227</v>
      </c>
      <c r="D477" s="12" t="s">
        <v>218</v>
      </c>
      <c r="E477" s="12" t="s">
        <v>219</v>
      </c>
      <c r="F477" s="25" t="s">
        <v>1353</v>
      </c>
      <c r="G477" s="25" t="n">
        <v>2026</v>
      </c>
      <c r="H477" s="25" t="n">
        <v>9</v>
      </c>
      <c r="I477" s="25" t="s">
        <v>3827</v>
      </c>
      <c r="J477" s="18" t="n">
        <v>2</v>
      </c>
      <c r="K477" s="14" t="n">
        <v>0</v>
      </c>
      <c r="L477" s="29"/>
      <c r="M477" s="14" t="n">
        <v>0</v>
      </c>
      <c r="N477" s="29"/>
      <c r="O477" s="32" t="n">
        <v>0</v>
      </c>
      <c r="P477" s="14" t="n">
        <v>0</v>
      </c>
      <c r="Q477" s="25" t="n">
        <v>0</v>
      </c>
      <c r="R477" s="25" t="n">
        <v>0</v>
      </c>
      <c r="S477" s="25" t="n">
        <v>0</v>
      </c>
      <c r="T477" s="25" t="n">
        <v>0</v>
      </c>
      <c r="U477" s="14" t="n">
        <v>1.02</v>
      </c>
      <c r="V477" s="14" t="n">
        <v>-1.04</v>
      </c>
      <c r="W477" s="14" t="n">
        <v>2.06</v>
      </c>
      <c r="X477" s="29"/>
      <c r="Y477" s="29"/>
      <c r="Z477" s="25" t="s">
        <v>3836</v>
      </c>
      <c r="AA477" s="12" t="s">
        <v>3828</v>
      </c>
      <c r="AB477" s="25" t="s">
        <v>86</v>
      </c>
      <c r="AC477" s="22" t="s">
        <v>1326</v>
      </c>
    </row>
    <row r="478" customFormat="false" ht="19.5" hidden="false" customHeight="true" outlineLevel="0" collapsed="false">
      <c r="A478" s="27" t="s">
        <v>4309</v>
      </c>
      <c r="B478" s="27" t="s">
        <v>226</v>
      </c>
      <c r="C478" s="9" t="s">
        <v>227</v>
      </c>
      <c r="D478" s="9" t="s">
        <v>218</v>
      </c>
      <c r="E478" s="9" t="s">
        <v>219</v>
      </c>
      <c r="F478" s="27" t="s">
        <v>1374</v>
      </c>
      <c r="G478" s="27" t="n">
        <v>2026</v>
      </c>
      <c r="H478" s="27" t="n">
        <v>9</v>
      </c>
      <c r="I478" s="27" t="s">
        <v>3827</v>
      </c>
      <c r="J478" s="20" t="n">
        <v>1</v>
      </c>
      <c r="K478" s="11" t="n">
        <v>0</v>
      </c>
      <c r="L478" s="30"/>
      <c r="M478" s="11" t="n">
        <v>0</v>
      </c>
      <c r="N478" s="11" t="n">
        <v>0</v>
      </c>
      <c r="O478" s="31" t="n">
        <v>0</v>
      </c>
      <c r="P478" s="11" t="n">
        <v>0</v>
      </c>
      <c r="Q478" s="27" t="n">
        <v>0</v>
      </c>
      <c r="R478" s="27" t="n">
        <v>0</v>
      </c>
      <c r="S478" s="27" t="n">
        <v>0</v>
      </c>
      <c r="T478" s="27" t="n">
        <v>0</v>
      </c>
      <c r="U478" s="11" t="n">
        <v>0.96</v>
      </c>
      <c r="V478" s="11" t="n">
        <v>-1.01</v>
      </c>
      <c r="W478" s="11" t="n">
        <v>1.97</v>
      </c>
      <c r="X478" s="11" t="n">
        <v>0.2</v>
      </c>
      <c r="Y478" s="10" t="n">
        <v>3</v>
      </c>
      <c r="Z478" s="27" t="s">
        <v>2961</v>
      </c>
      <c r="AA478" s="9" t="s">
        <v>3828</v>
      </c>
      <c r="AB478" s="27" t="s">
        <v>86</v>
      </c>
      <c r="AC478" s="23" t="s">
        <v>1376</v>
      </c>
    </row>
    <row r="479" customFormat="false" ht="19.5" hidden="false" customHeight="true" outlineLevel="0" collapsed="false">
      <c r="A479" s="25" t="s">
        <v>4310</v>
      </c>
      <c r="B479" s="25" t="s">
        <v>226</v>
      </c>
      <c r="C479" s="12" t="s">
        <v>227</v>
      </c>
      <c r="D479" s="12" t="s">
        <v>218</v>
      </c>
      <c r="E479" s="12" t="s">
        <v>219</v>
      </c>
      <c r="F479" s="25" t="s">
        <v>1400</v>
      </c>
      <c r="G479" s="25" t="n">
        <v>2026</v>
      </c>
      <c r="H479" s="25" t="n">
        <v>9</v>
      </c>
      <c r="I479" s="25" t="s">
        <v>3827</v>
      </c>
      <c r="J479" s="18" t="n">
        <v>1</v>
      </c>
      <c r="K479" s="14" t="n">
        <v>0</v>
      </c>
      <c r="L479" s="29"/>
      <c r="M479" s="14" t="n">
        <v>0</v>
      </c>
      <c r="N479" s="14" t="n">
        <v>0</v>
      </c>
      <c r="O479" s="32" t="n">
        <v>0</v>
      </c>
      <c r="P479" s="14" t="n">
        <v>0</v>
      </c>
      <c r="Q479" s="25" t="n">
        <v>0</v>
      </c>
      <c r="R479" s="25" t="n">
        <v>0</v>
      </c>
      <c r="S479" s="25" t="n">
        <v>0</v>
      </c>
      <c r="T479" s="25" t="n">
        <v>0</v>
      </c>
      <c r="U479" s="14" t="n">
        <v>0.3</v>
      </c>
      <c r="V479" s="14" t="n">
        <v>-0.98</v>
      </c>
      <c r="W479" s="14" t="n">
        <v>1.28</v>
      </c>
      <c r="X479" s="14" t="n">
        <v>0.44</v>
      </c>
      <c r="Y479" s="13" t="n">
        <v>0</v>
      </c>
      <c r="Z479" s="25" t="s">
        <v>2961</v>
      </c>
      <c r="AA479" s="12" t="s">
        <v>3828</v>
      </c>
      <c r="AB479" s="25" t="s">
        <v>86</v>
      </c>
      <c r="AC479" s="22" t="s">
        <v>1376</v>
      </c>
    </row>
    <row r="480" customFormat="false" ht="19.5" hidden="false" customHeight="true" outlineLevel="0" collapsed="false">
      <c r="A480" s="27" t="s">
        <v>4311</v>
      </c>
      <c r="B480" s="27" t="s">
        <v>226</v>
      </c>
      <c r="C480" s="9" t="s">
        <v>227</v>
      </c>
      <c r="D480" s="9" t="s">
        <v>218</v>
      </c>
      <c r="E480" s="9" t="s">
        <v>219</v>
      </c>
      <c r="F480" s="27" t="s">
        <v>1419</v>
      </c>
      <c r="G480" s="27" t="n">
        <v>2026</v>
      </c>
      <c r="H480" s="27" t="n">
        <v>9</v>
      </c>
      <c r="I480" s="27" t="s">
        <v>3827</v>
      </c>
      <c r="J480" s="20" t="n">
        <v>1</v>
      </c>
      <c r="K480" s="11" t="n">
        <v>0</v>
      </c>
      <c r="L480" s="30"/>
      <c r="M480" s="11" t="n">
        <v>0</v>
      </c>
      <c r="N480" s="11" t="n">
        <v>0</v>
      </c>
      <c r="O480" s="31" t="n">
        <v>0</v>
      </c>
      <c r="P480" s="30"/>
      <c r="Q480" s="27" t="n">
        <v>0</v>
      </c>
      <c r="R480" s="27" t="n">
        <v>0</v>
      </c>
      <c r="S480" s="27" t="n">
        <v>0</v>
      </c>
      <c r="T480" s="27" t="n">
        <v>0</v>
      </c>
      <c r="U480" s="11" t="n">
        <v>0.97</v>
      </c>
      <c r="V480" s="11" t="n">
        <v>0.97</v>
      </c>
      <c r="W480" s="11" t="n">
        <v>0</v>
      </c>
      <c r="X480" s="11" t="n">
        <v>0.07</v>
      </c>
      <c r="Y480" s="10" t="n">
        <v>0</v>
      </c>
      <c r="Z480" s="27" t="s">
        <v>2961</v>
      </c>
      <c r="AA480" s="9" t="s">
        <v>3828</v>
      </c>
      <c r="AB480" s="27" t="s">
        <v>86</v>
      </c>
      <c r="AC480" s="23" t="s">
        <v>1376</v>
      </c>
    </row>
    <row r="481" customFormat="false" ht="19.5" hidden="false" customHeight="true" outlineLevel="0" collapsed="false">
      <c r="A481" s="25" t="s">
        <v>4312</v>
      </c>
      <c r="B481" s="25" t="s">
        <v>226</v>
      </c>
      <c r="C481" s="12" t="s">
        <v>227</v>
      </c>
      <c r="D481" s="12" t="s">
        <v>218</v>
      </c>
      <c r="E481" s="12" t="s">
        <v>219</v>
      </c>
      <c r="F481" s="25" t="s">
        <v>1435</v>
      </c>
      <c r="G481" s="25" t="n">
        <v>2026</v>
      </c>
      <c r="H481" s="25" t="n">
        <v>10</v>
      </c>
      <c r="I481" s="25" t="s">
        <v>3827</v>
      </c>
      <c r="J481" s="18" t="n">
        <v>1</v>
      </c>
      <c r="K481" s="14" t="n">
        <v>0</v>
      </c>
      <c r="L481" s="14" t="n">
        <v>0</v>
      </c>
      <c r="M481" s="14" t="n">
        <v>0</v>
      </c>
      <c r="N481" s="29"/>
      <c r="O481" s="32" t="n">
        <v>0</v>
      </c>
      <c r="P481" s="14" t="n">
        <v>0</v>
      </c>
      <c r="Q481" s="25" t="n">
        <v>0</v>
      </c>
      <c r="R481" s="25" t="n">
        <v>0</v>
      </c>
      <c r="S481" s="25" t="n">
        <v>0</v>
      </c>
      <c r="T481" s="25" t="n">
        <v>0</v>
      </c>
      <c r="U481" s="29"/>
      <c r="V481" s="29"/>
      <c r="W481" s="29"/>
      <c r="X481" s="29"/>
      <c r="Y481" s="29"/>
      <c r="Z481" s="25" t="s">
        <v>3836</v>
      </c>
      <c r="AA481" s="12" t="s">
        <v>3832</v>
      </c>
      <c r="AB481" s="25" t="s">
        <v>86</v>
      </c>
      <c r="AC481" s="22" t="s">
        <v>1437</v>
      </c>
    </row>
    <row r="482" customFormat="false" ht="19.5" hidden="false" customHeight="true" outlineLevel="0" collapsed="false">
      <c r="A482" s="27" t="s">
        <v>4313</v>
      </c>
      <c r="B482" s="27" t="s">
        <v>226</v>
      </c>
      <c r="C482" s="9" t="s">
        <v>227</v>
      </c>
      <c r="D482" s="9" t="s">
        <v>218</v>
      </c>
      <c r="E482" s="9" t="s">
        <v>219</v>
      </c>
      <c r="F482" s="27" t="s">
        <v>1450</v>
      </c>
      <c r="G482" s="27" t="n">
        <v>2026</v>
      </c>
      <c r="H482" s="27" t="n">
        <v>10</v>
      </c>
      <c r="I482" s="27" t="s">
        <v>3827</v>
      </c>
      <c r="J482" s="20" t="n">
        <v>1</v>
      </c>
      <c r="K482" s="11" t="n">
        <v>0</v>
      </c>
      <c r="L482" s="30"/>
      <c r="M482" s="11" t="n">
        <v>0</v>
      </c>
      <c r="N482" s="30"/>
      <c r="O482" s="31" t="n">
        <v>0</v>
      </c>
      <c r="P482" s="11" t="n">
        <v>0</v>
      </c>
      <c r="Q482" s="27" t="n">
        <v>0</v>
      </c>
      <c r="R482" s="27" t="n">
        <v>0</v>
      </c>
      <c r="S482" s="27" t="n">
        <v>0</v>
      </c>
      <c r="T482" s="27" t="n">
        <v>0</v>
      </c>
      <c r="U482" s="11" t="n">
        <v>1.22</v>
      </c>
      <c r="V482" s="11" t="n">
        <v>-1.05</v>
      </c>
      <c r="W482" s="11" t="n">
        <v>2.27</v>
      </c>
      <c r="X482" s="30"/>
      <c r="Y482" s="30"/>
      <c r="Z482" s="27" t="s">
        <v>3836</v>
      </c>
      <c r="AA482" s="9" t="s">
        <v>3832</v>
      </c>
      <c r="AB482" s="27" t="s">
        <v>86</v>
      </c>
      <c r="AC482" s="23" t="s">
        <v>1437</v>
      </c>
    </row>
    <row r="483" customFormat="false" ht="19.5" hidden="false" customHeight="true" outlineLevel="0" collapsed="false">
      <c r="A483" s="25" t="s">
        <v>4314</v>
      </c>
      <c r="B483" s="25" t="s">
        <v>226</v>
      </c>
      <c r="C483" s="12" t="s">
        <v>227</v>
      </c>
      <c r="D483" s="12" t="s">
        <v>218</v>
      </c>
      <c r="E483" s="12" t="s">
        <v>219</v>
      </c>
      <c r="F483" s="25" t="s">
        <v>1469</v>
      </c>
      <c r="G483" s="25" t="n">
        <v>2026</v>
      </c>
      <c r="H483" s="25" t="n">
        <v>10</v>
      </c>
      <c r="I483" s="25" t="s">
        <v>3827</v>
      </c>
      <c r="J483" s="18" t="n">
        <v>1</v>
      </c>
      <c r="K483" s="14" t="n">
        <v>0</v>
      </c>
      <c r="L483" s="14" t="n">
        <v>0</v>
      </c>
      <c r="M483" s="14" t="n">
        <v>0</v>
      </c>
      <c r="N483" s="14" t="n">
        <v>0</v>
      </c>
      <c r="O483" s="32" t="n">
        <v>0</v>
      </c>
      <c r="P483" s="14" t="n">
        <v>0</v>
      </c>
      <c r="Q483" s="25" t="n">
        <v>0</v>
      </c>
      <c r="R483" s="25" t="n">
        <v>0</v>
      </c>
      <c r="S483" s="25" t="n">
        <v>0</v>
      </c>
      <c r="T483" s="25" t="n">
        <v>0</v>
      </c>
      <c r="U483" s="14" t="n">
        <v>1.51</v>
      </c>
      <c r="V483" s="14" t="n">
        <v>-0.78</v>
      </c>
      <c r="W483" s="14" t="n">
        <v>2.29</v>
      </c>
      <c r="X483" s="14" t="n">
        <v>0.36</v>
      </c>
      <c r="Y483" s="13" t="n">
        <v>7</v>
      </c>
      <c r="Z483" s="25" t="s">
        <v>3014</v>
      </c>
      <c r="AA483" s="12" t="s">
        <v>3832</v>
      </c>
      <c r="AB483" s="25" t="s">
        <v>86</v>
      </c>
      <c r="AC483" s="22" t="s">
        <v>1437</v>
      </c>
    </row>
    <row r="484" customFormat="false" ht="19.5" hidden="false" customHeight="true" outlineLevel="0" collapsed="false">
      <c r="A484" s="27" t="s">
        <v>4315</v>
      </c>
      <c r="B484" s="27" t="s">
        <v>226</v>
      </c>
      <c r="C484" s="9" t="s">
        <v>227</v>
      </c>
      <c r="D484" s="9" t="s">
        <v>218</v>
      </c>
      <c r="E484" s="9" t="s">
        <v>219</v>
      </c>
      <c r="F484" s="27" t="s">
        <v>1490</v>
      </c>
      <c r="G484" s="27" t="n">
        <v>2026</v>
      </c>
      <c r="H484" s="27" t="n">
        <v>10</v>
      </c>
      <c r="I484" s="27" t="s">
        <v>3827</v>
      </c>
      <c r="J484" s="20" t="n">
        <v>1</v>
      </c>
      <c r="K484" s="11" t="n">
        <v>0</v>
      </c>
      <c r="L484" s="11" t="n">
        <v>0</v>
      </c>
      <c r="M484" s="11" t="n">
        <v>0</v>
      </c>
      <c r="N484" s="11" t="n">
        <v>0</v>
      </c>
      <c r="O484" s="31" t="n">
        <v>0</v>
      </c>
      <c r="P484" s="11" t="n">
        <v>0</v>
      </c>
      <c r="Q484" s="27" t="n">
        <v>0</v>
      </c>
      <c r="R484" s="27" t="n">
        <v>0</v>
      </c>
      <c r="S484" s="27" t="n">
        <v>0</v>
      </c>
      <c r="T484" s="27" t="n">
        <v>0</v>
      </c>
      <c r="U484" s="11" t="n">
        <v>1.85</v>
      </c>
      <c r="V484" s="11" t="n">
        <v>-0.59</v>
      </c>
      <c r="W484" s="11" t="n">
        <v>2.44</v>
      </c>
      <c r="X484" s="11" t="n">
        <v>0.1</v>
      </c>
      <c r="Y484" s="10" t="n">
        <v>0</v>
      </c>
      <c r="Z484" s="27" t="s">
        <v>3014</v>
      </c>
      <c r="AA484" s="9" t="s">
        <v>3832</v>
      </c>
      <c r="AB484" s="27" t="s">
        <v>86</v>
      </c>
      <c r="AC484" s="23" t="s">
        <v>1476</v>
      </c>
    </row>
    <row r="485" customFormat="false" ht="19.5" hidden="false" customHeight="true" outlineLevel="0" collapsed="false">
      <c r="A485" s="25" t="s">
        <v>4316</v>
      </c>
      <c r="B485" s="25" t="s">
        <v>226</v>
      </c>
      <c r="C485" s="12" t="s">
        <v>227</v>
      </c>
      <c r="D485" s="12" t="s">
        <v>218</v>
      </c>
      <c r="E485" s="12" t="s">
        <v>219</v>
      </c>
      <c r="F485" s="25" t="s">
        <v>1510</v>
      </c>
      <c r="G485" s="25" t="n">
        <v>2026</v>
      </c>
      <c r="H485" s="25" t="n">
        <v>10</v>
      </c>
      <c r="I485" s="25" t="s">
        <v>3827</v>
      </c>
      <c r="J485" s="18" t="n">
        <v>1</v>
      </c>
      <c r="K485" s="14" t="n">
        <v>0</v>
      </c>
      <c r="L485" s="14" t="n">
        <v>0</v>
      </c>
      <c r="M485" s="14" t="n">
        <v>0</v>
      </c>
      <c r="N485" s="14" t="n">
        <v>0</v>
      </c>
      <c r="O485" s="32" t="n">
        <v>0</v>
      </c>
      <c r="P485" s="14" t="n">
        <v>0</v>
      </c>
      <c r="Q485" s="25" t="n">
        <v>0</v>
      </c>
      <c r="R485" s="25" t="n">
        <v>0</v>
      </c>
      <c r="S485" s="25" t="n">
        <v>0</v>
      </c>
      <c r="T485" s="25" t="n">
        <v>0</v>
      </c>
      <c r="U485" s="14" t="n">
        <v>1.87</v>
      </c>
      <c r="V485" s="14" t="n">
        <v>-0.82</v>
      </c>
      <c r="W485" s="14" t="n">
        <v>2.69</v>
      </c>
      <c r="X485" s="14" t="n">
        <v>0.24</v>
      </c>
      <c r="Y485" s="13" t="n">
        <v>0</v>
      </c>
      <c r="Z485" s="25" t="s">
        <v>2897</v>
      </c>
      <c r="AA485" s="12" t="s">
        <v>3832</v>
      </c>
      <c r="AB485" s="25" t="s">
        <v>86</v>
      </c>
      <c r="AC485" s="22" t="s">
        <v>1497</v>
      </c>
    </row>
    <row r="486" customFormat="false" ht="19.5" hidden="false" customHeight="true" outlineLevel="0" collapsed="false">
      <c r="A486" s="27" t="s">
        <v>4317</v>
      </c>
      <c r="B486" s="27" t="s">
        <v>226</v>
      </c>
      <c r="C486" s="9" t="s">
        <v>227</v>
      </c>
      <c r="D486" s="9" t="s">
        <v>218</v>
      </c>
      <c r="E486" s="9" t="s">
        <v>219</v>
      </c>
      <c r="F486" s="27" t="s">
        <v>1532</v>
      </c>
      <c r="G486" s="27" t="n">
        <v>2026</v>
      </c>
      <c r="H486" s="27" t="n">
        <v>10</v>
      </c>
      <c r="I486" s="27" t="s">
        <v>3827</v>
      </c>
      <c r="J486" s="20" t="n">
        <v>1</v>
      </c>
      <c r="K486" s="11" t="n">
        <v>0</v>
      </c>
      <c r="L486" s="30"/>
      <c r="M486" s="11" t="n">
        <v>0</v>
      </c>
      <c r="N486" s="11" t="n">
        <v>0</v>
      </c>
      <c r="O486" s="31" t="n">
        <v>0</v>
      </c>
      <c r="P486" s="11" t="n">
        <v>0</v>
      </c>
      <c r="Q486" s="27" t="n">
        <v>0</v>
      </c>
      <c r="R486" s="27" t="n">
        <v>0</v>
      </c>
      <c r="S486" s="27" t="n">
        <v>0</v>
      </c>
      <c r="T486" s="27" t="n">
        <v>0</v>
      </c>
      <c r="U486" s="11" t="n">
        <v>1.81</v>
      </c>
      <c r="V486" s="11" t="n">
        <v>-0.96</v>
      </c>
      <c r="W486" s="11" t="n">
        <v>2.77</v>
      </c>
      <c r="X486" s="11" t="n">
        <v>0.3</v>
      </c>
      <c r="Y486" s="10" t="n">
        <v>0</v>
      </c>
      <c r="Z486" s="27" t="s">
        <v>2998</v>
      </c>
      <c r="AA486" s="9" t="s">
        <v>3832</v>
      </c>
      <c r="AB486" s="27" t="s">
        <v>86</v>
      </c>
      <c r="AC486" s="23" t="s">
        <v>1517</v>
      </c>
    </row>
    <row r="487" customFormat="false" ht="19.5" hidden="false" customHeight="true" outlineLevel="0" collapsed="false">
      <c r="A487" s="25" t="s">
        <v>4318</v>
      </c>
      <c r="B487" s="25" t="s">
        <v>226</v>
      </c>
      <c r="C487" s="12" t="s">
        <v>227</v>
      </c>
      <c r="D487" s="12" t="s">
        <v>218</v>
      </c>
      <c r="E487" s="12" t="s">
        <v>219</v>
      </c>
      <c r="F487" s="25" t="s">
        <v>1555</v>
      </c>
      <c r="G487" s="25" t="n">
        <v>2026</v>
      </c>
      <c r="H487" s="25" t="n">
        <v>10</v>
      </c>
      <c r="I487" s="25" t="s">
        <v>3827</v>
      </c>
      <c r="J487" s="18" t="n">
        <v>1</v>
      </c>
      <c r="K487" s="14" t="n">
        <v>0</v>
      </c>
      <c r="L487" s="14" t="n">
        <v>0</v>
      </c>
      <c r="M487" s="14" t="n">
        <v>0</v>
      </c>
      <c r="N487" s="14" t="n">
        <v>0</v>
      </c>
      <c r="O487" s="32" t="n">
        <v>0</v>
      </c>
      <c r="P487" s="29"/>
      <c r="Q487" s="25" t="n">
        <v>0</v>
      </c>
      <c r="R487" s="25" t="n">
        <v>0</v>
      </c>
      <c r="S487" s="25" t="n">
        <v>0</v>
      </c>
      <c r="T487" s="25" t="n">
        <v>0</v>
      </c>
      <c r="U487" s="14" t="n">
        <v>1.6</v>
      </c>
      <c r="V487" s="14" t="n">
        <v>1.6</v>
      </c>
      <c r="W487" s="14" t="n">
        <v>0</v>
      </c>
      <c r="X487" s="14" t="n">
        <v>0.35</v>
      </c>
      <c r="Y487" s="13" t="n">
        <v>0</v>
      </c>
      <c r="Z487" s="25" t="s">
        <v>2998</v>
      </c>
      <c r="AA487" s="12" t="s">
        <v>3832</v>
      </c>
      <c r="AB487" s="25" t="s">
        <v>86</v>
      </c>
      <c r="AC487" s="22" t="s">
        <v>93</v>
      </c>
    </row>
    <row r="488" customFormat="false" ht="19.5" hidden="false" customHeight="true" outlineLevel="0" collapsed="false">
      <c r="A488" s="27" t="s">
        <v>4319</v>
      </c>
      <c r="B488" s="27" t="s">
        <v>292</v>
      </c>
      <c r="C488" s="9" t="s">
        <v>293</v>
      </c>
      <c r="D488" s="9" t="s">
        <v>294</v>
      </c>
      <c r="E488" s="9" t="s">
        <v>295</v>
      </c>
      <c r="F488" s="27" t="s">
        <v>1051</v>
      </c>
      <c r="G488" s="27" t="n">
        <v>2025</v>
      </c>
      <c r="H488" s="27" t="n">
        <v>3</v>
      </c>
      <c r="I488" s="27" t="s">
        <v>3879</v>
      </c>
      <c r="J488" s="20" t="n">
        <v>1</v>
      </c>
      <c r="K488" s="11" t="n">
        <v>0.17</v>
      </c>
      <c r="L488" s="30"/>
      <c r="M488" s="30"/>
      <c r="N488" s="30"/>
      <c r="O488" s="30"/>
      <c r="P488" s="30"/>
      <c r="Q488" s="27" t="n">
        <v>0</v>
      </c>
      <c r="R488" s="27" t="n">
        <v>0</v>
      </c>
      <c r="S488" s="27" t="n">
        <v>0</v>
      </c>
      <c r="T488" s="27" t="n">
        <v>0</v>
      </c>
      <c r="U488" s="30"/>
      <c r="V488" s="30"/>
      <c r="W488" s="30"/>
      <c r="X488" s="30"/>
      <c r="Y488" s="30"/>
      <c r="Z488" s="27" t="s">
        <v>3836</v>
      </c>
      <c r="AA488" s="9" t="s">
        <v>3887</v>
      </c>
      <c r="AB488" s="27" t="s">
        <v>113</v>
      </c>
      <c r="AC488" s="23" t="s">
        <v>1052</v>
      </c>
    </row>
    <row r="489" customFormat="false" ht="19.5" hidden="false" customHeight="true" outlineLevel="0" collapsed="false">
      <c r="A489" s="25" t="s">
        <v>4320</v>
      </c>
      <c r="B489" s="25" t="s">
        <v>292</v>
      </c>
      <c r="C489" s="12" t="s">
        <v>293</v>
      </c>
      <c r="D489" s="12" t="s">
        <v>294</v>
      </c>
      <c r="E489" s="12" t="s">
        <v>295</v>
      </c>
      <c r="F489" s="25" t="s">
        <v>1078</v>
      </c>
      <c r="G489" s="25" t="n">
        <v>2025</v>
      </c>
      <c r="H489" s="25" t="n">
        <v>4</v>
      </c>
      <c r="I489" s="25" t="s">
        <v>3879</v>
      </c>
      <c r="J489" s="18" t="n">
        <v>1</v>
      </c>
      <c r="K489" s="14" t="n">
        <v>0.1</v>
      </c>
      <c r="L489" s="29"/>
      <c r="M489" s="14" t="n">
        <v>0.17</v>
      </c>
      <c r="N489" s="29"/>
      <c r="O489" s="32" t="n">
        <v>-0.07</v>
      </c>
      <c r="P489" s="29"/>
      <c r="Q489" s="25" t="n">
        <v>0</v>
      </c>
      <c r="R489" s="25" t="n">
        <v>0</v>
      </c>
      <c r="S489" s="25" t="n">
        <v>0</v>
      </c>
      <c r="T489" s="25" t="n">
        <v>0</v>
      </c>
      <c r="U489" s="29"/>
      <c r="V489" s="29"/>
      <c r="W489" s="29"/>
      <c r="X489" s="29"/>
      <c r="Y489" s="29"/>
      <c r="Z489" s="25" t="s">
        <v>2931</v>
      </c>
      <c r="AA489" s="12" t="s">
        <v>3887</v>
      </c>
      <c r="AB489" s="25" t="s">
        <v>113</v>
      </c>
      <c r="AC489" s="22" t="s">
        <v>1079</v>
      </c>
    </row>
    <row r="490" customFormat="false" ht="19.5" hidden="false" customHeight="true" outlineLevel="0" collapsed="false">
      <c r="A490" s="27" t="s">
        <v>4321</v>
      </c>
      <c r="B490" s="27" t="s">
        <v>540</v>
      </c>
      <c r="C490" s="9" t="s">
        <v>541</v>
      </c>
      <c r="D490" s="9" t="s">
        <v>260</v>
      </c>
      <c r="E490" s="9" t="s">
        <v>462</v>
      </c>
      <c r="F490" s="27" t="s">
        <v>625</v>
      </c>
      <c r="G490" s="27" t="n">
        <v>2016</v>
      </c>
      <c r="H490" s="27" t="n">
        <v>2</v>
      </c>
      <c r="I490" s="27" t="s">
        <v>3879</v>
      </c>
      <c r="J490" s="20" t="n">
        <v>1</v>
      </c>
      <c r="K490" s="11" t="n">
        <v>1.9</v>
      </c>
      <c r="L490" s="30"/>
      <c r="M490" s="30"/>
      <c r="N490" s="30"/>
      <c r="O490" s="30"/>
      <c r="P490" s="30"/>
      <c r="Q490" s="27" t="n">
        <v>1</v>
      </c>
      <c r="R490" s="27" t="n">
        <v>1</v>
      </c>
      <c r="S490" s="27" t="n">
        <v>1</v>
      </c>
      <c r="T490" s="27" t="n">
        <v>0</v>
      </c>
      <c r="U490" s="30"/>
      <c r="V490" s="30"/>
      <c r="W490" s="30"/>
      <c r="X490" s="30"/>
      <c r="Y490" s="30"/>
      <c r="Z490" s="27" t="s">
        <v>3836</v>
      </c>
      <c r="AA490" s="9" t="s">
        <v>3880</v>
      </c>
      <c r="AB490" s="27" t="s">
        <v>86</v>
      </c>
      <c r="AC490" s="23" t="s">
        <v>197</v>
      </c>
    </row>
    <row r="491" customFormat="false" ht="19.5" hidden="false" customHeight="true" outlineLevel="0" collapsed="false">
      <c r="A491" s="25" t="s">
        <v>4322</v>
      </c>
      <c r="B491" s="25" t="s">
        <v>540</v>
      </c>
      <c r="C491" s="12" t="s">
        <v>541</v>
      </c>
      <c r="D491" s="12" t="s">
        <v>260</v>
      </c>
      <c r="E491" s="12" t="s">
        <v>462</v>
      </c>
      <c r="F491" s="25" t="s">
        <v>663</v>
      </c>
      <c r="G491" s="25" t="n">
        <v>2016</v>
      </c>
      <c r="H491" s="25" t="n">
        <v>5</v>
      </c>
      <c r="I491" s="25" t="s">
        <v>3879</v>
      </c>
      <c r="J491" s="18" t="n">
        <v>1</v>
      </c>
      <c r="K491" s="14" t="n">
        <v>1.6</v>
      </c>
      <c r="L491" s="29"/>
      <c r="M491" s="29"/>
      <c r="N491" s="29"/>
      <c r="O491" s="29"/>
      <c r="P491" s="14" t="n">
        <v>1.55</v>
      </c>
      <c r="Q491" s="25" t="n">
        <v>1</v>
      </c>
      <c r="R491" s="25" t="n">
        <v>1</v>
      </c>
      <c r="S491" s="25" t="n">
        <v>1</v>
      </c>
      <c r="T491" s="25" t="n">
        <v>0</v>
      </c>
      <c r="U491" s="29"/>
      <c r="V491" s="29"/>
      <c r="W491" s="29"/>
      <c r="X491" s="29"/>
      <c r="Y491" s="29"/>
      <c r="Z491" s="25" t="s">
        <v>3836</v>
      </c>
      <c r="AA491" s="12" t="s">
        <v>3880</v>
      </c>
      <c r="AB491" s="25" t="s">
        <v>86</v>
      </c>
      <c r="AC491" s="22" t="s">
        <v>664</v>
      </c>
    </row>
    <row r="492" customFormat="false" ht="19.5" hidden="false" customHeight="true" outlineLevel="0" collapsed="false">
      <c r="A492" s="27" t="s">
        <v>4323</v>
      </c>
      <c r="B492" s="27" t="s">
        <v>540</v>
      </c>
      <c r="C492" s="9" t="s">
        <v>541</v>
      </c>
      <c r="D492" s="9" t="s">
        <v>260</v>
      </c>
      <c r="E492" s="9" t="s">
        <v>462</v>
      </c>
      <c r="F492" s="27" t="s">
        <v>680</v>
      </c>
      <c r="G492" s="27" t="n">
        <v>2016</v>
      </c>
      <c r="H492" s="27" t="n">
        <v>5</v>
      </c>
      <c r="I492" s="27" t="s">
        <v>3879</v>
      </c>
      <c r="J492" s="20" t="n">
        <v>1</v>
      </c>
      <c r="K492" s="11" t="n">
        <v>1.55</v>
      </c>
      <c r="L492" s="30"/>
      <c r="M492" s="11" t="n">
        <v>1.6</v>
      </c>
      <c r="N492" s="30"/>
      <c r="O492" s="31" t="n">
        <v>-0.05</v>
      </c>
      <c r="P492" s="11" t="n">
        <v>1.45</v>
      </c>
      <c r="Q492" s="27" t="n">
        <v>1</v>
      </c>
      <c r="R492" s="27" t="n">
        <v>1</v>
      </c>
      <c r="S492" s="27" t="n">
        <v>1</v>
      </c>
      <c r="T492" s="27" t="n">
        <v>0</v>
      </c>
      <c r="U492" s="30"/>
      <c r="V492" s="30"/>
      <c r="W492" s="30"/>
      <c r="X492" s="30"/>
      <c r="Y492" s="30"/>
      <c r="Z492" s="27" t="s">
        <v>3836</v>
      </c>
      <c r="AA492" s="9" t="s">
        <v>3880</v>
      </c>
      <c r="AB492" s="27" t="s">
        <v>86</v>
      </c>
      <c r="AC492" s="23" t="s">
        <v>681</v>
      </c>
    </row>
    <row r="493" customFormat="false" ht="19.5" hidden="false" customHeight="true" outlineLevel="0" collapsed="false">
      <c r="A493" s="25" t="s">
        <v>4324</v>
      </c>
      <c r="B493" s="25" t="s">
        <v>540</v>
      </c>
      <c r="C493" s="12" t="s">
        <v>541</v>
      </c>
      <c r="D493" s="12" t="s">
        <v>260</v>
      </c>
      <c r="E493" s="12" t="s">
        <v>462</v>
      </c>
      <c r="F493" s="25" t="s">
        <v>696</v>
      </c>
      <c r="G493" s="25" t="n">
        <v>2016</v>
      </c>
      <c r="H493" s="25" t="n">
        <v>5</v>
      </c>
      <c r="I493" s="25" t="s">
        <v>3879</v>
      </c>
      <c r="J493" s="18" t="n">
        <v>1</v>
      </c>
      <c r="K493" s="14" t="n">
        <v>1.45</v>
      </c>
      <c r="L493" s="29"/>
      <c r="M493" s="14" t="n">
        <v>1.55</v>
      </c>
      <c r="N493" s="14" t="n">
        <v>1.6</v>
      </c>
      <c r="O493" s="32" t="n">
        <v>-0.1</v>
      </c>
      <c r="P493" s="14" t="n">
        <v>1</v>
      </c>
      <c r="Q493" s="25" t="n">
        <v>1</v>
      </c>
      <c r="R493" s="25" t="n">
        <v>1</v>
      </c>
      <c r="S493" s="25" t="n">
        <v>1</v>
      </c>
      <c r="T493" s="25" t="n">
        <v>0</v>
      </c>
      <c r="U493" s="29"/>
      <c r="V493" s="29"/>
      <c r="W493" s="29"/>
      <c r="X493" s="29"/>
      <c r="Y493" s="29"/>
      <c r="Z493" s="25" t="s">
        <v>3836</v>
      </c>
      <c r="AA493" s="12" t="s">
        <v>3880</v>
      </c>
      <c r="AB493" s="25" t="s">
        <v>86</v>
      </c>
      <c r="AC493" s="22" t="s">
        <v>697</v>
      </c>
    </row>
    <row r="494" customFormat="false" ht="19.5" hidden="false" customHeight="true" outlineLevel="0" collapsed="false">
      <c r="A494" s="27" t="s">
        <v>4325</v>
      </c>
      <c r="B494" s="27" t="s">
        <v>540</v>
      </c>
      <c r="C494" s="9" t="s">
        <v>541</v>
      </c>
      <c r="D494" s="9" t="s">
        <v>260</v>
      </c>
      <c r="E494" s="9" t="s">
        <v>462</v>
      </c>
      <c r="F494" s="27" t="s">
        <v>712</v>
      </c>
      <c r="G494" s="27" t="n">
        <v>2016</v>
      </c>
      <c r="H494" s="27" t="n">
        <v>5</v>
      </c>
      <c r="I494" s="27" t="s">
        <v>3879</v>
      </c>
      <c r="J494" s="20" t="n">
        <v>1</v>
      </c>
      <c r="K494" s="11" t="n">
        <v>1</v>
      </c>
      <c r="L494" s="30"/>
      <c r="M494" s="11" t="n">
        <v>1.45</v>
      </c>
      <c r="N494" s="11" t="n">
        <v>1.55</v>
      </c>
      <c r="O494" s="31" t="n">
        <v>-0.45</v>
      </c>
      <c r="P494" s="11" t="n">
        <v>0.6</v>
      </c>
      <c r="Q494" s="27" t="n">
        <v>1</v>
      </c>
      <c r="R494" s="27" t="n">
        <v>1</v>
      </c>
      <c r="S494" s="27" t="n">
        <v>0</v>
      </c>
      <c r="T494" s="27" t="n">
        <v>0</v>
      </c>
      <c r="U494" s="30"/>
      <c r="V494" s="30"/>
      <c r="W494" s="30"/>
      <c r="X494" s="30"/>
      <c r="Y494" s="30"/>
      <c r="Z494" s="27" t="s">
        <v>3836</v>
      </c>
      <c r="AA494" s="9" t="s">
        <v>3880</v>
      </c>
      <c r="AB494" s="27" t="s">
        <v>86</v>
      </c>
      <c r="AC494" s="23" t="s">
        <v>713</v>
      </c>
    </row>
    <row r="495" customFormat="false" ht="19.5" hidden="false" customHeight="true" outlineLevel="0" collapsed="false">
      <c r="A495" s="25" t="s">
        <v>4326</v>
      </c>
      <c r="B495" s="25" t="s">
        <v>540</v>
      </c>
      <c r="C495" s="12" t="s">
        <v>541</v>
      </c>
      <c r="D495" s="12" t="s">
        <v>260</v>
      </c>
      <c r="E495" s="12" t="s">
        <v>462</v>
      </c>
      <c r="F495" s="25" t="s">
        <v>728</v>
      </c>
      <c r="G495" s="25" t="n">
        <v>2016</v>
      </c>
      <c r="H495" s="25" t="n">
        <v>5</v>
      </c>
      <c r="I495" s="25" t="s">
        <v>3879</v>
      </c>
      <c r="J495" s="18" t="n">
        <v>1</v>
      </c>
      <c r="K495" s="14" t="n">
        <v>0.6</v>
      </c>
      <c r="L495" s="29"/>
      <c r="M495" s="14" t="n">
        <v>1</v>
      </c>
      <c r="N495" s="14" t="n">
        <v>1.45</v>
      </c>
      <c r="O495" s="32" t="n">
        <v>-0.4</v>
      </c>
      <c r="P495" s="29"/>
      <c r="Q495" s="25" t="n">
        <v>1</v>
      </c>
      <c r="R495" s="25" t="n">
        <v>0</v>
      </c>
      <c r="S495" s="25" t="n">
        <v>0</v>
      </c>
      <c r="T495" s="25" t="n">
        <v>0</v>
      </c>
      <c r="U495" s="29"/>
      <c r="V495" s="29"/>
      <c r="W495" s="29"/>
      <c r="X495" s="29"/>
      <c r="Y495" s="29"/>
      <c r="Z495" s="25" t="s">
        <v>3836</v>
      </c>
      <c r="AA495" s="12" t="s">
        <v>3880</v>
      </c>
      <c r="AB495" s="25" t="s">
        <v>86</v>
      </c>
      <c r="AC495" s="22" t="s">
        <v>729</v>
      </c>
    </row>
    <row r="496" customFormat="false" ht="19.5" hidden="false" customHeight="true" outlineLevel="0" collapsed="false">
      <c r="A496" s="27" t="s">
        <v>4327</v>
      </c>
      <c r="B496" s="27" t="s">
        <v>540</v>
      </c>
      <c r="C496" s="9" t="s">
        <v>541</v>
      </c>
      <c r="D496" s="9" t="s">
        <v>260</v>
      </c>
      <c r="E496" s="9" t="s">
        <v>462</v>
      </c>
      <c r="F496" s="27" t="s">
        <v>744</v>
      </c>
      <c r="G496" s="27" t="n">
        <v>2020</v>
      </c>
      <c r="H496" s="27" t="n">
        <v>2</v>
      </c>
      <c r="I496" s="27" t="s">
        <v>3879</v>
      </c>
      <c r="J496" s="20" t="n">
        <v>1</v>
      </c>
      <c r="K496" s="11" t="n">
        <v>3.6</v>
      </c>
      <c r="L496" s="30"/>
      <c r="M496" s="30"/>
      <c r="N496" s="30"/>
      <c r="O496" s="30"/>
      <c r="P496" s="30"/>
      <c r="Q496" s="27" t="n">
        <v>1</v>
      </c>
      <c r="R496" s="27" t="n">
        <v>1</v>
      </c>
      <c r="S496" s="27" t="n">
        <v>1</v>
      </c>
      <c r="T496" s="27" t="n">
        <v>1</v>
      </c>
      <c r="U496" s="30"/>
      <c r="V496" s="30"/>
      <c r="W496" s="30"/>
      <c r="X496" s="30"/>
      <c r="Y496" s="30"/>
      <c r="Z496" s="27" t="s">
        <v>3836</v>
      </c>
      <c r="AA496" s="9" t="s">
        <v>3880</v>
      </c>
      <c r="AB496" s="27" t="s">
        <v>86</v>
      </c>
      <c r="AC496" s="23" t="s">
        <v>197</v>
      </c>
    </row>
    <row r="497" customFormat="false" ht="19.5" hidden="false" customHeight="true" outlineLevel="0" collapsed="false">
      <c r="A497" s="25" t="s">
        <v>4328</v>
      </c>
      <c r="B497" s="25" t="s">
        <v>540</v>
      </c>
      <c r="C497" s="12" t="s">
        <v>541</v>
      </c>
      <c r="D497" s="12" t="s">
        <v>260</v>
      </c>
      <c r="E497" s="12" t="s">
        <v>462</v>
      </c>
      <c r="F497" s="25" t="s">
        <v>764</v>
      </c>
      <c r="G497" s="25" t="n">
        <v>2020</v>
      </c>
      <c r="H497" s="25" t="n">
        <v>5</v>
      </c>
      <c r="I497" s="25" t="s">
        <v>3879</v>
      </c>
      <c r="J497" s="18" t="n">
        <v>1</v>
      </c>
      <c r="K497" s="14" t="n">
        <v>6.26</v>
      </c>
      <c r="L497" s="29"/>
      <c r="M497" s="29"/>
      <c r="N497" s="29"/>
      <c r="O497" s="29"/>
      <c r="P497" s="14" t="n">
        <v>6</v>
      </c>
      <c r="Q497" s="25" t="n">
        <v>1</v>
      </c>
      <c r="R497" s="25" t="n">
        <v>1</v>
      </c>
      <c r="S497" s="25" t="n">
        <v>1</v>
      </c>
      <c r="T497" s="25" t="n">
        <v>1</v>
      </c>
      <c r="U497" s="29"/>
      <c r="V497" s="29"/>
      <c r="W497" s="29"/>
      <c r="X497" s="29"/>
      <c r="Y497" s="29"/>
      <c r="Z497" s="25" t="s">
        <v>3836</v>
      </c>
      <c r="AA497" s="12" t="s">
        <v>3880</v>
      </c>
      <c r="AB497" s="25" t="s">
        <v>86</v>
      </c>
      <c r="AC497" s="22" t="s">
        <v>664</v>
      </c>
    </row>
    <row r="498" customFormat="false" ht="19.5" hidden="false" customHeight="true" outlineLevel="0" collapsed="false">
      <c r="A498" s="27" t="s">
        <v>4329</v>
      </c>
      <c r="B498" s="27" t="s">
        <v>540</v>
      </c>
      <c r="C498" s="9" t="s">
        <v>541</v>
      </c>
      <c r="D498" s="9" t="s">
        <v>260</v>
      </c>
      <c r="E498" s="9" t="s">
        <v>462</v>
      </c>
      <c r="F498" s="27" t="s">
        <v>777</v>
      </c>
      <c r="G498" s="27" t="n">
        <v>2020</v>
      </c>
      <c r="H498" s="27" t="n">
        <v>5</v>
      </c>
      <c r="I498" s="27" t="s">
        <v>3879</v>
      </c>
      <c r="J498" s="20" t="n">
        <v>1</v>
      </c>
      <c r="K498" s="11" t="n">
        <v>6</v>
      </c>
      <c r="L498" s="30"/>
      <c r="M498" s="11" t="n">
        <v>6.26</v>
      </c>
      <c r="N498" s="30"/>
      <c r="O498" s="31" t="n">
        <v>-0.26</v>
      </c>
      <c r="P498" s="11" t="n">
        <v>5.2</v>
      </c>
      <c r="Q498" s="27" t="n">
        <v>1</v>
      </c>
      <c r="R498" s="27" t="n">
        <v>1</v>
      </c>
      <c r="S498" s="27" t="n">
        <v>1</v>
      </c>
      <c r="T498" s="27" t="n">
        <v>1</v>
      </c>
      <c r="U498" s="30"/>
      <c r="V498" s="30"/>
      <c r="W498" s="30"/>
      <c r="X498" s="30"/>
      <c r="Y498" s="30"/>
      <c r="Z498" s="27" t="s">
        <v>3836</v>
      </c>
      <c r="AA498" s="9" t="s">
        <v>3880</v>
      </c>
      <c r="AB498" s="27" t="s">
        <v>86</v>
      </c>
      <c r="AC498" s="23" t="s">
        <v>681</v>
      </c>
    </row>
    <row r="499" customFormat="false" ht="19.5" hidden="false" customHeight="true" outlineLevel="0" collapsed="false">
      <c r="A499" s="25" t="s">
        <v>4330</v>
      </c>
      <c r="B499" s="25" t="s">
        <v>540</v>
      </c>
      <c r="C499" s="12" t="s">
        <v>541</v>
      </c>
      <c r="D499" s="12" t="s">
        <v>260</v>
      </c>
      <c r="E499" s="12" t="s">
        <v>462</v>
      </c>
      <c r="F499" s="25" t="s">
        <v>790</v>
      </c>
      <c r="G499" s="25" t="n">
        <v>2020</v>
      </c>
      <c r="H499" s="25" t="n">
        <v>5</v>
      </c>
      <c r="I499" s="25" t="s">
        <v>3879</v>
      </c>
      <c r="J499" s="18" t="n">
        <v>1</v>
      </c>
      <c r="K499" s="14" t="n">
        <v>5.2</v>
      </c>
      <c r="L499" s="29"/>
      <c r="M499" s="14" t="n">
        <v>6</v>
      </c>
      <c r="N499" s="14" t="n">
        <v>6.26</v>
      </c>
      <c r="O499" s="32" t="n">
        <v>-0.8</v>
      </c>
      <c r="P499" s="14" t="n">
        <v>4.2</v>
      </c>
      <c r="Q499" s="25" t="n">
        <v>1</v>
      </c>
      <c r="R499" s="25" t="n">
        <v>1</v>
      </c>
      <c r="S499" s="25" t="n">
        <v>1</v>
      </c>
      <c r="T499" s="25" t="n">
        <v>1</v>
      </c>
      <c r="U499" s="29"/>
      <c r="V499" s="29"/>
      <c r="W499" s="29"/>
      <c r="X499" s="29"/>
      <c r="Y499" s="29"/>
      <c r="Z499" s="25" t="s">
        <v>3836</v>
      </c>
      <c r="AA499" s="12" t="s">
        <v>3880</v>
      </c>
      <c r="AB499" s="25" t="s">
        <v>86</v>
      </c>
      <c r="AC499" s="22" t="s">
        <v>697</v>
      </c>
    </row>
    <row r="500" customFormat="false" ht="19.5" hidden="false" customHeight="true" outlineLevel="0" collapsed="false">
      <c r="A500" s="27" t="s">
        <v>4331</v>
      </c>
      <c r="B500" s="27" t="s">
        <v>540</v>
      </c>
      <c r="C500" s="9" t="s">
        <v>541</v>
      </c>
      <c r="D500" s="9" t="s">
        <v>260</v>
      </c>
      <c r="E500" s="9" t="s">
        <v>462</v>
      </c>
      <c r="F500" s="27" t="s">
        <v>803</v>
      </c>
      <c r="G500" s="27" t="n">
        <v>2020</v>
      </c>
      <c r="H500" s="27" t="n">
        <v>5</v>
      </c>
      <c r="I500" s="27" t="s">
        <v>3879</v>
      </c>
      <c r="J500" s="20" t="n">
        <v>1</v>
      </c>
      <c r="K500" s="11" t="n">
        <v>4.2</v>
      </c>
      <c r="L500" s="30"/>
      <c r="M500" s="11" t="n">
        <v>5.2</v>
      </c>
      <c r="N500" s="11" t="n">
        <v>6</v>
      </c>
      <c r="O500" s="31" t="n">
        <v>-1</v>
      </c>
      <c r="P500" s="11" t="n">
        <v>3.4</v>
      </c>
      <c r="Q500" s="27" t="n">
        <v>1</v>
      </c>
      <c r="R500" s="27" t="n">
        <v>1</v>
      </c>
      <c r="S500" s="27" t="n">
        <v>1</v>
      </c>
      <c r="T500" s="27" t="n">
        <v>1</v>
      </c>
      <c r="U500" s="30"/>
      <c r="V500" s="30"/>
      <c r="W500" s="30"/>
      <c r="X500" s="30"/>
      <c r="Y500" s="30"/>
      <c r="Z500" s="27" t="s">
        <v>3836</v>
      </c>
      <c r="AA500" s="9" t="s">
        <v>3880</v>
      </c>
      <c r="AB500" s="27" t="s">
        <v>86</v>
      </c>
      <c r="AC500" s="23" t="s">
        <v>713</v>
      </c>
    </row>
    <row r="501" customFormat="false" ht="19.5" hidden="false" customHeight="true" outlineLevel="0" collapsed="false">
      <c r="A501" s="25" t="s">
        <v>4332</v>
      </c>
      <c r="B501" s="25" t="s">
        <v>540</v>
      </c>
      <c r="C501" s="12" t="s">
        <v>541</v>
      </c>
      <c r="D501" s="12" t="s">
        <v>260</v>
      </c>
      <c r="E501" s="12" t="s">
        <v>462</v>
      </c>
      <c r="F501" s="25" t="s">
        <v>816</v>
      </c>
      <c r="G501" s="25" t="n">
        <v>2020</v>
      </c>
      <c r="H501" s="25" t="n">
        <v>5</v>
      </c>
      <c r="I501" s="25" t="s">
        <v>3879</v>
      </c>
      <c r="J501" s="18" t="n">
        <v>1</v>
      </c>
      <c r="K501" s="14" t="n">
        <v>3.4</v>
      </c>
      <c r="L501" s="29"/>
      <c r="M501" s="14" t="n">
        <v>4.2</v>
      </c>
      <c r="N501" s="14" t="n">
        <v>5.2</v>
      </c>
      <c r="O501" s="32" t="n">
        <v>-0.8</v>
      </c>
      <c r="P501" s="29"/>
      <c r="Q501" s="25" t="n">
        <v>1</v>
      </c>
      <c r="R501" s="25" t="n">
        <v>1</v>
      </c>
      <c r="S501" s="25" t="n">
        <v>1</v>
      </c>
      <c r="T501" s="25" t="n">
        <v>1</v>
      </c>
      <c r="U501" s="29"/>
      <c r="V501" s="29"/>
      <c r="W501" s="29"/>
      <c r="X501" s="29"/>
      <c r="Y501" s="29"/>
      <c r="Z501" s="25" t="s">
        <v>3836</v>
      </c>
      <c r="AA501" s="12" t="s">
        <v>3880</v>
      </c>
      <c r="AB501" s="25" t="s">
        <v>86</v>
      </c>
      <c r="AC501" s="22" t="s">
        <v>729</v>
      </c>
    </row>
    <row r="502" customFormat="false" ht="19.5" hidden="false" customHeight="true" outlineLevel="0" collapsed="false">
      <c r="A502" s="27" t="s">
        <v>4333</v>
      </c>
      <c r="B502" s="27" t="s">
        <v>540</v>
      </c>
      <c r="C502" s="9" t="s">
        <v>541</v>
      </c>
      <c r="D502" s="9" t="s">
        <v>260</v>
      </c>
      <c r="E502" s="9" t="s">
        <v>462</v>
      </c>
      <c r="F502" s="27" t="s">
        <v>975</v>
      </c>
      <c r="G502" s="27" t="n">
        <v>2025</v>
      </c>
      <c r="H502" s="27" t="n">
        <v>2</v>
      </c>
      <c r="I502" s="27" t="s">
        <v>3879</v>
      </c>
      <c r="J502" s="20" t="n">
        <v>1</v>
      </c>
      <c r="K502" s="11" t="n">
        <v>2.1</v>
      </c>
      <c r="L502" s="30"/>
      <c r="M502" s="30"/>
      <c r="N502" s="30"/>
      <c r="O502" s="30"/>
      <c r="P502" s="30"/>
      <c r="Q502" s="27" t="n">
        <v>1</v>
      </c>
      <c r="R502" s="27" t="n">
        <v>1</v>
      </c>
      <c r="S502" s="27" t="n">
        <v>1</v>
      </c>
      <c r="T502" s="27" t="n">
        <v>1</v>
      </c>
      <c r="U502" s="30"/>
      <c r="V502" s="30"/>
      <c r="W502" s="30"/>
      <c r="X502" s="30"/>
      <c r="Y502" s="30"/>
      <c r="Z502" s="27" t="s">
        <v>3836</v>
      </c>
      <c r="AA502" s="9" t="s">
        <v>3887</v>
      </c>
      <c r="AB502" s="27" t="s">
        <v>86</v>
      </c>
      <c r="AC502" s="23" t="s">
        <v>197</v>
      </c>
    </row>
    <row r="503" customFormat="false" ht="19.5" hidden="false" customHeight="true" outlineLevel="0" collapsed="false">
      <c r="A503" s="25" t="s">
        <v>4334</v>
      </c>
      <c r="B503" s="25" t="s">
        <v>540</v>
      </c>
      <c r="C503" s="12" t="s">
        <v>541</v>
      </c>
      <c r="D503" s="12" t="s">
        <v>260</v>
      </c>
      <c r="E503" s="12" t="s">
        <v>462</v>
      </c>
      <c r="F503" s="25" t="s">
        <v>1078</v>
      </c>
      <c r="G503" s="25" t="n">
        <v>2025</v>
      </c>
      <c r="H503" s="25" t="n">
        <v>4</v>
      </c>
      <c r="I503" s="25" t="s">
        <v>3879</v>
      </c>
      <c r="J503" s="18" t="n">
        <v>1</v>
      </c>
      <c r="K503" s="14" t="n">
        <v>1.92</v>
      </c>
      <c r="L503" s="29"/>
      <c r="M503" s="29"/>
      <c r="N503" s="29"/>
      <c r="O503" s="29"/>
      <c r="P503" s="29"/>
      <c r="Q503" s="25" t="n">
        <v>1</v>
      </c>
      <c r="R503" s="25" t="n">
        <v>1</v>
      </c>
      <c r="S503" s="25" t="n">
        <v>1</v>
      </c>
      <c r="T503" s="25" t="n">
        <v>0</v>
      </c>
      <c r="U503" s="29"/>
      <c r="V503" s="29"/>
      <c r="W503" s="29"/>
      <c r="X503" s="14" t="n">
        <v>0.53</v>
      </c>
      <c r="Y503" s="29"/>
      <c r="Z503" s="25" t="s">
        <v>2931</v>
      </c>
      <c r="AA503" s="12" t="s">
        <v>3887</v>
      </c>
      <c r="AB503" s="25" t="s">
        <v>113</v>
      </c>
      <c r="AC503" s="22" t="s">
        <v>1079</v>
      </c>
    </row>
    <row r="504" customFormat="false" ht="19.5" hidden="false" customHeight="true" outlineLevel="0" collapsed="false">
      <c r="A504" s="27" t="s">
        <v>4335</v>
      </c>
      <c r="B504" s="27" t="s">
        <v>540</v>
      </c>
      <c r="C504" s="9" t="s">
        <v>541</v>
      </c>
      <c r="D504" s="9" t="s">
        <v>260</v>
      </c>
      <c r="E504" s="9" t="s">
        <v>462</v>
      </c>
      <c r="F504" s="27" t="s">
        <v>1102</v>
      </c>
      <c r="G504" s="27" t="n">
        <v>2025</v>
      </c>
      <c r="H504" s="27" t="n">
        <v>5</v>
      </c>
      <c r="I504" s="27" t="s">
        <v>3879</v>
      </c>
      <c r="J504" s="20" t="n">
        <v>1</v>
      </c>
      <c r="K504" s="11" t="n">
        <v>0.28</v>
      </c>
      <c r="L504" s="30"/>
      <c r="M504" s="30"/>
      <c r="N504" s="30"/>
      <c r="O504" s="30"/>
      <c r="P504" s="11" t="n">
        <v>0.24</v>
      </c>
      <c r="Q504" s="27" t="n">
        <v>0</v>
      </c>
      <c r="R504" s="27" t="n">
        <v>0</v>
      </c>
      <c r="S504" s="27" t="n">
        <v>0</v>
      </c>
      <c r="T504" s="27" t="n">
        <v>0</v>
      </c>
      <c r="U504" s="30"/>
      <c r="V504" s="30"/>
      <c r="W504" s="30"/>
      <c r="X504" s="30"/>
      <c r="Y504" s="30"/>
      <c r="Z504" s="27" t="s">
        <v>3836</v>
      </c>
      <c r="AA504" s="9" t="s">
        <v>3887</v>
      </c>
      <c r="AB504" s="27" t="s">
        <v>86</v>
      </c>
      <c r="AC504" s="23" t="s">
        <v>664</v>
      </c>
    </row>
    <row r="505" customFormat="false" ht="19.5" hidden="false" customHeight="true" outlineLevel="0" collapsed="false">
      <c r="A505" s="25" t="s">
        <v>4336</v>
      </c>
      <c r="B505" s="25" t="s">
        <v>540</v>
      </c>
      <c r="C505" s="12" t="s">
        <v>541</v>
      </c>
      <c r="D505" s="12" t="s">
        <v>260</v>
      </c>
      <c r="E505" s="12" t="s">
        <v>462</v>
      </c>
      <c r="F505" s="25" t="s">
        <v>1117</v>
      </c>
      <c r="G505" s="25" t="n">
        <v>2025</v>
      </c>
      <c r="H505" s="25" t="n">
        <v>5</v>
      </c>
      <c r="I505" s="25" t="s">
        <v>3879</v>
      </c>
      <c r="J505" s="18" t="n">
        <v>1</v>
      </c>
      <c r="K505" s="14" t="n">
        <v>0.24</v>
      </c>
      <c r="L505" s="29"/>
      <c r="M505" s="14" t="n">
        <v>0.28</v>
      </c>
      <c r="N505" s="29"/>
      <c r="O505" s="32" t="n">
        <v>-0.04</v>
      </c>
      <c r="P505" s="14" t="n">
        <v>0.3</v>
      </c>
      <c r="Q505" s="25" t="n">
        <v>0</v>
      </c>
      <c r="R505" s="25" t="n">
        <v>0</v>
      </c>
      <c r="S505" s="25" t="n">
        <v>0</v>
      </c>
      <c r="T505" s="25" t="n">
        <v>0</v>
      </c>
      <c r="U505" s="29"/>
      <c r="V505" s="29"/>
      <c r="W505" s="29"/>
      <c r="X505" s="29"/>
      <c r="Y505" s="29"/>
      <c r="Z505" s="25" t="s">
        <v>3836</v>
      </c>
      <c r="AA505" s="12" t="s">
        <v>3887</v>
      </c>
      <c r="AB505" s="25" t="s">
        <v>86</v>
      </c>
      <c r="AC505" s="22" t="s">
        <v>681</v>
      </c>
    </row>
    <row r="506" customFormat="false" ht="19.5" hidden="false" customHeight="true" outlineLevel="0" collapsed="false">
      <c r="A506" s="27" t="s">
        <v>4337</v>
      </c>
      <c r="B506" s="27" t="s">
        <v>540</v>
      </c>
      <c r="C506" s="9" t="s">
        <v>541</v>
      </c>
      <c r="D506" s="9" t="s">
        <v>260</v>
      </c>
      <c r="E506" s="9" t="s">
        <v>462</v>
      </c>
      <c r="F506" s="27" t="s">
        <v>1132</v>
      </c>
      <c r="G506" s="27" t="n">
        <v>2025</v>
      </c>
      <c r="H506" s="27" t="n">
        <v>5</v>
      </c>
      <c r="I506" s="27" t="s">
        <v>3879</v>
      </c>
      <c r="J506" s="20" t="n">
        <v>1</v>
      </c>
      <c r="K506" s="11" t="n">
        <v>0.3</v>
      </c>
      <c r="L506" s="30"/>
      <c r="M506" s="11" t="n">
        <v>0.24</v>
      </c>
      <c r="N506" s="11" t="n">
        <v>0.28</v>
      </c>
      <c r="O506" s="31" t="n">
        <v>0.06</v>
      </c>
      <c r="P506" s="11" t="n">
        <v>0.3</v>
      </c>
      <c r="Q506" s="27" t="n">
        <v>0</v>
      </c>
      <c r="R506" s="27" t="n">
        <v>0</v>
      </c>
      <c r="S506" s="27" t="n">
        <v>0</v>
      </c>
      <c r="T506" s="27" t="n">
        <v>0</v>
      </c>
      <c r="U506" s="30"/>
      <c r="V506" s="30"/>
      <c r="W506" s="30"/>
      <c r="X506" s="30"/>
      <c r="Y506" s="30"/>
      <c r="Z506" s="27" t="s">
        <v>3836</v>
      </c>
      <c r="AA506" s="9" t="s">
        <v>3887</v>
      </c>
      <c r="AB506" s="27" t="s">
        <v>86</v>
      </c>
      <c r="AC506" s="23" t="s">
        <v>697</v>
      </c>
    </row>
    <row r="507" customFormat="false" ht="19.5" hidden="false" customHeight="true" outlineLevel="0" collapsed="false">
      <c r="A507" s="25" t="s">
        <v>4338</v>
      </c>
      <c r="B507" s="25" t="s">
        <v>540</v>
      </c>
      <c r="C507" s="12" t="s">
        <v>541</v>
      </c>
      <c r="D507" s="12" t="s">
        <v>260</v>
      </c>
      <c r="E507" s="12" t="s">
        <v>462</v>
      </c>
      <c r="F507" s="25" t="s">
        <v>1147</v>
      </c>
      <c r="G507" s="25" t="n">
        <v>2025</v>
      </c>
      <c r="H507" s="25" t="n">
        <v>5</v>
      </c>
      <c r="I507" s="25" t="s">
        <v>3879</v>
      </c>
      <c r="J507" s="18" t="n">
        <v>1</v>
      </c>
      <c r="K507" s="14" t="n">
        <v>0.3</v>
      </c>
      <c r="L507" s="29"/>
      <c r="M507" s="14" t="n">
        <v>0.3</v>
      </c>
      <c r="N507" s="14" t="n">
        <v>0.24</v>
      </c>
      <c r="O507" s="32" t="n">
        <v>0</v>
      </c>
      <c r="P507" s="14" t="n">
        <v>0.4</v>
      </c>
      <c r="Q507" s="25" t="n">
        <v>0</v>
      </c>
      <c r="R507" s="25" t="n">
        <v>0</v>
      </c>
      <c r="S507" s="25" t="n">
        <v>0</v>
      </c>
      <c r="T507" s="25" t="n">
        <v>0</v>
      </c>
      <c r="U507" s="29"/>
      <c r="V507" s="29"/>
      <c r="W507" s="29"/>
      <c r="X507" s="29"/>
      <c r="Y507" s="29"/>
      <c r="Z507" s="25" t="s">
        <v>3836</v>
      </c>
      <c r="AA507" s="12" t="s">
        <v>3887</v>
      </c>
      <c r="AB507" s="25" t="s">
        <v>86</v>
      </c>
      <c r="AC507" s="22" t="s">
        <v>713</v>
      </c>
    </row>
    <row r="508" customFormat="false" ht="19.5" hidden="false" customHeight="true" outlineLevel="0" collapsed="false">
      <c r="A508" s="27" t="s">
        <v>4339</v>
      </c>
      <c r="B508" s="27" t="s">
        <v>540</v>
      </c>
      <c r="C508" s="9" t="s">
        <v>541</v>
      </c>
      <c r="D508" s="9" t="s">
        <v>260</v>
      </c>
      <c r="E508" s="9" t="s">
        <v>462</v>
      </c>
      <c r="F508" s="27" t="s">
        <v>1162</v>
      </c>
      <c r="G508" s="27" t="n">
        <v>2025</v>
      </c>
      <c r="H508" s="27" t="n">
        <v>5</v>
      </c>
      <c r="I508" s="27" t="s">
        <v>3879</v>
      </c>
      <c r="J508" s="20" t="n">
        <v>1</v>
      </c>
      <c r="K508" s="11" t="n">
        <v>0.4</v>
      </c>
      <c r="L508" s="30"/>
      <c r="M508" s="11" t="n">
        <v>0.3</v>
      </c>
      <c r="N508" s="11" t="n">
        <v>0.3</v>
      </c>
      <c r="O508" s="31" t="n">
        <v>0.1</v>
      </c>
      <c r="P508" s="30"/>
      <c r="Q508" s="27" t="n">
        <v>0</v>
      </c>
      <c r="R508" s="27" t="n">
        <v>0</v>
      </c>
      <c r="S508" s="27" t="n">
        <v>0</v>
      </c>
      <c r="T508" s="27" t="n">
        <v>0</v>
      </c>
      <c r="U508" s="30"/>
      <c r="V508" s="30"/>
      <c r="W508" s="30"/>
      <c r="X508" s="30"/>
      <c r="Y508" s="30"/>
      <c r="Z508" s="27" t="s">
        <v>3836</v>
      </c>
      <c r="AA508" s="9" t="s">
        <v>3887</v>
      </c>
      <c r="AB508" s="27" t="s">
        <v>86</v>
      </c>
      <c r="AC508" s="23" t="s">
        <v>729</v>
      </c>
    </row>
    <row r="509" customFormat="false" ht="19.5" hidden="false" customHeight="true" outlineLevel="0" collapsed="false">
      <c r="A509" s="25" t="s">
        <v>4340</v>
      </c>
      <c r="B509" s="25" t="s">
        <v>540</v>
      </c>
      <c r="C509" s="12" t="s">
        <v>541</v>
      </c>
      <c r="D509" s="12" t="s">
        <v>260</v>
      </c>
      <c r="E509" s="12" t="s">
        <v>462</v>
      </c>
      <c r="F509" s="25" t="s">
        <v>1177</v>
      </c>
      <c r="G509" s="25" t="n">
        <v>2026</v>
      </c>
      <c r="H509" s="25" t="n">
        <v>2</v>
      </c>
      <c r="I509" s="25" t="s">
        <v>3879</v>
      </c>
      <c r="J509" s="18" t="n">
        <v>1</v>
      </c>
      <c r="K509" s="14" t="n">
        <v>1.2</v>
      </c>
      <c r="L509" s="29"/>
      <c r="M509" s="29"/>
      <c r="N509" s="29"/>
      <c r="O509" s="29"/>
      <c r="P509" s="14" t="n">
        <v>0.2</v>
      </c>
      <c r="Q509" s="25" t="n">
        <v>1</v>
      </c>
      <c r="R509" s="25" t="n">
        <v>1</v>
      </c>
      <c r="S509" s="25" t="n">
        <v>1</v>
      </c>
      <c r="T509" s="25" t="n">
        <v>0</v>
      </c>
      <c r="U509" s="29"/>
      <c r="V509" s="29"/>
      <c r="W509" s="29"/>
      <c r="X509" s="14" t="n">
        <v>0.53</v>
      </c>
      <c r="Y509" s="29"/>
      <c r="Z509" s="25" t="s">
        <v>3836</v>
      </c>
      <c r="AA509" s="12" t="s">
        <v>3894</v>
      </c>
      <c r="AB509" s="25" t="s">
        <v>86</v>
      </c>
      <c r="AC509" s="22" t="s">
        <v>197</v>
      </c>
    </row>
    <row r="510" customFormat="false" ht="19.5" hidden="false" customHeight="true" outlineLevel="0" collapsed="false">
      <c r="A510" s="27" t="s">
        <v>4341</v>
      </c>
      <c r="B510" s="27" t="s">
        <v>540</v>
      </c>
      <c r="C510" s="9" t="s">
        <v>541</v>
      </c>
      <c r="D510" s="9" t="s">
        <v>260</v>
      </c>
      <c r="E510" s="9" t="s">
        <v>462</v>
      </c>
      <c r="F510" s="27" t="s">
        <v>1194</v>
      </c>
      <c r="G510" s="27" t="n">
        <v>2026</v>
      </c>
      <c r="H510" s="27" t="n">
        <v>2</v>
      </c>
      <c r="I510" s="27" t="s">
        <v>3879</v>
      </c>
      <c r="J510" s="20" t="n">
        <v>1</v>
      </c>
      <c r="K510" s="11" t="n">
        <v>0.2</v>
      </c>
      <c r="L510" s="30"/>
      <c r="M510" s="11" t="n">
        <v>1.2</v>
      </c>
      <c r="N510" s="30"/>
      <c r="O510" s="31" t="n">
        <v>-1</v>
      </c>
      <c r="P510" s="30"/>
      <c r="Q510" s="27" t="n">
        <v>0</v>
      </c>
      <c r="R510" s="27" t="n">
        <v>0</v>
      </c>
      <c r="S510" s="27" t="n">
        <v>0</v>
      </c>
      <c r="T510" s="27" t="n">
        <v>0</v>
      </c>
      <c r="U510" s="11" t="n">
        <v>1.55</v>
      </c>
      <c r="V510" s="30"/>
      <c r="W510" s="30"/>
      <c r="X510" s="11" t="n">
        <v>0.59</v>
      </c>
      <c r="Y510" s="30"/>
      <c r="Z510" s="27" t="s">
        <v>2931</v>
      </c>
      <c r="AA510" s="9" t="s">
        <v>3894</v>
      </c>
      <c r="AB510" s="27" t="s">
        <v>86</v>
      </c>
      <c r="AC510" s="23" t="s">
        <v>197</v>
      </c>
    </row>
    <row r="511" customFormat="false" ht="19.5" hidden="false" customHeight="true" outlineLevel="0" collapsed="false">
      <c r="A511" s="25" t="s">
        <v>4342</v>
      </c>
      <c r="B511" s="25" t="s">
        <v>540</v>
      </c>
      <c r="C511" s="12" t="s">
        <v>541</v>
      </c>
      <c r="D511" s="12" t="s">
        <v>260</v>
      </c>
      <c r="E511" s="12" t="s">
        <v>462</v>
      </c>
      <c r="F511" s="25" t="s">
        <v>1231</v>
      </c>
      <c r="G511" s="25" t="n">
        <v>2026</v>
      </c>
      <c r="H511" s="25" t="n">
        <v>5</v>
      </c>
      <c r="I511" s="25" t="s">
        <v>3879</v>
      </c>
      <c r="J511" s="18" t="n">
        <v>1</v>
      </c>
      <c r="K511" s="14" t="n">
        <v>0.33</v>
      </c>
      <c r="L511" s="29"/>
      <c r="M511" s="29"/>
      <c r="N511" s="29"/>
      <c r="O511" s="29"/>
      <c r="P511" s="14" t="n">
        <v>0.24</v>
      </c>
      <c r="Q511" s="25" t="n">
        <v>0</v>
      </c>
      <c r="R511" s="25" t="n">
        <v>0</v>
      </c>
      <c r="S511" s="25" t="n">
        <v>0</v>
      </c>
      <c r="T511" s="25" t="n">
        <v>0</v>
      </c>
      <c r="U511" s="29"/>
      <c r="V511" s="29"/>
      <c r="W511" s="29"/>
      <c r="X511" s="14" t="n">
        <v>0.425</v>
      </c>
      <c r="Y511" s="29"/>
      <c r="Z511" s="25" t="s">
        <v>2939</v>
      </c>
      <c r="AA511" s="12" t="s">
        <v>3894</v>
      </c>
      <c r="AB511" s="25" t="s">
        <v>86</v>
      </c>
      <c r="AC511" s="22" t="s">
        <v>664</v>
      </c>
    </row>
    <row r="512" customFormat="false" ht="19.5" hidden="false" customHeight="true" outlineLevel="0" collapsed="false">
      <c r="A512" s="27" t="s">
        <v>4343</v>
      </c>
      <c r="B512" s="27" t="s">
        <v>540</v>
      </c>
      <c r="C512" s="9" t="s">
        <v>541</v>
      </c>
      <c r="D512" s="9" t="s">
        <v>260</v>
      </c>
      <c r="E512" s="9" t="s">
        <v>462</v>
      </c>
      <c r="F512" s="27" t="s">
        <v>1246</v>
      </c>
      <c r="G512" s="27" t="n">
        <v>2026</v>
      </c>
      <c r="H512" s="27" t="n">
        <v>5</v>
      </c>
      <c r="I512" s="27" t="s">
        <v>3879</v>
      </c>
      <c r="J512" s="20" t="n">
        <v>1</v>
      </c>
      <c r="K512" s="11" t="n">
        <v>0.24</v>
      </c>
      <c r="L512" s="30"/>
      <c r="M512" s="11" t="n">
        <v>0.33</v>
      </c>
      <c r="N512" s="30"/>
      <c r="O512" s="31" t="n">
        <v>-0.09</v>
      </c>
      <c r="P512" s="11" t="n">
        <v>0.23</v>
      </c>
      <c r="Q512" s="27" t="n">
        <v>0</v>
      </c>
      <c r="R512" s="27" t="n">
        <v>0</v>
      </c>
      <c r="S512" s="27" t="n">
        <v>0</v>
      </c>
      <c r="T512" s="27" t="n">
        <v>0</v>
      </c>
      <c r="U512" s="30"/>
      <c r="V512" s="30"/>
      <c r="W512" s="30"/>
      <c r="X512" s="11" t="n">
        <v>0.51</v>
      </c>
      <c r="Y512" s="30"/>
      <c r="Z512" s="27" t="s">
        <v>2939</v>
      </c>
      <c r="AA512" s="9" t="s">
        <v>3894</v>
      </c>
      <c r="AB512" s="27" t="s">
        <v>86</v>
      </c>
      <c r="AC512" s="23" t="s">
        <v>664</v>
      </c>
    </row>
    <row r="513" customFormat="false" ht="19.5" hidden="false" customHeight="true" outlineLevel="0" collapsed="false">
      <c r="A513" s="25" t="s">
        <v>4344</v>
      </c>
      <c r="B513" s="25" t="s">
        <v>540</v>
      </c>
      <c r="C513" s="12" t="s">
        <v>541</v>
      </c>
      <c r="D513" s="12" t="s">
        <v>260</v>
      </c>
      <c r="E513" s="12" t="s">
        <v>462</v>
      </c>
      <c r="F513" s="25" t="s">
        <v>1261</v>
      </c>
      <c r="G513" s="25" t="n">
        <v>2026</v>
      </c>
      <c r="H513" s="25" t="n">
        <v>5</v>
      </c>
      <c r="I513" s="25" t="s">
        <v>3879</v>
      </c>
      <c r="J513" s="18" t="n">
        <v>1</v>
      </c>
      <c r="K513" s="14" t="n">
        <v>0.23</v>
      </c>
      <c r="L513" s="29"/>
      <c r="M513" s="14" t="n">
        <v>0.24</v>
      </c>
      <c r="N513" s="14" t="n">
        <v>0.33</v>
      </c>
      <c r="O513" s="32" t="n">
        <v>-0.01</v>
      </c>
      <c r="P513" s="14" t="n">
        <v>0.25</v>
      </c>
      <c r="Q513" s="25" t="n">
        <v>0</v>
      </c>
      <c r="R513" s="25" t="n">
        <v>0</v>
      </c>
      <c r="S513" s="25" t="n">
        <v>0</v>
      </c>
      <c r="T513" s="25" t="n">
        <v>0</v>
      </c>
      <c r="U513" s="29"/>
      <c r="V513" s="29"/>
      <c r="W513" s="29"/>
      <c r="X513" s="14" t="n">
        <v>0.51</v>
      </c>
      <c r="Y513" s="29"/>
      <c r="Z513" s="25" t="s">
        <v>2939</v>
      </c>
      <c r="AA513" s="12" t="s">
        <v>3894</v>
      </c>
      <c r="AB513" s="25" t="s">
        <v>86</v>
      </c>
      <c r="AC513" s="22" t="s">
        <v>681</v>
      </c>
    </row>
    <row r="514" customFormat="false" ht="19.5" hidden="false" customHeight="true" outlineLevel="0" collapsed="false">
      <c r="A514" s="27" t="s">
        <v>4345</v>
      </c>
      <c r="B514" s="27" t="s">
        <v>540</v>
      </c>
      <c r="C514" s="9" t="s">
        <v>541</v>
      </c>
      <c r="D514" s="9" t="s">
        <v>260</v>
      </c>
      <c r="E514" s="9" t="s">
        <v>462</v>
      </c>
      <c r="F514" s="27" t="s">
        <v>1276</v>
      </c>
      <c r="G514" s="27" t="n">
        <v>2026</v>
      </c>
      <c r="H514" s="27" t="n">
        <v>5</v>
      </c>
      <c r="I514" s="27" t="s">
        <v>3879</v>
      </c>
      <c r="J514" s="20" t="n">
        <v>1</v>
      </c>
      <c r="K514" s="11" t="n">
        <v>0.25</v>
      </c>
      <c r="L514" s="30"/>
      <c r="M514" s="11" t="n">
        <v>0.23</v>
      </c>
      <c r="N514" s="11" t="n">
        <v>0.24</v>
      </c>
      <c r="O514" s="31" t="n">
        <v>0.02</v>
      </c>
      <c r="P514" s="11" t="n">
        <v>0.25</v>
      </c>
      <c r="Q514" s="27" t="n">
        <v>0</v>
      </c>
      <c r="R514" s="27" t="n">
        <v>0</v>
      </c>
      <c r="S514" s="27" t="n">
        <v>0</v>
      </c>
      <c r="T514" s="27" t="n">
        <v>0</v>
      </c>
      <c r="U514" s="30"/>
      <c r="V514" s="30"/>
      <c r="W514" s="30"/>
      <c r="X514" s="11" t="n">
        <v>0.47</v>
      </c>
      <c r="Y514" s="30"/>
      <c r="Z514" s="27" t="s">
        <v>2939</v>
      </c>
      <c r="AA514" s="9" t="s">
        <v>3894</v>
      </c>
      <c r="AB514" s="27" t="s">
        <v>86</v>
      </c>
      <c r="AC514" s="23" t="s">
        <v>697</v>
      </c>
    </row>
    <row r="515" customFormat="false" ht="19.5" hidden="false" customHeight="true" outlineLevel="0" collapsed="false">
      <c r="A515" s="25" t="s">
        <v>4346</v>
      </c>
      <c r="B515" s="25" t="s">
        <v>540</v>
      </c>
      <c r="C515" s="12" t="s">
        <v>541</v>
      </c>
      <c r="D515" s="12" t="s">
        <v>260</v>
      </c>
      <c r="E515" s="12" t="s">
        <v>462</v>
      </c>
      <c r="F515" s="25" t="s">
        <v>1291</v>
      </c>
      <c r="G515" s="25" t="n">
        <v>2026</v>
      </c>
      <c r="H515" s="25" t="n">
        <v>5</v>
      </c>
      <c r="I515" s="25" t="s">
        <v>3879</v>
      </c>
      <c r="J515" s="18" t="n">
        <v>1</v>
      </c>
      <c r="K515" s="14" t="n">
        <v>0.25</v>
      </c>
      <c r="L515" s="29"/>
      <c r="M515" s="14" t="n">
        <v>0.25</v>
      </c>
      <c r="N515" s="14" t="n">
        <v>0.23</v>
      </c>
      <c r="O515" s="32" t="n">
        <v>0</v>
      </c>
      <c r="P515" s="14" t="n">
        <v>0.25</v>
      </c>
      <c r="Q515" s="25" t="n">
        <v>0</v>
      </c>
      <c r="R515" s="25" t="n">
        <v>0</v>
      </c>
      <c r="S515" s="25" t="n">
        <v>0</v>
      </c>
      <c r="T515" s="25" t="n">
        <v>0</v>
      </c>
      <c r="U515" s="29"/>
      <c r="V515" s="29"/>
      <c r="W515" s="29"/>
      <c r="X515" s="14" t="n">
        <v>0.55</v>
      </c>
      <c r="Y515" s="29"/>
      <c r="Z515" s="25" t="s">
        <v>2939</v>
      </c>
      <c r="AA515" s="12" t="s">
        <v>3894</v>
      </c>
      <c r="AB515" s="25" t="s">
        <v>86</v>
      </c>
      <c r="AC515" s="22" t="s">
        <v>713</v>
      </c>
    </row>
    <row r="516" customFormat="false" ht="19.5" hidden="false" customHeight="true" outlineLevel="0" collapsed="false">
      <c r="A516" s="27" t="s">
        <v>4347</v>
      </c>
      <c r="B516" s="27" t="s">
        <v>540</v>
      </c>
      <c r="C516" s="9" t="s">
        <v>541</v>
      </c>
      <c r="D516" s="9" t="s">
        <v>260</v>
      </c>
      <c r="E516" s="9" t="s">
        <v>462</v>
      </c>
      <c r="F516" s="27" t="s">
        <v>1306</v>
      </c>
      <c r="G516" s="27" t="n">
        <v>2026</v>
      </c>
      <c r="H516" s="27" t="n">
        <v>5</v>
      </c>
      <c r="I516" s="27" t="s">
        <v>3879</v>
      </c>
      <c r="J516" s="20" t="n">
        <v>1</v>
      </c>
      <c r="K516" s="11" t="n">
        <v>0.25</v>
      </c>
      <c r="L516" s="30"/>
      <c r="M516" s="11" t="n">
        <v>0.25</v>
      </c>
      <c r="N516" s="11" t="n">
        <v>0.25</v>
      </c>
      <c r="O516" s="31" t="n">
        <v>0</v>
      </c>
      <c r="P516" s="30"/>
      <c r="Q516" s="27" t="n">
        <v>0</v>
      </c>
      <c r="R516" s="27" t="n">
        <v>0</v>
      </c>
      <c r="S516" s="27" t="n">
        <v>0</v>
      </c>
      <c r="T516" s="27" t="n">
        <v>0</v>
      </c>
      <c r="U516" s="30"/>
      <c r="V516" s="30"/>
      <c r="W516" s="30"/>
      <c r="X516" s="11" t="n">
        <v>0.57</v>
      </c>
      <c r="Y516" s="30"/>
      <c r="Z516" s="27" t="s">
        <v>2939</v>
      </c>
      <c r="AA516" s="9" t="s">
        <v>3894</v>
      </c>
      <c r="AB516" s="27" t="s">
        <v>86</v>
      </c>
      <c r="AC516" s="23" t="s">
        <v>729</v>
      </c>
    </row>
    <row r="517" customFormat="false" ht="19.5" hidden="false" customHeight="true" outlineLevel="0" collapsed="false">
      <c r="A517" s="25" t="s">
        <v>4348</v>
      </c>
      <c r="B517" s="25" t="s">
        <v>545</v>
      </c>
      <c r="C517" s="12" t="s">
        <v>546</v>
      </c>
      <c r="D517" s="12" t="s">
        <v>547</v>
      </c>
      <c r="E517" s="12" t="s">
        <v>548</v>
      </c>
      <c r="F517" s="25" t="s">
        <v>895</v>
      </c>
      <c r="G517" s="25" t="n">
        <v>2024</v>
      </c>
      <c r="H517" s="25" t="n">
        <v>3</v>
      </c>
      <c r="I517" s="25" t="s">
        <v>3879</v>
      </c>
      <c r="J517" s="18" t="n">
        <v>1</v>
      </c>
      <c r="K517" s="14" t="n">
        <v>0.25</v>
      </c>
      <c r="L517" s="29"/>
      <c r="M517" s="29"/>
      <c r="N517" s="29"/>
      <c r="O517" s="29"/>
      <c r="P517" s="29"/>
      <c r="Q517" s="25" t="n">
        <v>0</v>
      </c>
      <c r="R517" s="25" t="n">
        <v>0</v>
      </c>
      <c r="S517" s="25" t="n">
        <v>0</v>
      </c>
      <c r="T517" s="25" t="n">
        <v>0</v>
      </c>
      <c r="U517" s="29"/>
      <c r="V517" s="29"/>
      <c r="W517" s="29"/>
      <c r="X517" s="29"/>
      <c r="Y517" s="29"/>
      <c r="Z517" s="25" t="s">
        <v>2897</v>
      </c>
      <c r="AA517" s="12" t="s">
        <v>4140</v>
      </c>
      <c r="AB517" s="25" t="s">
        <v>113</v>
      </c>
      <c r="AC517" s="22" t="s">
        <v>896</v>
      </c>
    </row>
    <row r="518" customFormat="false" ht="19.5" hidden="false" customHeight="true" outlineLevel="0" collapsed="false">
      <c r="A518" s="27" t="s">
        <v>4349</v>
      </c>
      <c r="B518" s="27" t="s">
        <v>276</v>
      </c>
      <c r="C518" s="9" t="s">
        <v>277</v>
      </c>
      <c r="D518" s="9" t="s">
        <v>260</v>
      </c>
      <c r="E518" s="9" t="s">
        <v>278</v>
      </c>
      <c r="F518" s="27" t="s">
        <v>663</v>
      </c>
      <c r="G518" s="27" t="n">
        <v>2016</v>
      </c>
      <c r="H518" s="27" t="n">
        <v>5</v>
      </c>
      <c r="I518" s="27" t="s">
        <v>3879</v>
      </c>
      <c r="J518" s="20" t="n">
        <v>1</v>
      </c>
      <c r="K518" s="11" t="n">
        <v>0.6</v>
      </c>
      <c r="L518" s="30"/>
      <c r="M518" s="30"/>
      <c r="N518" s="30"/>
      <c r="O518" s="30"/>
      <c r="P518" s="11" t="n">
        <v>0.5</v>
      </c>
      <c r="Q518" s="27" t="n">
        <v>1</v>
      </c>
      <c r="R518" s="27" t="n">
        <v>0</v>
      </c>
      <c r="S518" s="27" t="n">
        <v>0</v>
      </c>
      <c r="T518" s="27" t="n">
        <v>0</v>
      </c>
      <c r="U518" s="30"/>
      <c r="V518" s="30"/>
      <c r="W518" s="30"/>
      <c r="X518" s="30"/>
      <c r="Y518" s="30"/>
      <c r="Z518" s="27" t="s">
        <v>3836</v>
      </c>
      <c r="AA518" s="9" t="s">
        <v>3880</v>
      </c>
      <c r="AB518" s="27" t="s">
        <v>86</v>
      </c>
      <c r="AC518" s="23" t="s">
        <v>664</v>
      </c>
    </row>
    <row r="519" customFormat="false" ht="19.5" hidden="false" customHeight="true" outlineLevel="0" collapsed="false">
      <c r="A519" s="25" t="s">
        <v>4350</v>
      </c>
      <c r="B519" s="25" t="s">
        <v>276</v>
      </c>
      <c r="C519" s="12" t="s">
        <v>277</v>
      </c>
      <c r="D519" s="12" t="s">
        <v>260</v>
      </c>
      <c r="E519" s="12" t="s">
        <v>278</v>
      </c>
      <c r="F519" s="25" t="s">
        <v>680</v>
      </c>
      <c r="G519" s="25" t="n">
        <v>2016</v>
      </c>
      <c r="H519" s="25" t="n">
        <v>5</v>
      </c>
      <c r="I519" s="25" t="s">
        <v>3879</v>
      </c>
      <c r="J519" s="18" t="n">
        <v>1</v>
      </c>
      <c r="K519" s="14" t="n">
        <v>0.5</v>
      </c>
      <c r="L519" s="29"/>
      <c r="M519" s="14" t="n">
        <v>0.6</v>
      </c>
      <c r="N519" s="29"/>
      <c r="O519" s="32" t="n">
        <v>-0.1</v>
      </c>
      <c r="P519" s="14" t="n">
        <v>0.4</v>
      </c>
      <c r="Q519" s="25" t="n">
        <v>0</v>
      </c>
      <c r="R519" s="25" t="n">
        <v>0</v>
      </c>
      <c r="S519" s="25" t="n">
        <v>0</v>
      </c>
      <c r="T519" s="25" t="n">
        <v>0</v>
      </c>
      <c r="U519" s="29"/>
      <c r="V519" s="29"/>
      <c r="W519" s="29"/>
      <c r="X519" s="29"/>
      <c r="Y519" s="29"/>
      <c r="Z519" s="25" t="s">
        <v>3836</v>
      </c>
      <c r="AA519" s="12" t="s">
        <v>3880</v>
      </c>
      <c r="AB519" s="25" t="s">
        <v>86</v>
      </c>
      <c r="AC519" s="22" t="s">
        <v>681</v>
      </c>
    </row>
    <row r="520" customFormat="false" ht="19.5" hidden="false" customHeight="true" outlineLevel="0" collapsed="false">
      <c r="A520" s="27" t="s">
        <v>4351</v>
      </c>
      <c r="B520" s="27" t="s">
        <v>276</v>
      </c>
      <c r="C520" s="9" t="s">
        <v>277</v>
      </c>
      <c r="D520" s="9" t="s">
        <v>260</v>
      </c>
      <c r="E520" s="9" t="s">
        <v>278</v>
      </c>
      <c r="F520" s="27" t="s">
        <v>696</v>
      </c>
      <c r="G520" s="27" t="n">
        <v>2016</v>
      </c>
      <c r="H520" s="27" t="n">
        <v>5</v>
      </c>
      <c r="I520" s="27" t="s">
        <v>3879</v>
      </c>
      <c r="J520" s="20" t="n">
        <v>1</v>
      </c>
      <c r="K520" s="11" t="n">
        <v>0.4</v>
      </c>
      <c r="L520" s="30"/>
      <c r="M520" s="11" t="n">
        <v>0.5</v>
      </c>
      <c r="N520" s="11" t="n">
        <v>0.6</v>
      </c>
      <c r="O520" s="31" t="n">
        <v>-0.1</v>
      </c>
      <c r="P520" s="11" t="n">
        <v>0.3</v>
      </c>
      <c r="Q520" s="27" t="n">
        <v>0</v>
      </c>
      <c r="R520" s="27" t="n">
        <v>0</v>
      </c>
      <c r="S520" s="27" t="n">
        <v>0</v>
      </c>
      <c r="T520" s="27" t="n">
        <v>0</v>
      </c>
      <c r="U520" s="30"/>
      <c r="V520" s="30"/>
      <c r="W520" s="30"/>
      <c r="X520" s="30"/>
      <c r="Y520" s="30"/>
      <c r="Z520" s="27" t="s">
        <v>3836</v>
      </c>
      <c r="AA520" s="9" t="s">
        <v>3880</v>
      </c>
      <c r="AB520" s="27" t="s">
        <v>86</v>
      </c>
      <c r="AC520" s="23" t="s">
        <v>697</v>
      </c>
    </row>
    <row r="521" customFormat="false" ht="19.5" hidden="false" customHeight="true" outlineLevel="0" collapsed="false">
      <c r="A521" s="25" t="s">
        <v>4352</v>
      </c>
      <c r="B521" s="25" t="s">
        <v>276</v>
      </c>
      <c r="C521" s="12" t="s">
        <v>277</v>
      </c>
      <c r="D521" s="12" t="s">
        <v>260</v>
      </c>
      <c r="E521" s="12" t="s">
        <v>278</v>
      </c>
      <c r="F521" s="25" t="s">
        <v>712</v>
      </c>
      <c r="G521" s="25" t="n">
        <v>2016</v>
      </c>
      <c r="H521" s="25" t="n">
        <v>5</v>
      </c>
      <c r="I521" s="25" t="s">
        <v>3879</v>
      </c>
      <c r="J521" s="18" t="n">
        <v>1</v>
      </c>
      <c r="K521" s="14" t="n">
        <v>0.3</v>
      </c>
      <c r="L521" s="29"/>
      <c r="M521" s="14" t="n">
        <v>0.4</v>
      </c>
      <c r="N521" s="14" t="n">
        <v>0.5</v>
      </c>
      <c r="O521" s="32" t="n">
        <v>-0.1</v>
      </c>
      <c r="P521" s="14" t="n">
        <v>0.2</v>
      </c>
      <c r="Q521" s="25" t="n">
        <v>0</v>
      </c>
      <c r="R521" s="25" t="n">
        <v>0</v>
      </c>
      <c r="S521" s="25" t="n">
        <v>0</v>
      </c>
      <c r="T521" s="25" t="n">
        <v>0</v>
      </c>
      <c r="U521" s="29"/>
      <c r="V521" s="29"/>
      <c r="W521" s="29"/>
      <c r="X521" s="29"/>
      <c r="Y521" s="29"/>
      <c r="Z521" s="25" t="s">
        <v>3836</v>
      </c>
      <c r="AA521" s="12" t="s">
        <v>3880</v>
      </c>
      <c r="AB521" s="25" t="s">
        <v>86</v>
      </c>
      <c r="AC521" s="22" t="s">
        <v>713</v>
      </c>
    </row>
    <row r="522" customFormat="false" ht="19.5" hidden="false" customHeight="true" outlineLevel="0" collapsed="false">
      <c r="A522" s="27" t="s">
        <v>4353</v>
      </c>
      <c r="B522" s="27" t="s">
        <v>276</v>
      </c>
      <c r="C522" s="9" t="s">
        <v>277</v>
      </c>
      <c r="D522" s="9" t="s">
        <v>260</v>
      </c>
      <c r="E522" s="9" t="s">
        <v>278</v>
      </c>
      <c r="F522" s="27" t="s">
        <v>728</v>
      </c>
      <c r="G522" s="27" t="n">
        <v>2016</v>
      </c>
      <c r="H522" s="27" t="n">
        <v>5</v>
      </c>
      <c r="I522" s="27" t="s">
        <v>3879</v>
      </c>
      <c r="J522" s="20" t="n">
        <v>1</v>
      </c>
      <c r="K522" s="11" t="n">
        <v>0.2</v>
      </c>
      <c r="L522" s="30"/>
      <c r="M522" s="11" t="n">
        <v>0.3</v>
      </c>
      <c r="N522" s="11" t="n">
        <v>0.4</v>
      </c>
      <c r="O522" s="31" t="n">
        <v>-0.1</v>
      </c>
      <c r="P522" s="30"/>
      <c r="Q522" s="27" t="n">
        <v>0</v>
      </c>
      <c r="R522" s="27" t="n">
        <v>0</v>
      </c>
      <c r="S522" s="27" t="n">
        <v>0</v>
      </c>
      <c r="T522" s="27" t="n">
        <v>0</v>
      </c>
      <c r="U522" s="30"/>
      <c r="V522" s="30"/>
      <c r="W522" s="30"/>
      <c r="X522" s="30"/>
      <c r="Y522" s="30"/>
      <c r="Z522" s="27" t="s">
        <v>3836</v>
      </c>
      <c r="AA522" s="9" t="s">
        <v>3880</v>
      </c>
      <c r="AB522" s="27" t="s">
        <v>86</v>
      </c>
      <c r="AC522" s="23" t="s">
        <v>729</v>
      </c>
    </row>
    <row r="523" customFormat="false" ht="19.5" hidden="false" customHeight="true" outlineLevel="0" collapsed="false">
      <c r="A523" s="25" t="s">
        <v>4354</v>
      </c>
      <c r="B523" s="25" t="s">
        <v>276</v>
      </c>
      <c r="C523" s="12" t="s">
        <v>277</v>
      </c>
      <c r="D523" s="12" t="s">
        <v>260</v>
      </c>
      <c r="E523" s="12" t="s">
        <v>278</v>
      </c>
      <c r="F523" s="25" t="s">
        <v>764</v>
      </c>
      <c r="G523" s="25" t="n">
        <v>2020</v>
      </c>
      <c r="H523" s="25" t="n">
        <v>5</v>
      </c>
      <c r="I523" s="25" t="s">
        <v>3879</v>
      </c>
      <c r="J523" s="18" t="n">
        <v>1</v>
      </c>
      <c r="K523" s="14" t="n">
        <v>5.8</v>
      </c>
      <c r="L523" s="29"/>
      <c r="M523" s="29"/>
      <c r="N523" s="29"/>
      <c r="O523" s="29"/>
      <c r="P523" s="14" t="n">
        <v>5.4</v>
      </c>
      <c r="Q523" s="25" t="n">
        <v>1</v>
      </c>
      <c r="R523" s="25" t="n">
        <v>1</v>
      </c>
      <c r="S523" s="25" t="n">
        <v>1</v>
      </c>
      <c r="T523" s="25" t="n">
        <v>1</v>
      </c>
      <c r="U523" s="29"/>
      <c r="V523" s="29"/>
      <c r="W523" s="29"/>
      <c r="X523" s="29"/>
      <c r="Y523" s="29"/>
      <c r="Z523" s="25" t="s">
        <v>3836</v>
      </c>
      <c r="AA523" s="12" t="s">
        <v>3880</v>
      </c>
      <c r="AB523" s="25" t="s">
        <v>86</v>
      </c>
      <c r="AC523" s="22" t="s">
        <v>664</v>
      </c>
    </row>
    <row r="524" customFormat="false" ht="19.5" hidden="false" customHeight="true" outlineLevel="0" collapsed="false">
      <c r="A524" s="27" t="s">
        <v>4355</v>
      </c>
      <c r="B524" s="27" t="s">
        <v>276</v>
      </c>
      <c r="C524" s="9" t="s">
        <v>277</v>
      </c>
      <c r="D524" s="9" t="s">
        <v>260</v>
      </c>
      <c r="E524" s="9" t="s">
        <v>278</v>
      </c>
      <c r="F524" s="27" t="s">
        <v>777</v>
      </c>
      <c r="G524" s="27" t="n">
        <v>2020</v>
      </c>
      <c r="H524" s="27" t="n">
        <v>5</v>
      </c>
      <c r="I524" s="27" t="s">
        <v>3879</v>
      </c>
      <c r="J524" s="20" t="n">
        <v>1</v>
      </c>
      <c r="K524" s="11" t="n">
        <v>5.4</v>
      </c>
      <c r="L524" s="30"/>
      <c r="M524" s="11" t="n">
        <v>5.8</v>
      </c>
      <c r="N524" s="30"/>
      <c r="O524" s="31" t="n">
        <v>-0.4</v>
      </c>
      <c r="P524" s="11" t="n">
        <v>4.4</v>
      </c>
      <c r="Q524" s="27" t="n">
        <v>1</v>
      </c>
      <c r="R524" s="27" t="n">
        <v>1</v>
      </c>
      <c r="S524" s="27" t="n">
        <v>1</v>
      </c>
      <c r="T524" s="27" t="n">
        <v>1</v>
      </c>
      <c r="U524" s="30"/>
      <c r="V524" s="30"/>
      <c r="W524" s="30"/>
      <c r="X524" s="30"/>
      <c r="Y524" s="30"/>
      <c r="Z524" s="27" t="s">
        <v>3836</v>
      </c>
      <c r="AA524" s="9" t="s">
        <v>3880</v>
      </c>
      <c r="AB524" s="27" t="s">
        <v>86</v>
      </c>
      <c r="AC524" s="23" t="s">
        <v>681</v>
      </c>
    </row>
    <row r="525" customFormat="false" ht="19.5" hidden="false" customHeight="true" outlineLevel="0" collapsed="false">
      <c r="A525" s="25" t="s">
        <v>4356</v>
      </c>
      <c r="B525" s="25" t="s">
        <v>276</v>
      </c>
      <c r="C525" s="12" t="s">
        <v>277</v>
      </c>
      <c r="D525" s="12" t="s">
        <v>260</v>
      </c>
      <c r="E525" s="12" t="s">
        <v>278</v>
      </c>
      <c r="F525" s="25" t="s">
        <v>790</v>
      </c>
      <c r="G525" s="25" t="n">
        <v>2020</v>
      </c>
      <c r="H525" s="25" t="n">
        <v>5</v>
      </c>
      <c r="I525" s="25" t="s">
        <v>3879</v>
      </c>
      <c r="J525" s="18" t="n">
        <v>1</v>
      </c>
      <c r="K525" s="14" t="n">
        <v>4.4</v>
      </c>
      <c r="L525" s="29"/>
      <c r="M525" s="14" t="n">
        <v>5.4</v>
      </c>
      <c r="N525" s="14" t="n">
        <v>5.8</v>
      </c>
      <c r="O525" s="32" t="n">
        <v>-1</v>
      </c>
      <c r="P525" s="14" t="n">
        <v>3.3</v>
      </c>
      <c r="Q525" s="25" t="n">
        <v>1</v>
      </c>
      <c r="R525" s="25" t="n">
        <v>1</v>
      </c>
      <c r="S525" s="25" t="n">
        <v>1</v>
      </c>
      <c r="T525" s="25" t="n">
        <v>1</v>
      </c>
      <c r="U525" s="29"/>
      <c r="V525" s="29"/>
      <c r="W525" s="29"/>
      <c r="X525" s="29"/>
      <c r="Y525" s="29"/>
      <c r="Z525" s="25" t="s">
        <v>3836</v>
      </c>
      <c r="AA525" s="12" t="s">
        <v>3880</v>
      </c>
      <c r="AB525" s="25" t="s">
        <v>86</v>
      </c>
      <c r="AC525" s="22" t="s">
        <v>697</v>
      </c>
    </row>
    <row r="526" customFormat="false" ht="19.5" hidden="false" customHeight="true" outlineLevel="0" collapsed="false">
      <c r="A526" s="27" t="s">
        <v>4357</v>
      </c>
      <c r="B526" s="27" t="s">
        <v>276</v>
      </c>
      <c r="C526" s="9" t="s">
        <v>277</v>
      </c>
      <c r="D526" s="9" t="s">
        <v>260</v>
      </c>
      <c r="E526" s="9" t="s">
        <v>278</v>
      </c>
      <c r="F526" s="27" t="s">
        <v>803</v>
      </c>
      <c r="G526" s="27" t="n">
        <v>2020</v>
      </c>
      <c r="H526" s="27" t="n">
        <v>5</v>
      </c>
      <c r="I526" s="27" t="s">
        <v>3879</v>
      </c>
      <c r="J526" s="20" t="n">
        <v>1</v>
      </c>
      <c r="K526" s="11" t="n">
        <v>3.3</v>
      </c>
      <c r="L526" s="30"/>
      <c r="M526" s="11" t="n">
        <v>4.4</v>
      </c>
      <c r="N526" s="11" t="n">
        <v>5.4</v>
      </c>
      <c r="O526" s="31" t="n">
        <v>-1.1</v>
      </c>
      <c r="P526" s="11" t="n">
        <v>2.9</v>
      </c>
      <c r="Q526" s="27" t="n">
        <v>1</v>
      </c>
      <c r="R526" s="27" t="n">
        <v>1</v>
      </c>
      <c r="S526" s="27" t="n">
        <v>1</v>
      </c>
      <c r="T526" s="27" t="n">
        <v>1</v>
      </c>
      <c r="U526" s="30"/>
      <c r="V526" s="30"/>
      <c r="W526" s="30"/>
      <c r="X526" s="30"/>
      <c r="Y526" s="30"/>
      <c r="Z526" s="27" t="s">
        <v>3836</v>
      </c>
      <c r="AA526" s="9" t="s">
        <v>3880</v>
      </c>
      <c r="AB526" s="27" t="s">
        <v>86</v>
      </c>
      <c r="AC526" s="23" t="s">
        <v>713</v>
      </c>
    </row>
    <row r="527" customFormat="false" ht="19.5" hidden="false" customHeight="true" outlineLevel="0" collapsed="false">
      <c r="A527" s="25" t="s">
        <v>4358</v>
      </c>
      <c r="B527" s="25" t="s">
        <v>276</v>
      </c>
      <c r="C527" s="12" t="s">
        <v>277</v>
      </c>
      <c r="D527" s="12" t="s">
        <v>260</v>
      </c>
      <c r="E527" s="12" t="s">
        <v>278</v>
      </c>
      <c r="F527" s="25" t="s">
        <v>816</v>
      </c>
      <c r="G527" s="25" t="n">
        <v>2020</v>
      </c>
      <c r="H527" s="25" t="n">
        <v>5</v>
      </c>
      <c r="I527" s="25" t="s">
        <v>3879</v>
      </c>
      <c r="J527" s="18" t="n">
        <v>1</v>
      </c>
      <c r="K527" s="14" t="n">
        <v>2.9</v>
      </c>
      <c r="L527" s="29"/>
      <c r="M527" s="14" t="n">
        <v>3.3</v>
      </c>
      <c r="N527" s="14" t="n">
        <v>4.4</v>
      </c>
      <c r="O527" s="32" t="n">
        <v>-0.4</v>
      </c>
      <c r="P527" s="29"/>
      <c r="Q527" s="25" t="n">
        <v>1</v>
      </c>
      <c r="R527" s="25" t="n">
        <v>1</v>
      </c>
      <c r="S527" s="25" t="n">
        <v>1</v>
      </c>
      <c r="T527" s="25" t="n">
        <v>1</v>
      </c>
      <c r="U527" s="29"/>
      <c r="V527" s="29"/>
      <c r="W527" s="29"/>
      <c r="X527" s="29"/>
      <c r="Y527" s="29"/>
      <c r="Z527" s="25" t="s">
        <v>3836</v>
      </c>
      <c r="AA527" s="12" t="s">
        <v>3880</v>
      </c>
      <c r="AB527" s="25" t="s">
        <v>86</v>
      </c>
      <c r="AC527" s="22" t="s">
        <v>729</v>
      </c>
    </row>
    <row r="528" customFormat="false" ht="19.5" hidden="false" customHeight="true" outlineLevel="0" collapsed="false">
      <c r="A528" s="27" t="s">
        <v>4359</v>
      </c>
      <c r="B528" s="27" t="s">
        <v>276</v>
      </c>
      <c r="C528" s="9" t="s">
        <v>277</v>
      </c>
      <c r="D528" s="9" t="s">
        <v>260</v>
      </c>
      <c r="E528" s="9" t="s">
        <v>278</v>
      </c>
      <c r="F528" s="27" t="s">
        <v>830</v>
      </c>
      <c r="G528" s="27" t="n">
        <v>2024</v>
      </c>
      <c r="H528" s="27" t="n">
        <v>2</v>
      </c>
      <c r="I528" s="27" t="s">
        <v>3879</v>
      </c>
      <c r="J528" s="20" t="n">
        <v>1</v>
      </c>
      <c r="K528" s="11" t="n">
        <v>0.7</v>
      </c>
      <c r="L528" s="30"/>
      <c r="M528" s="30"/>
      <c r="N528" s="30"/>
      <c r="O528" s="30"/>
      <c r="P528" s="30"/>
      <c r="Q528" s="27" t="n">
        <v>1</v>
      </c>
      <c r="R528" s="27" t="n">
        <v>0</v>
      </c>
      <c r="S528" s="27" t="n">
        <v>0</v>
      </c>
      <c r="T528" s="27" t="n">
        <v>0</v>
      </c>
      <c r="U528" s="30"/>
      <c r="V528" s="30"/>
      <c r="W528" s="30"/>
      <c r="X528" s="30"/>
      <c r="Y528" s="30"/>
      <c r="Z528" s="27" t="s">
        <v>3836</v>
      </c>
      <c r="AA528" s="9" t="s">
        <v>4140</v>
      </c>
      <c r="AB528" s="27" t="s">
        <v>113</v>
      </c>
      <c r="AC528" s="23" t="s">
        <v>832</v>
      </c>
    </row>
    <row r="529" customFormat="false" ht="19.5" hidden="false" customHeight="true" outlineLevel="0" collapsed="false">
      <c r="A529" s="25" t="s">
        <v>4360</v>
      </c>
      <c r="B529" s="25" t="s">
        <v>276</v>
      </c>
      <c r="C529" s="12" t="s">
        <v>277</v>
      </c>
      <c r="D529" s="12" t="s">
        <v>260</v>
      </c>
      <c r="E529" s="12" t="s">
        <v>278</v>
      </c>
      <c r="F529" s="25" t="s">
        <v>848</v>
      </c>
      <c r="G529" s="25" t="n">
        <v>2024</v>
      </c>
      <c r="H529" s="25" t="n">
        <v>3</v>
      </c>
      <c r="I529" s="25" t="s">
        <v>3879</v>
      </c>
      <c r="J529" s="18" t="n">
        <v>1</v>
      </c>
      <c r="K529" s="14" t="n">
        <v>1.94</v>
      </c>
      <c r="L529" s="29"/>
      <c r="M529" s="29"/>
      <c r="N529" s="29"/>
      <c r="O529" s="29"/>
      <c r="P529" s="29"/>
      <c r="Q529" s="25" t="n">
        <v>1</v>
      </c>
      <c r="R529" s="25" t="n">
        <v>1</v>
      </c>
      <c r="S529" s="25" t="n">
        <v>1</v>
      </c>
      <c r="T529" s="25" t="n">
        <v>0</v>
      </c>
      <c r="U529" s="29"/>
      <c r="V529" s="29"/>
      <c r="W529" s="29"/>
      <c r="X529" s="29"/>
      <c r="Y529" s="29"/>
      <c r="Z529" s="25" t="s">
        <v>2891</v>
      </c>
      <c r="AA529" s="12" t="s">
        <v>4140</v>
      </c>
      <c r="AB529" s="25" t="s">
        <v>113</v>
      </c>
      <c r="AC529" s="22" t="s">
        <v>849</v>
      </c>
    </row>
    <row r="530" customFormat="false" ht="19.5" hidden="false" customHeight="true" outlineLevel="0" collapsed="false">
      <c r="A530" s="27" t="s">
        <v>4361</v>
      </c>
      <c r="B530" s="27" t="s">
        <v>276</v>
      </c>
      <c r="C530" s="9" t="s">
        <v>277</v>
      </c>
      <c r="D530" s="9" t="s">
        <v>260</v>
      </c>
      <c r="E530" s="9" t="s">
        <v>278</v>
      </c>
      <c r="F530" s="27" t="s">
        <v>895</v>
      </c>
      <c r="G530" s="27" t="n">
        <v>2024</v>
      </c>
      <c r="H530" s="27" t="n">
        <v>3</v>
      </c>
      <c r="I530" s="27" t="s">
        <v>3879</v>
      </c>
      <c r="J530" s="20" t="n">
        <v>1</v>
      </c>
      <c r="K530" s="11" t="n">
        <v>5.22</v>
      </c>
      <c r="L530" s="30"/>
      <c r="M530" s="11" t="n">
        <v>1.94</v>
      </c>
      <c r="N530" s="30"/>
      <c r="O530" s="31" t="n">
        <v>3.28</v>
      </c>
      <c r="P530" s="30"/>
      <c r="Q530" s="27" t="n">
        <v>1</v>
      </c>
      <c r="R530" s="27" t="n">
        <v>1</v>
      </c>
      <c r="S530" s="27" t="n">
        <v>1</v>
      </c>
      <c r="T530" s="27" t="n">
        <v>1</v>
      </c>
      <c r="U530" s="30"/>
      <c r="V530" s="30"/>
      <c r="W530" s="30"/>
      <c r="X530" s="30"/>
      <c r="Y530" s="30"/>
      <c r="Z530" s="27" t="s">
        <v>2897</v>
      </c>
      <c r="AA530" s="9" t="s">
        <v>4140</v>
      </c>
      <c r="AB530" s="27" t="s">
        <v>113</v>
      </c>
      <c r="AC530" s="23" t="s">
        <v>896</v>
      </c>
    </row>
    <row r="531" customFormat="false" ht="19.5" hidden="false" customHeight="true" outlineLevel="0" collapsed="false">
      <c r="A531" s="25" t="s">
        <v>4362</v>
      </c>
      <c r="B531" s="25" t="s">
        <v>276</v>
      </c>
      <c r="C531" s="12" t="s">
        <v>277</v>
      </c>
      <c r="D531" s="12" t="s">
        <v>260</v>
      </c>
      <c r="E531" s="12" t="s">
        <v>278</v>
      </c>
      <c r="F531" s="25" t="s">
        <v>913</v>
      </c>
      <c r="G531" s="25" t="n">
        <v>2024</v>
      </c>
      <c r="H531" s="25" t="n">
        <v>5</v>
      </c>
      <c r="I531" s="25" t="s">
        <v>3879</v>
      </c>
      <c r="J531" s="18" t="n">
        <v>1</v>
      </c>
      <c r="K531" s="14" t="n">
        <v>2.64</v>
      </c>
      <c r="L531" s="29"/>
      <c r="M531" s="29"/>
      <c r="N531" s="29"/>
      <c r="O531" s="29"/>
      <c r="P531" s="29"/>
      <c r="Q531" s="25" t="n">
        <v>1</v>
      </c>
      <c r="R531" s="25" t="n">
        <v>1</v>
      </c>
      <c r="S531" s="25" t="n">
        <v>1</v>
      </c>
      <c r="T531" s="25" t="n">
        <v>1</v>
      </c>
      <c r="U531" s="29"/>
      <c r="V531" s="29"/>
      <c r="W531" s="29"/>
      <c r="X531" s="29"/>
      <c r="Y531" s="29"/>
      <c r="Z531" s="25" t="s">
        <v>2908</v>
      </c>
      <c r="AA531" s="12" t="s">
        <v>4140</v>
      </c>
      <c r="AB531" s="25" t="s">
        <v>113</v>
      </c>
      <c r="AC531" s="22" t="s">
        <v>914</v>
      </c>
    </row>
    <row r="532" customFormat="false" ht="19.5" hidden="false" customHeight="true" outlineLevel="0" collapsed="false">
      <c r="A532" s="27" t="s">
        <v>4363</v>
      </c>
      <c r="B532" s="27" t="s">
        <v>276</v>
      </c>
      <c r="C532" s="9" t="s">
        <v>277</v>
      </c>
      <c r="D532" s="9" t="s">
        <v>260</v>
      </c>
      <c r="E532" s="9" t="s">
        <v>278</v>
      </c>
      <c r="F532" s="27" t="s">
        <v>931</v>
      </c>
      <c r="G532" s="27" t="n">
        <v>2024</v>
      </c>
      <c r="H532" s="27" t="n">
        <v>5</v>
      </c>
      <c r="I532" s="27" t="s">
        <v>3879</v>
      </c>
      <c r="J532" s="20" t="n">
        <v>1</v>
      </c>
      <c r="K532" s="11" t="n">
        <v>2.39</v>
      </c>
      <c r="L532" s="30"/>
      <c r="M532" s="11" t="n">
        <v>2.64</v>
      </c>
      <c r="N532" s="30"/>
      <c r="O532" s="31" t="n">
        <v>-0.25</v>
      </c>
      <c r="P532" s="30"/>
      <c r="Q532" s="27" t="n">
        <v>1</v>
      </c>
      <c r="R532" s="27" t="n">
        <v>1</v>
      </c>
      <c r="S532" s="27" t="n">
        <v>1</v>
      </c>
      <c r="T532" s="27" t="n">
        <v>1</v>
      </c>
      <c r="U532" s="30"/>
      <c r="V532" s="30"/>
      <c r="W532" s="30"/>
      <c r="X532" s="30"/>
      <c r="Y532" s="30"/>
      <c r="Z532" s="27" t="s">
        <v>3836</v>
      </c>
      <c r="AA532" s="9" t="s">
        <v>4140</v>
      </c>
      <c r="AB532" s="27" t="s">
        <v>113</v>
      </c>
      <c r="AC532" s="23" t="s">
        <v>932</v>
      </c>
    </row>
    <row r="533" customFormat="false" ht="19.5" hidden="false" customHeight="true" outlineLevel="0" collapsed="false">
      <c r="A533" s="25" t="s">
        <v>4364</v>
      </c>
      <c r="B533" s="25" t="s">
        <v>276</v>
      </c>
      <c r="C533" s="12" t="s">
        <v>277</v>
      </c>
      <c r="D533" s="12" t="s">
        <v>260</v>
      </c>
      <c r="E533" s="12" t="s">
        <v>278</v>
      </c>
      <c r="F533" s="25" t="s">
        <v>949</v>
      </c>
      <c r="G533" s="25" t="n">
        <v>2024</v>
      </c>
      <c r="H533" s="25" t="n">
        <v>5</v>
      </c>
      <c r="I533" s="25" t="s">
        <v>3879</v>
      </c>
      <c r="J533" s="18" t="n">
        <v>1</v>
      </c>
      <c r="K533" s="14" t="n">
        <v>0.23</v>
      </c>
      <c r="L533" s="29"/>
      <c r="M533" s="14" t="n">
        <v>2.39</v>
      </c>
      <c r="N533" s="29"/>
      <c r="O533" s="32" t="n">
        <v>-2.16</v>
      </c>
      <c r="P533" s="29"/>
      <c r="Q533" s="25" t="n">
        <v>0</v>
      </c>
      <c r="R533" s="25" t="n">
        <v>0</v>
      </c>
      <c r="S533" s="25" t="n">
        <v>0</v>
      </c>
      <c r="T533" s="25" t="n">
        <v>0</v>
      </c>
      <c r="U533" s="29"/>
      <c r="V533" s="29"/>
      <c r="W533" s="29"/>
      <c r="X533" s="29"/>
      <c r="Y533" s="29"/>
      <c r="Z533" s="25" t="s">
        <v>2913</v>
      </c>
      <c r="AA533" s="12" t="s">
        <v>4140</v>
      </c>
      <c r="AB533" s="25" t="s">
        <v>113</v>
      </c>
      <c r="AC533" s="22" t="s">
        <v>950</v>
      </c>
    </row>
    <row r="534" customFormat="false" ht="19.5" hidden="false" customHeight="true" outlineLevel="0" collapsed="false">
      <c r="A534" s="27" t="s">
        <v>4365</v>
      </c>
      <c r="B534" s="27" t="s">
        <v>276</v>
      </c>
      <c r="C534" s="9" t="s">
        <v>277</v>
      </c>
      <c r="D534" s="9" t="s">
        <v>260</v>
      </c>
      <c r="E534" s="9" t="s">
        <v>278</v>
      </c>
      <c r="F534" s="27" t="s">
        <v>1009</v>
      </c>
      <c r="G534" s="27" t="n">
        <v>2025</v>
      </c>
      <c r="H534" s="27" t="n">
        <v>2</v>
      </c>
      <c r="I534" s="27" t="s">
        <v>3879</v>
      </c>
      <c r="J534" s="20" t="n">
        <v>1</v>
      </c>
      <c r="K534" s="11" t="n">
        <v>0.83</v>
      </c>
      <c r="L534" s="30"/>
      <c r="M534" s="30"/>
      <c r="N534" s="30"/>
      <c r="O534" s="30"/>
      <c r="P534" s="30"/>
      <c r="Q534" s="27" t="n">
        <v>1</v>
      </c>
      <c r="R534" s="27" t="n">
        <v>1</v>
      </c>
      <c r="S534" s="27" t="n">
        <v>0</v>
      </c>
      <c r="T534" s="27" t="n">
        <v>0</v>
      </c>
      <c r="U534" s="30"/>
      <c r="V534" s="30"/>
      <c r="W534" s="30"/>
      <c r="X534" s="30"/>
      <c r="Y534" s="30"/>
      <c r="Z534" s="27" t="s">
        <v>3836</v>
      </c>
      <c r="AA534" s="9" t="s">
        <v>3887</v>
      </c>
      <c r="AB534" s="27" t="s">
        <v>113</v>
      </c>
      <c r="AC534" s="23" t="s">
        <v>1010</v>
      </c>
    </row>
    <row r="535" customFormat="false" ht="19.5" hidden="false" customHeight="true" outlineLevel="0" collapsed="false">
      <c r="A535" s="25" t="s">
        <v>4366</v>
      </c>
      <c r="B535" s="25" t="s">
        <v>276</v>
      </c>
      <c r="C535" s="12" t="s">
        <v>277</v>
      </c>
      <c r="D535" s="12" t="s">
        <v>260</v>
      </c>
      <c r="E535" s="12" t="s">
        <v>278</v>
      </c>
      <c r="F535" s="25" t="s">
        <v>1031</v>
      </c>
      <c r="G535" s="25" t="n">
        <v>2025</v>
      </c>
      <c r="H535" s="25" t="n">
        <v>3</v>
      </c>
      <c r="I535" s="25" t="s">
        <v>3879</v>
      </c>
      <c r="J535" s="18" t="n">
        <v>1</v>
      </c>
      <c r="K535" s="14" t="n">
        <v>0.71</v>
      </c>
      <c r="L535" s="29"/>
      <c r="M535" s="14" t="n">
        <v>0.83</v>
      </c>
      <c r="N535" s="29"/>
      <c r="O535" s="32" t="n">
        <v>-0.12</v>
      </c>
      <c r="P535" s="29"/>
      <c r="Q535" s="25" t="n">
        <v>1</v>
      </c>
      <c r="R535" s="25" t="n">
        <v>1</v>
      </c>
      <c r="S535" s="25" t="n">
        <v>0</v>
      </c>
      <c r="T535" s="25" t="n">
        <v>0</v>
      </c>
      <c r="U535" s="29"/>
      <c r="V535" s="29"/>
      <c r="W535" s="29"/>
      <c r="X535" s="29"/>
      <c r="Y535" s="29"/>
      <c r="Z535" s="25" t="s">
        <v>2891</v>
      </c>
      <c r="AA535" s="12" t="s">
        <v>3887</v>
      </c>
      <c r="AB535" s="25" t="s">
        <v>113</v>
      </c>
      <c r="AC535" s="22" t="s">
        <v>1032</v>
      </c>
    </row>
    <row r="536" customFormat="false" ht="19.5" hidden="false" customHeight="true" outlineLevel="0" collapsed="false">
      <c r="A536" s="27" t="s">
        <v>4367</v>
      </c>
      <c r="B536" s="27" t="s">
        <v>276</v>
      </c>
      <c r="C536" s="9" t="s">
        <v>277</v>
      </c>
      <c r="D536" s="9" t="s">
        <v>260</v>
      </c>
      <c r="E536" s="9" t="s">
        <v>278</v>
      </c>
      <c r="F536" s="27" t="s">
        <v>1051</v>
      </c>
      <c r="G536" s="27" t="n">
        <v>2025</v>
      </c>
      <c r="H536" s="27" t="n">
        <v>3</v>
      </c>
      <c r="I536" s="27" t="s">
        <v>3879</v>
      </c>
      <c r="J536" s="20" t="n">
        <v>1</v>
      </c>
      <c r="K536" s="11" t="n">
        <v>0.62</v>
      </c>
      <c r="L536" s="30"/>
      <c r="M536" s="11" t="n">
        <v>0.71</v>
      </c>
      <c r="N536" s="30"/>
      <c r="O536" s="31" t="n">
        <v>-0.09</v>
      </c>
      <c r="P536" s="30"/>
      <c r="Q536" s="27" t="n">
        <v>1</v>
      </c>
      <c r="R536" s="27" t="n">
        <v>0</v>
      </c>
      <c r="S536" s="27" t="n">
        <v>0</v>
      </c>
      <c r="T536" s="27" t="n">
        <v>0</v>
      </c>
      <c r="U536" s="30"/>
      <c r="V536" s="30"/>
      <c r="W536" s="30"/>
      <c r="X536" s="30"/>
      <c r="Y536" s="30"/>
      <c r="Z536" s="27" t="s">
        <v>3836</v>
      </c>
      <c r="AA536" s="9" t="s">
        <v>3887</v>
      </c>
      <c r="AB536" s="27" t="s">
        <v>113</v>
      </c>
      <c r="AC536" s="23" t="s">
        <v>1052</v>
      </c>
    </row>
    <row r="537" customFormat="false" ht="19.5" hidden="false" customHeight="true" outlineLevel="0" collapsed="false">
      <c r="A537" s="25" t="s">
        <v>4368</v>
      </c>
      <c r="B537" s="25" t="s">
        <v>276</v>
      </c>
      <c r="C537" s="12" t="s">
        <v>277</v>
      </c>
      <c r="D537" s="12" t="s">
        <v>260</v>
      </c>
      <c r="E537" s="12" t="s">
        <v>278</v>
      </c>
      <c r="F537" s="25" t="s">
        <v>1078</v>
      </c>
      <c r="G537" s="25" t="n">
        <v>2025</v>
      </c>
      <c r="H537" s="25" t="n">
        <v>4</v>
      </c>
      <c r="I537" s="25" t="s">
        <v>3879</v>
      </c>
      <c r="J537" s="18" t="n">
        <v>1</v>
      </c>
      <c r="K537" s="14" t="n">
        <v>0.69</v>
      </c>
      <c r="L537" s="29"/>
      <c r="M537" s="14" t="n">
        <v>0.62</v>
      </c>
      <c r="N537" s="29"/>
      <c r="O537" s="32" t="n">
        <v>0.07</v>
      </c>
      <c r="P537" s="29"/>
      <c r="Q537" s="25" t="n">
        <v>1</v>
      </c>
      <c r="R537" s="25" t="n">
        <v>0</v>
      </c>
      <c r="S537" s="25" t="n">
        <v>0</v>
      </c>
      <c r="T537" s="25" t="n">
        <v>0</v>
      </c>
      <c r="U537" s="29"/>
      <c r="V537" s="29"/>
      <c r="W537" s="29"/>
      <c r="X537" s="14" t="n">
        <v>0.53</v>
      </c>
      <c r="Y537" s="29"/>
      <c r="Z537" s="25" t="s">
        <v>2931</v>
      </c>
      <c r="AA537" s="12" t="s">
        <v>3887</v>
      </c>
      <c r="AB537" s="25" t="s">
        <v>113</v>
      </c>
      <c r="AC537" s="22" t="s">
        <v>1079</v>
      </c>
    </row>
    <row r="538" customFormat="false" ht="19.5" hidden="false" customHeight="true" outlineLevel="0" collapsed="false">
      <c r="A538" s="27" t="s">
        <v>4369</v>
      </c>
      <c r="B538" s="27" t="s">
        <v>276</v>
      </c>
      <c r="C538" s="9" t="s">
        <v>277</v>
      </c>
      <c r="D538" s="9" t="s">
        <v>260</v>
      </c>
      <c r="E538" s="9" t="s">
        <v>278</v>
      </c>
      <c r="F538" s="27" t="s">
        <v>1102</v>
      </c>
      <c r="G538" s="27" t="n">
        <v>2025</v>
      </c>
      <c r="H538" s="27" t="n">
        <v>5</v>
      </c>
      <c r="I538" s="27" t="s">
        <v>3879</v>
      </c>
      <c r="J538" s="20" t="n">
        <v>1</v>
      </c>
      <c r="K538" s="11" t="n">
        <v>0</v>
      </c>
      <c r="L538" s="30"/>
      <c r="M538" s="30"/>
      <c r="N538" s="30"/>
      <c r="O538" s="30"/>
      <c r="P538" s="11" t="n">
        <v>0</v>
      </c>
      <c r="Q538" s="27" t="n">
        <v>0</v>
      </c>
      <c r="R538" s="27" t="n">
        <v>0</v>
      </c>
      <c r="S538" s="27" t="n">
        <v>0</v>
      </c>
      <c r="T538" s="27" t="n">
        <v>0</v>
      </c>
      <c r="U538" s="30"/>
      <c r="V538" s="30"/>
      <c r="W538" s="30"/>
      <c r="X538" s="30"/>
      <c r="Y538" s="30"/>
      <c r="Z538" s="27" t="s">
        <v>3836</v>
      </c>
      <c r="AA538" s="9" t="s">
        <v>3887</v>
      </c>
      <c r="AB538" s="27" t="s">
        <v>86</v>
      </c>
      <c r="AC538" s="23" t="s">
        <v>664</v>
      </c>
    </row>
    <row r="539" customFormat="false" ht="19.5" hidden="false" customHeight="true" outlineLevel="0" collapsed="false">
      <c r="A539" s="25" t="s">
        <v>4370</v>
      </c>
      <c r="B539" s="25" t="s">
        <v>276</v>
      </c>
      <c r="C539" s="12" t="s">
        <v>277</v>
      </c>
      <c r="D539" s="12" t="s">
        <v>260</v>
      </c>
      <c r="E539" s="12" t="s">
        <v>278</v>
      </c>
      <c r="F539" s="25" t="s">
        <v>1117</v>
      </c>
      <c r="G539" s="25" t="n">
        <v>2025</v>
      </c>
      <c r="H539" s="25" t="n">
        <v>5</v>
      </c>
      <c r="I539" s="25" t="s">
        <v>3879</v>
      </c>
      <c r="J539" s="18" t="n">
        <v>1</v>
      </c>
      <c r="K539" s="14" t="n">
        <v>0</v>
      </c>
      <c r="L539" s="29"/>
      <c r="M539" s="14" t="n">
        <v>0</v>
      </c>
      <c r="N539" s="29"/>
      <c r="O539" s="32" t="n">
        <v>0</v>
      </c>
      <c r="P539" s="14" t="n">
        <v>0</v>
      </c>
      <c r="Q539" s="25" t="n">
        <v>0</v>
      </c>
      <c r="R539" s="25" t="n">
        <v>0</v>
      </c>
      <c r="S539" s="25" t="n">
        <v>0</v>
      </c>
      <c r="T539" s="25" t="n">
        <v>0</v>
      </c>
      <c r="U539" s="29"/>
      <c r="V539" s="29"/>
      <c r="W539" s="29"/>
      <c r="X539" s="29"/>
      <c r="Y539" s="29"/>
      <c r="Z539" s="25" t="s">
        <v>3836</v>
      </c>
      <c r="AA539" s="12" t="s">
        <v>3887</v>
      </c>
      <c r="AB539" s="25" t="s">
        <v>86</v>
      </c>
      <c r="AC539" s="22" t="s">
        <v>681</v>
      </c>
    </row>
    <row r="540" customFormat="false" ht="19.5" hidden="false" customHeight="true" outlineLevel="0" collapsed="false">
      <c r="A540" s="27" t="s">
        <v>4371</v>
      </c>
      <c r="B540" s="27" t="s">
        <v>276</v>
      </c>
      <c r="C540" s="9" t="s">
        <v>277</v>
      </c>
      <c r="D540" s="9" t="s">
        <v>260</v>
      </c>
      <c r="E540" s="9" t="s">
        <v>278</v>
      </c>
      <c r="F540" s="27" t="s">
        <v>1132</v>
      </c>
      <c r="G540" s="27" t="n">
        <v>2025</v>
      </c>
      <c r="H540" s="27" t="n">
        <v>5</v>
      </c>
      <c r="I540" s="27" t="s">
        <v>3879</v>
      </c>
      <c r="J540" s="20" t="n">
        <v>1</v>
      </c>
      <c r="K540" s="11" t="n">
        <v>0</v>
      </c>
      <c r="L540" s="30"/>
      <c r="M540" s="11" t="n">
        <v>0</v>
      </c>
      <c r="N540" s="11" t="n">
        <v>0</v>
      </c>
      <c r="O540" s="31" t="n">
        <v>0</v>
      </c>
      <c r="P540" s="11" t="n">
        <v>0</v>
      </c>
      <c r="Q540" s="27" t="n">
        <v>0</v>
      </c>
      <c r="R540" s="27" t="n">
        <v>0</v>
      </c>
      <c r="S540" s="27" t="n">
        <v>0</v>
      </c>
      <c r="T540" s="27" t="n">
        <v>0</v>
      </c>
      <c r="U540" s="30"/>
      <c r="V540" s="30"/>
      <c r="W540" s="30"/>
      <c r="X540" s="30"/>
      <c r="Y540" s="30"/>
      <c r="Z540" s="27" t="s">
        <v>3836</v>
      </c>
      <c r="AA540" s="9" t="s">
        <v>3887</v>
      </c>
      <c r="AB540" s="27" t="s">
        <v>86</v>
      </c>
      <c r="AC540" s="23" t="s">
        <v>697</v>
      </c>
    </row>
    <row r="541" customFormat="false" ht="19.5" hidden="false" customHeight="true" outlineLevel="0" collapsed="false">
      <c r="A541" s="25" t="s">
        <v>4372</v>
      </c>
      <c r="B541" s="25" t="s">
        <v>276</v>
      </c>
      <c r="C541" s="12" t="s">
        <v>277</v>
      </c>
      <c r="D541" s="12" t="s">
        <v>260</v>
      </c>
      <c r="E541" s="12" t="s">
        <v>278</v>
      </c>
      <c r="F541" s="25" t="s">
        <v>1147</v>
      </c>
      <c r="G541" s="25" t="n">
        <v>2025</v>
      </c>
      <c r="H541" s="25" t="n">
        <v>5</v>
      </c>
      <c r="I541" s="25" t="s">
        <v>3879</v>
      </c>
      <c r="J541" s="18" t="n">
        <v>1</v>
      </c>
      <c r="K541" s="14" t="n">
        <v>0</v>
      </c>
      <c r="L541" s="29"/>
      <c r="M541" s="14" t="n">
        <v>0</v>
      </c>
      <c r="N541" s="14" t="n">
        <v>0</v>
      </c>
      <c r="O541" s="32" t="n">
        <v>0</v>
      </c>
      <c r="P541" s="14" t="n">
        <v>0</v>
      </c>
      <c r="Q541" s="25" t="n">
        <v>0</v>
      </c>
      <c r="R541" s="25" t="n">
        <v>0</v>
      </c>
      <c r="S541" s="25" t="n">
        <v>0</v>
      </c>
      <c r="T541" s="25" t="n">
        <v>0</v>
      </c>
      <c r="U541" s="29"/>
      <c r="V541" s="29"/>
      <c r="W541" s="29"/>
      <c r="X541" s="29"/>
      <c r="Y541" s="29"/>
      <c r="Z541" s="25" t="s">
        <v>3836</v>
      </c>
      <c r="AA541" s="12" t="s">
        <v>3887</v>
      </c>
      <c r="AB541" s="25" t="s">
        <v>86</v>
      </c>
      <c r="AC541" s="22" t="s">
        <v>713</v>
      </c>
    </row>
    <row r="542" customFormat="false" ht="19.5" hidden="false" customHeight="true" outlineLevel="0" collapsed="false">
      <c r="A542" s="27" t="s">
        <v>4373</v>
      </c>
      <c r="B542" s="27" t="s">
        <v>276</v>
      </c>
      <c r="C542" s="9" t="s">
        <v>277</v>
      </c>
      <c r="D542" s="9" t="s">
        <v>260</v>
      </c>
      <c r="E542" s="9" t="s">
        <v>278</v>
      </c>
      <c r="F542" s="27" t="s">
        <v>1162</v>
      </c>
      <c r="G542" s="27" t="n">
        <v>2025</v>
      </c>
      <c r="H542" s="27" t="n">
        <v>5</v>
      </c>
      <c r="I542" s="27" t="s">
        <v>3879</v>
      </c>
      <c r="J542" s="20" t="n">
        <v>1</v>
      </c>
      <c r="K542" s="11" t="n">
        <v>0</v>
      </c>
      <c r="L542" s="30"/>
      <c r="M542" s="11" t="n">
        <v>0</v>
      </c>
      <c r="N542" s="11" t="n">
        <v>0</v>
      </c>
      <c r="O542" s="31" t="n">
        <v>0</v>
      </c>
      <c r="P542" s="30"/>
      <c r="Q542" s="27" t="n">
        <v>0</v>
      </c>
      <c r="R542" s="27" t="n">
        <v>0</v>
      </c>
      <c r="S542" s="27" t="n">
        <v>0</v>
      </c>
      <c r="T542" s="27" t="n">
        <v>0</v>
      </c>
      <c r="U542" s="30"/>
      <c r="V542" s="30"/>
      <c r="W542" s="30"/>
      <c r="X542" s="30"/>
      <c r="Y542" s="30"/>
      <c r="Z542" s="27" t="s">
        <v>3836</v>
      </c>
      <c r="AA542" s="9" t="s">
        <v>3887</v>
      </c>
      <c r="AB542" s="27" t="s">
        <v>86</v>
      </c>
      <c r="AC542" s="23" t="s">
        <v>729</v>
      </c>
    </row>
    <row r="543" customFormat="false" ht="19.5" hidden="false" customHeight="true" outlineLevel="0" collapsed="false">
      <c r="A543" s="25" t="s">
        <v>4374</v>
      </c>
      <c r="B543" s="25" t="s">
        <v>276</v>
      </c>
      <c r="C543" s="12" t="s">
        <v>277</v>
      </c>
      <c r="D543" s="12" t="s">
        <v>260</v>
      </c>
      <c r="E543" s="12" t="s">
        <v>278</v>
      </c>
      <c r="F543" s="25" t="s">
        <v>1177</v>
      </c>
      <c r="G543" s="25" t="n">
        <v>2026</v>
      </c>
      <c r="H543" s="25" t="n">
        <v>2</v>
      </c>
      <c r="I543" s="25" t="s">
        <v>3879</v>
      </c>
      <c r="J543" s="18" t="n">
        <v>1</v>
      </c>
      <c r="K543" s="14" t="n">
        <v>0.45</v>
      </c>
      <c r="L543" s="29"/>
      <c r="M543" s="29"/>
      <c r="N543" s="29"/>
      <c r="O543" s="29"/>
      <c r="P543" s="29"/>
      <c r="Q543" s="25" t="n">
        <v>0</v>
      </c>
      <c r="R543" s="25" t="n">
        <v>0</v>
      </c>
      <c r="S543" s="25" t="n">
        <v>0</v>
      </c>
      <c r="T543" s="25" t="n">
        <v>0</v>
      </c>
      <c r="U543" s="29"/>
      <c r="V543" s="29"/>
      <c r="W543" s="29"/>
      <c r="X543" s="14" t="n">
        <v>0.53</v>
      </c>
      <c r="Y543" s="29"/>
      <c r="Z543" s="25" t="s">
        <v>3836</v>
      </c>
      <c r="AA543" s="12" t="s">
        <v>3894</v>
      </c>
      <c r="AB543" s="25" t="s">
        <v>113</v>
      </c>
      <c r="AC543" s="22" t="s">
        <v>1189</v>
      </c>
    </row>
    <row r="544" customFormat="false" ht="19.5" hidden="false" customHeight="true" outlineLevel="0" collapsed="false">
      <c r="A544" s="27" t="s">
        <v>4375</v>
      </c>
      <c r="B544" s="27" t="s">
        <v>276</v>
      </c>
      <c r="C544" s="9" t="s">
        <v>277</v>
      </c>
      <c r="D544" s="9" t="s">
        <v>260</v>
      </c>
      <c r="E544" s="9" t="s">
        <v>278</v>
      </c>
      <c r="F544" s="27" t="s">
        <v>1222</v>
      </c>
      <c r="G544" s="27" t="n">
        <v>2026</v>
      </c>
      <c r="H544" s="27" t="n">
        <v>4</v>
      </c>
      <c r="I544" s="27" t="s">
        <v>3879</v>
      </c>
      <c r="J544" s="20" t="n">
        <v>1</v>
      </c>
      <c r="K544" s="11" t="n">
        <v>0.37</v>
      </c>
      <c r="L544" s="30"/>
      <c r="M544" s="30"/>
      <c r="N544" s="30"/>
      <c r="O544" s="30"/>
      <c r="P544" s="30"/>
      <c r="Q544" s="27" t="n">
        <v>0</v>
      </c>
      <c r="R544" s="27" t="n">
        <v>0</v>
      </c>
      <c r="S544" s="27" t="n">
        <v>0</v>
      </c>
      <c r="T544" s="27" t="n">
        <v>0</v>
      </c>
      <c r="U544" s="30"/>
      <c r="V544" s="30"/>
      <c r="W544" s="30"/>
      <c r="X544" s="30"/>
      <c r="Y544" s="30"/>
      <c r="Z544" s="27" t="s">
        <v>3836</v>
      </c>
      <c r="AA544" s="9" t="s">
        <v>3894</v>
      </c>
      <c r="AB544" s="27" t="s">
        <v>113</v>
      </c>
      <c r="AC544" s="23" t="s">
        <v>120</v>
      </c>
    </row>
    <row r="545" customFormat="false" ht="19.5" hidden="false" customHeight="true" outlineLevel="0" collapsed="false">
      <c r="A545" s="25" t="s">
        <v>4376</v>
      </c>
      <c r="B545" s="25" t="s">
        <v>276</v>
      </c>
      <c r="C545" s="12" t="s">
        <v>277</v>
      </c>
      <c r="D545" s="12" t="s">
        <v>260</v>
      </c>
      <c r="E545" s="12" t="s">
        <v>278</v>
      </c>
      <c r="F545" s="25" t="s">
        <v>1231</v>
      </c>
      <c r="G545" s="25" t="n">
        <v>2026</v>
      </c>
      <c r="H545" s="25" t="n">
        <v>5</v>
      </c>
      <c r="I545" s="25" t="s">
        <v>3879</v>
      </c>
      <c r="J545" s="18" t="n">
        <v>1</v>
      </c>
      <c r="K545" s="14" t="n">
        <v>0.03</v>
      </c>
      <c r="L545" s="29"/>
      <c r="M545" s="29"/>
      <c r="N545" s="29"/>
      <c r="O545" s="29"/>
      <c r="P545" s="14" t="n">
        <v>0</v>
      </c>
      <c r="Q545" s="25" t="n">
        <v>0</v>
      </c>
      <c r="R545" s="25" t="n">
        <v>0</v>
      </c>
      <c r="S545" s="25" t="n">
        <v>0</v>
      </c>
      <c r="T545" s="25" t="n">
        <v>0</v>
      </c>
      <c r="U545" s="29"/>
      <c r="V545" s="29"/>
      <c r="W545" s="29"/>
      <c r="X545" s="14" t="n">
        <v>0.425</v>
      </c>
      <c r="Y545" s="29"/>
      <c r="Z545" s="25" t="s">
        <v>2939</v>
      </c>
      <c r="AA545" s="12" t="s">
        <v>3894</v>
      </c>
      <c r="AB545" s="25" t="s">
        <v>86</v>
      </c>
      <c r="AC545" s="22" t="s">
        <v>664</v>
      </c>
    </row>
    <row r="546" customFormat="false" ht="19.5" hidden="false" customHeight="true" outlineLevel="0" collapsed="false">
      <c r="A546" s="27" t="s">
        <v>4377</v>
      </c>
      <c r="B546" s="27" t="s">
        <v>276</v>
      </c>
      <c r="C546" s="9" t="s">
        <v>277</v>
      </c>
      <c r="D546" s="9" t="s">
        <v>260</v>
      </c>
      <c r="E546" s="9" t="s">
        <v>278</v>
      </c>
      <c r="F546" s="27" t="s">
        <v>1246</v>
      </c>
      <c r="G546" s="27" t="n">
        <v>2026</v>
      </c>
      <c r="H546" s="27" t="n">
        <v>5</v>
      </c>
      <c r="I546" s="27" t="s">
        <v>3879</v>
      </c>
      <c r="J546" s="20" t="n">
        <v>1</v>
      </c>
      <c r="K546" s="11" t="n">
        <v>0</v>
      </c>
      <c r="L546" s="30"/>
      <c r="M546" s="11" t="n">
        <v>0.03</v>
      </c>
      <c r="N546" s="30"/>
      <c r="O546" s="31" t="n">
        <v>-0.03</v>
      </c>
      <c r="P546" s="11" t="n">
        <v>0</v>
      </c>
      <c r="Q546" s="27" t="n">
        <v>0</v>
      </c>
      <c r="R546" s="27" t="n">
        <v>0</v>
      </c>
      <c r="S546" s="27" t="n">
        <v>0</v>
      </c>
      <c r="T546" s="27" t="n">
        <v>0</v>
      </c>
      <c r="U546" s="30"/>
      <c r="V546" s="30"/>
      <c r="W546" s="30"/>
      <c r="X546" s="11" t="n">
        <v>0.51</v>
      </c>
      <c r="Y546" s="30"/>
      <c r="Z546" s="27" t="s">
        <v>2939</v>
      </c>
      <c r="AA546" s="9" t="s">
        <v>3894</v>
      </c>
      <c r="AB546" s="27" t="s">
        <v>86</v>
      </c>
      <c r="AC546" s="23" t="s">
        <v>664</v>
      </c>
    </row>
    <row r="547" customFormat="false" ht="19.5" hidden="false" customHeight="true" outlineLevel="0" collapsed="false">
      <c r="A547" s="25" t="s">
        <v>4378</v>
      </c>
      <c r="B547" s="25" t="s">
        <v>276</v>
      </c>
      <c r="C547" s="12" t="s">
        <v>277</v>
      </c>
      <c r="D547" s="12" t="s">
        <v>260</v>
      </c>
      <c r="E547" s="12" t="s">
        <v>278</v>
      </c>
      <c r="F547" s="25" t="s">
        <v>1261</v>
      </c>
      <c r="G547" s="25" t="n">
        <v>2026</v>
      </c>
      <c r="H547" s="25" t="n">
        <v>5</v>
      </c>
      <c r="I547" s="25" t="s">
        <v>3879</v>
      </c>
      <c r="J547" s="18" t="n">
        <v>1</v>
      </c>
      <c r="K547" s="14" t="n">
        <v>0</v>
      </c>
      <c r="L547" s="29"/>
      <c r="M547" s="14" t="n">
        <v>0</v>
      </c>
      <c r="N547" s="14" t="n">
        <v>0.03</v>
      </c>
      <c r="O547" s="32" t="n">
        <v>0</v>
      </c>
      <c r="P547" s="14" t="n">
        <v>0</v>
      </c>
      <c r="Q547" s="25" t="n">
        <v>0</v>
      </c>
      <c r="R547" s="25" t="n">
        <v>0</v>
      </c>
      <c r="S547" s="25" t="n">
        <v>0</v>
      </c>
      <c r="T547" s="25" t="n">
        <v>0</v>
      </c>
      <c r="U547" s="29"/>
      <c r="V547" s="29"/>
      <c r="W547" s="29"/>
      <c r="X547" s="14" t="n">
        <v>0.51</v>
      </c>
      <c r="Y547" s="29"/>
      <c r="Z547" s="25" t="s">
        <v>2939</v>
      </c>
      <c r="AA547" s="12" t="s">
        <v>3894</v>
      </c>
      <c r="AB547" s="25" t="s">
        <v>86</v>
      </c>
      <c r="AC547" s="22" t="s">
        <v>681</v>
      </c>
    </row>
    <row r="548" customFormat="false" ht="19.5" hidden="false" customHeight="true" outlineLevel="0" collapsed="false">
      <c r="A548" s="27" t="s">
        <v>4379</v>
      </c>
      <c r="B548" s="27" t="s">
        <v>276</v>
      </c>
      <c r="C548" s="9" t="s">
        <v>277</v>
      </c>
      <c r="D548" s="9" t="s">
        <v>260</v>
      </c>
      <c r="E548" s="9" t="s">
        <v>278</v>
      </c>
      <c r="F548" s="27" t="s">
        <v>1276</v>
      </c>
      <c r="G548" s="27" t="n">
        <v>2026</v>
      </c>
      <c r="H548" s="27" t="n">
        <v>5</v>
      </c>
      <c r="I548" s="27" t="s">
        <v>3879</v>
      </c>
      <c r="J548" s="20" t="n">
        <v>1</v>
      </c>
      <c r="K548" s="11" t="n">
        <v>0</v>
      </c>
      <c r="L548" s="30"/>
      <c r="M548" s="11" t="n">
        <v>0</v>
      </c>
      <c r="N548" s="11" t="n">
        <v>0</v>
      </c>
      <c r="O548" s="31" t="n">
        <v>0</v>
      </c>
      <c r="P548" s="11" t="n">
        <v>0</v>
      </c>
      <c r="Q548" s="27" t="n">
        <v>0</v>
      </c>
      <c r="R548" s="27" t="n">
        <v>0</v>
      </c>
      <c r="S548" s="27" t="n">
        <v>0</v>
      </c>
      <c r="T548" s="27" t="n">
        <v>0</v>
      </c>
      <c r="U548" s="30"/>
      <c r="V548" s="30"/>
      <c r="W548" s="30"/>
      <c r="X548" s="11" t="n">
        <v>0.47</v>
      </c>
      <c r="Y548" s="30"/>
      <c r="Z548" s="27" t="s">
        <v>2939</v>
      </c>
      <c r="AA548" s="9" t="s">
        <v>3894</v>
      </c>
      <c r="AB548" s="27" t="s">
        <v>86</v>
      </c>
      <c r="AC548" s="23" t="s">
        <v>697</v>
      </c>
    </row>
    <row r="549" customFormat="false" ht="19.5" hidden="false" customHeight="true" outlineLevel="0" collapsed="false">
      <c r="A549" s="25" t="s">
        <v>4380</v>
      </c>
      <c r="B549" s="25" t="s">
        <v>276</v>
      </c>
      <c r="C549" s="12" t="s">
        <v>277</v>
      </c>
      <c r="D549" s="12" t="s">
        <v>260</v>
      </c>
      <c r="E549" s="12" t="s">
        <v>278</v>
      </c>
      <c r="F549" s="25" t="s">
        <v>1291</v>
      </c>
      <c r="G549" s="25" t="n">
        <v>2026</v>
      </c>
      <c r="H549" s="25" t="n">
        <v>5</v>
      </c>
      <c r="I549" s="25" t="s">
        <v>3879</v>
      </c>
      <c r="J549" s="18" t="n">
        <v>1</v>
      </c>
      <c r="K549" s="14" t="n">
        <v>0</v>
      </c>
      <c r="L549" s="29"/>
      <c r="M549" s="14" t="n">
        <v>0</v>
      </c>
      <c r="N549" s="14" t="n">
        <v>0</v>
      </c>
      <c r="O549" s="32" t="n">
        <v>0</v>
      </c>
      <c r="P549" s="14" t="n">
        <v>0</v>
      </c>
      <c r="Q549" s="25" t="n">
        <v>0</v>
      </c>
      <c r="R549" s="25" t="n">
        <v>0</v>
      </c>
      <c r="S549" s="25" t="n">
        <v>0</v>
      </c>
      <c r="T549" s="25" t="n">
        <v>0</v>
      </c>
      <c r="U549" s="29"/>
      <c r="V549" s="29"/>
      <c r="W549" s="29"/>
      <c r="X549" s="14" t="n">
        <v>0.55</v>
      </c>
      <c r="Y549" s="29"/>
      <c r="Z549" s="25" t="s">
        <v>2939</v>
      </c>
      <c r="AA549" s="12" t="s">
        <v>3894</v>
      </c>
      <c r="AB549" s="25" t="s">
        <v>86</v>
      </c>
      <c r="AC549" s="22" t="s">
        <v>713</v>
      </c>
    </row>
    <row r="550" customFormat="false" ht="19.5" hidden="false" customHeight="true" outlineLevel="0" collapsed="false">
      <c r="A550" s="27" t="s">
        <v>4381</v>
      </c>
      <c r="B550" s="27" t="s">
        <v>276</v>
      </c>
      <c r="C550" s="9" t="s">
        <v>277</v>
      </c>
      <c r="D550" s="9" t="s">
        <v>260</v>
      </c>
      <c r="E550" s="9" t="s">
        <v>278</v>
      </c>
      <c r="F550" s="27" t="s">
        <v>1306</v>
      </c>
      <c r="G550" s="27" t="n">
        <v>2026</v>
      </c>
      <c r="H550" s="27" t="n">
        <v>5</v>
      </c>
      <c r="I550" s="27" t="s">
        <v>3879</v>
      </c>
      <c r="J550" s="20" t="n">
        <v>1</v>
      </c>
      <c r="K550" s="11" t="n">
        <v>0</v>
      </c>
      <c r="L550" s="30"/>
      <c r="M550" s="11" t="n">
        <v>0</v>
      </c>
      <c r="N550" s="11" t="n">
        <v>0</v>
      </c>
      <c r="O550" s="31" t="n">
        <v>0</v>
      </c>
      <c r="P550" s="30"/>
      <c r="Q550" s="27" t="n">
        <v>0</v>
      </c>
      <c r="R550" s="27" t="n">
        <v>0</v>
      </c>
      <c r="S550" s="27" t="n">
        <v>0</v>
      </c>
      <c r="T550" s="27" t="n">
        <v>0</v>
      </c>
      <c r="U550" s="30"/>
      <c r="V550" s="30"/>
      <c r="W550" s="30"/>
      <c r="X550" s="11" t="n">
        <v>0.57</v>
      </c>
      <c r="Y550" s="30"/>
      <c r="Z550" s="27" t="s">
        <v>2939</v>
      </c>
      <c r="AA550" s="9" t="s">
        <v>3894</v>
      </c>
      <c r="AB550" s="27" t="s">
        <v>86</v>
      </c>
      <c r="AC550" s="23" t="s">
        <v>729</v>
      </c>
    </row>
    <row r="551" customFormat="false" ht="19.5" hidden="false" customHeight="true" outlineLevel="0" collapsed="false">
      <c r="A551" s="25" t="s">
        <v>4382</v>
      </c>
      <c r="B551" s="25" t="s">
        <v>215</v>
      </c>
      <c r="C551" s="12" t="s">
        <v>216</v>
      </c>
      <c r="D551" s="12" t="s">
        <v>218</v>
      </c>
      <c r="E551" s="12" t="s">
        <v>219</v>
      </c>
      <c r="F551" s="25" t="s">
        <v>1323</v>
      </c>
      <c r="G551" s="25" t="n">
        <v>2026</v>
      </c>
      <c r="H551" s="25" t="n">
        <v>9</v>
      </c>
      <c r="I551" s="25" t="s">
        <v>3827</v>
      </c>
      <c r="J551" s="18" t="n">
        <v>2</v>
      </c>
      <c r="K551" s="14" t="n">
        <v>3.1</v>
      </c>
      <c r="L551" s="29"/>
      <c r="M551" s="29"/>
      <c r="N551" s="29"/>
      <c r="O551" s="29"/>
      <c r="P551" s="14" t="n">
        <v>3</v>
      </c>
      <c r="Q551" s="25" t="n">
        <v>1</v>
      </c>
      <c r="R551" s="25" t="n">
        <v>1</v>
      </c>
      <c r="S551" s="25" t="n">
        <v>1</v>
      </c>
      <c r="T551" s="25" t="n">
        <v>1</v>
      </c>
      <c r="U551" s="29"/>
      <c r="V551" s="29"/>
      <c r="W551" s="29"/>
      <c r="X551" s="29"/>
      <c r="Y551" s="29"/>
      <c r="Z551" s="25" t="s">
        <v>3836</v>
      </c>
      <c r="AA551" s="12" t="s">
        <v>3828</v>
      </c>
      <c r="AB551" s="25" t="s">
        <v>86</v>
      </c>
      <c r="AC551" s="22" t="s">
        <v>1326</v>
      </c>
    </row>
    <row r="552" customFormat="false" ht="19.5" hidden="false" customHeight="true" outlineLevel="0" collapsed="false">
      <c r="A552" s="27" t="s">
        <v>4383</v>
      </c>
      <c r="B552" s="27" t="s">
        <v>215</v>
      </c>
      <c r="C552" s="9" t="s">
        <v>216</v>
      </c>
      <c r="D552" s="9" t="s">
        <v>218</v>
      </c>
      <c r="E552" s="9" t="s">
        <v>219</v>
      </c>
      <c r="F552" s="27" t="s">
        <v>1353</v>
      </c>
      <c r="G552" s="27" t="n">
        <v>2026</v>
      </c>
      <c r="H552" s="27" t="n">
        <v>9</v>
      </c>
      <c r="I552" s="27" t="s">
        <v>3827</v>
      </c>
      <c r="J552" s="20" t="n">
        <v>2</v>
      </c>
      <c r="K552" s="11" t="n">
        <v>3</v>
      </c>
      <c r="L552" s="30"/>
      <c r="M552" s="11" t="n">
        <v>3.1</v>
      </c>
      <c r="N552" s="30"/>
      <c r="O552" s="31" t="n">
        <v>-0.1</v>
      </c>
      <c r="P552" s="11" t="n">
        <v>2.9</v>
      </c>
      <c r="Q552" s="27" t="n">
        <v>1</v>
      </c>
      <c r="R552" s="27" t="n">
        <v>1</v>
      </c>
      <c r="S552" s="27" t="n">
        <v>1</v>
      </c>
      <c r="T552" s="27" t="n">
        <v>1</v>
      </c>
      <c r="U552" s="11" t="n">
        <v>1.02</v>
      </c>
      <c r="V552" s="11" t="n">
        <v>-1.04</v>
      </c>
      <c r="W552" s="11" t="n">
        <v>2.06</v>
      </c>
      <c r="X552" s="30"/>
      <c r="Y552" s="30"/>
      <c r="Z552" s="27" t="s">
        <v>3836</v>
      </c>
      <c r="AA552" s="9" t="s">
        <v>3828</v>
      </c>
      <c r="AB552" s="27" t="s">
        <v>86</v>
      </c>
      <c r="AC552" s="23" t="s">
        <v>1326</v>
      </c>
    </row>
    <row r="553" customFormat="false" ht="19.5" hidden="false" customHeight="true" outlineLevel="0" collapsed="false">
      <c r="A553" s="25" t="s">
        <v>4384</v>
      </c>
      <c r="B553" s="25" t="s">
        <v>215</v>
      </c>
      <c r="C553" s="12" t="s">
        <v>216</v>
      </c>
      <c r="D553" s="12" t="s">
        <v>218</v>
      </c>
      <c r="E553" s="12" t="s">
        <v>219</v>
      </c>
      <c r="F553" s="25" t="s">
        <v>1374</v>
      </c>
      <c r="G553" s="25" t="n">
        <v>2026</v>
      </c>
      <c r="H553" s="25" t="n">
        <v>9</v>
      </c>
      <c r="I553" s="25" t="s">
        <v>3827</v>
      </c>
      <c r="J553" s="18" t="n">
        <v>3</v>
      </c>
      <c r="K553" s="14" t="n">
        <v>2.9</v>
      </c>
      <c r="L553" s="14" t="n">
        <v>2.8</v>
      </c>
      <c r="M553" s="14" t="n">
        <v>3</v>
      </c>
      <c r="N553" s="14" t="n">
        <v>3.1</v>
      </c>
      <c r="O553" s="32" t="n">
        <v>-0.1</v>
      </c>
      <c r="P553" s="14" t="n">
        <v>3.1</v>
      </c>
      <c r="Q553" s="25" t="n">
        <v>1</v>
      </c>
      <c r="R553" s="25" t="n">
        <v>1</v>
      </c>
      <c r="S553" s="25" t="n">
        <v>1</v>
      </c>
      <c r="T553" s="25" t="n">
        <v>1</v>
      </c>
      <c r="U553" s="14" t="n">
        <v>0.96</v>
      </c>
      <c r="V553" s="14" t="n">
        <v>-1.01</v>
      </c>
      <c r="W553" s="14" t="n">
        <v>1.97</v>
      </c>
      <c r="X553" s="14" t="n">
        <v>0.33</v>
      </c>
      <c r="Y553" s="13" t="n">
        <v>21.2</v>
      </c>
      <c r="Z553" s="25" t="s">
        <v>2961</v>
      </c>
      <c r="AA553" s="12" t="s">
        <v>3828</v>
      </c>
      <c r="AB553" s="25" t="s">
        <v>86</v>
      </c>
      <c r="AC553" s="22" t="s">
        <v>1383</v>
      </c>
    </row>
    <row r="554" customFormat="false" ht="19.5" hidden="false" customHeight="true" outlineLevel="0" collapsed="false">
      <c r="A554" s="27" t="s">
        <v>4385</v>
      </c>
      <c r="B554" s="27" t="s">
        <v>215</v>
      </c>
      <c r="C554" s="9" t="s">
        <v>216</v>
      </c>
      <c r="D554" s="9" t="s">
        <v>218</v>
      </c>
      <c r="E554" s="9" t="s">
        <v>219</v>
      </c>
      <c r="F554" s="27" t="s">
        <v>1400</v>
      </c>
      <c r="G554" s="27" t="n">
        <v>2026</v>
      </c>
      <c r="H554" s="27" t="n">
        <v>9</v>
      </c>
      <c r="I554" s="27" t="s">
        <v>3827</v>
      </c>
      <c r="J554" s="20" t="n">
        <v>3</v>
      </c>
      <c r="K554" s="11" t="n">
        <v>3.1</v>
      </c>
      <c r="L554" s="11" t="n">
        <v>2.7</v>
      </c>
      <c r="M554" s="11" t="n">
        <v>2.9</v>
      </c>
      <c r="N554" s="11" t="n">
        <v>3</v>
      </c>
      <c r="O554" s="31" t="n">
        <v>0.2</v>
      </c>
      <c r="P554" s="11" t="n">
        <v>3.6</v>
      </c>
      <c r="Q554" s="27" t="n">
        <v>1</v>
      </c>
      <c r="R554" s="27" t="n">
        <v>1</v>
      </c>
      <c r="S554" s="27" t="n">
        <v>1</v>
      </c>
      <c r="T554" s="27" t="n">
        <v>1</v>
      </c>
      <c r="U554" s="11" t="n">
        <v>0.3</v>
      </c>
      <c r="V554" s="11" t="n">
        <v>-0.98</v>
      </c>
      <c r="W554" s="11" t="n">
        <v>1.28</v>
      </c>
      <c r="X554" s="11" t="n">
        <v>0.31</v>
      </c>
      <c r="Y554" s="10" t="n">
        <v>2.1</v>
      </c>
      <c r="Z554" s="27" t="s">
        <v>2961</v>
      </c>
      <c r="AA554" s="9" t="s">
        <v>3828</v>
      </c>
      <c r="AB554" s="27" t="s">
        <v>86</v>
      </c>
      <c r="AC554" s="23" t="s">
        <v>1383</v>
      </c>
    </row>
    <row r="555" customFormat="false" ht="19.5" hidden="false" customHeight="true" outlineLevel="0" collapsed="false">
      <c r="A555" s="25" t="s">
        <v>4386</v>
      </c>
      <c r="B555" s="25" t="s">
        <v>215</v>
      </c>
      <c r="C555" s="12" t="s">
        <v>216</v>
      </c>
      <c r="D555" s="12" t="s">
        <v>218</v>
      </c>
      <c r="E555" s="12" t="s">
        <v>219</v>
      </c>
      <c r="F555" s="25" t="s">
        <v>1419</v>
      </c>
      <c r="G555" s="25" t="n">
        <v>2026</v>
      </c>
      <c r="H555" s="25" t="n">
        <v>9</v>
      </c>
      <c r="I555" s="25" t="s">
        <v>3827</v>
      </c>
      <c r="J555" s="18" t="n">
        <v>2</v>
      </c>
      <c r="K555" s="14" t="n">
        <v>3.6</v>
      </c>
      <c r="L555" s="14" t="n">
        <v>3.5</v>
      </c>
      <c r="M555" s="14" t="n">
        <v>3.1</v>
      </c>
      <c r="N555" s="14" t="n">
        <v>2.9</v>
      </c>
      <c r="O555" s="32" t="n">
        <v>0.5</v>
      </c>
      <c r="P555" s="29"/>
      <c r="Q555" s="25" t="n">
        <v>1</v>
      </c>
      <c r="R555" s="25" t="n">
        <v>1</v>
      </c>
      <c r="S555" s="25" t="n">
        <v>1</v>
      </c>
      <c r="T555" s="25" t="n">
        <v>1</v>
      </c>
      <c r="U555" s="14" t="n">
        <v>0.97</v>
      </c>
      <c r="V555" s="14" t="n">
        <v>0.97</v>
      </c>
      <c r="W555" s="14" t="n">
        <v>0</v>
      </c>
      <c r="X555" s="14" t="n">
        <v>0.07</v>
      </c>
      <c r="Y555" s="13" t="n">
        <v>2.1</v>
      </c>
      <c r="Z555" s="25" t="s">
        <v>2961</v>
      </c>
      <c r="AA555" s="12" t="s">
        <v>3828</v>
      </c>
      <c r="AB555" s="25" t="s">
        <v>86</v>
      </c>
      <c r="AC555" s="22" t="s">
        <v>1376</v>
      </c>
    </row>
    <row r="556" customFormat="false" ht="19.5" hidden="false" customHeight="true" outlineLevel="0" collapsed="false">
      <c r="A556" s="27" t="s">
        <v>4387</v>
      </c>
      <c r="B556" s="27" t="s">
        <v>215</v>
      </c>
      <c r="C556" s="9" t="s">
        <v>216</v>
      </c>
      <c r="D556" s="9" t="s">
        <v>218</v>
      </c>
      <c r="E556" s="9" t="s">
        <v>219</v>
      </c>
      <c r="F556" s="27" t="s">
        <v>1435</v>
      </c>
      <c r="G556" s="27" t="n">
        <v>2026</v>
      </c>
      <c r="H556" s="27" t="n">
        <v>10</v>
      </c>
      <c r="I556" s="27" t="s">
        <v>3827</v>
      </c>
      <c r="J556" s="20" t="n">
        <v>1</v>
      </c>
      <c r="K556" s="11" t="n">
        <v>3.8</v>
      </c>
      <c r="L556" s="30"/>
      <c r="M556" s="30"/>
      <c r="N556" s="30"/>
      <c r="O556" s="30"/>
      <c r="P556" s="11" t="n">
        <v>4</v>
      </c>
      <c r="Q556" s="27" t="n">
        <v>1</v>
      </c>
      <c r="R556" s="27" t="n">
        <v>1</v>
      </c>
      <c r="S556" s="27" t="n">
        <v>1</v>
      </c>
      <c r="T556" s="27" t="n">
        <v>1</v>
      </c>
      <c r="U556" s="30"/>
      <c r="V556" s="30"/>
      <c r="W556" s="30"/>
      <c r="X556" s="30"/>
      <c r="Y556" s="30"/>
      <c r="Z556" s="27" t="s">
        <v>3836</v>
      </c>
      <c r="AA556" s="9" t="s">
        <v>3832</v>
      </c>
      <c r="AB556" s="27" t="s">
        <v>86</v>
      </c>
      <c r="AC556" s="23" t="s">
        <v>1437</v>
      </c>
    </row>
    <row r="557" customFormat="false" ht="19.5" hidden="false" customHeight="true" outlineLevel="0" collapsed="false">
      <c r="A557" s="25" t="s">
        <v>4388</v>
      </c>
      <c r="B557" s="25" t="s">
        <v>215</v>
      </c>
      <c r="C557" s="12" t="s">
        <v>216</v>
      </c>
      <c r="D557" s="12" t="s">
        <v>218</v>
      </c>
      <c r="E557" s="12" t="s">
        <v>219</v>
      </c>
      <c r="F557" s="25" t="s">
        <v>1450</v>
      </c>
      <c r="G557" s="25" t="n">
        <v>2026</v>
      </c>
      <c r="H557" s="25" t="n">
        <v>10</v>
      </c>
      <c r="I557" s="25" t="s">
        <v>3827</v>
      </c>
      <c r="J557" s="18" t="n">
        <v>2</v>
      </c>
      <c r="K557" s="14" t="n">
        <v>4</v>
      </c>
      <c r="L557" s="29"/>
      <c r="M557" s="14" t="n">
        <v>3.8</v>
      </c>
      <c r="N557" s="29"/>
      <c r="O557" s="32" t="n">
        <v>0.2</v>
      </c>
      <c r="P557" s="14" t="n">
        <v>3.6</v>
      </c>
      <c r="Q557" s="25" t="n">
        <v>1</v>
      </c>
      <c r="R557" s="25" t="n">
        <v>1</v>
      </c>
      <c r="S557" s="25" t="n">
        <v>1</v>
      </c>
      <c r="T557" s="25" t="n">
        <v>1</v>
      </c>
      <c r="U557" s="14" t="n">
        <v>1.22</v>
      </c>
      <c r="V557" s="14" t="n">
        <v>-1.05</v>
      </c>
      <c r="W557" s="14" t="n">
        <v>2.27</v>
      </c>
      <c r="X557" s="29"/>
      <c r="Y557" s="29"/>
      <c r="Z557" s="25" t="s">
        <v>3836</v>
      </c>
      <c r="AA557" s="12" t="s">
        <v>3832</v>
      </c>
      <c r="AB557" s="25" t="s">
        <v>86</v>
      </c>
      <c r="AC557" s="22" t="s">
        <v>1437</v>
      </c>
    </row>
    <row r="558" customFormat="false" ht="19.5" hidden="false" customHeight="true" outlineLevel="0" collapsed="false">
      <c r="A558" s="27" t="s">
        <v>4389</v>
      </c>
      <c r="B558" s="27" t="s">
        <v>215</v>
      </c>
      <c r="C558" s="9" t="s">
        <v>216</v>
      </c>
      <c r="D558" s="9" t="s">
        <v>218</v>
      </c>
      <c r="E558" s="9" t="s">
        <v>219</v>
      </c>
      <c r="F558" s="27" t="s">
        <v>1469</v>
      </c>
      <c r="G558" s="27" t="n">
        <v>2026</v>
      </c>
      <c r="H558" s="27" t="n">
        <v>10</v>
      </c>
      <c r="I558" s="27" t="s">
        <v>3827</v>
      </c>
      <c r="J558" s="20" t="n">
        <v>3</v>
      </c>
      <c r="K558" s="11" t="n">
        <v>3.6</v>
      </c>
      <c r="L558" s="11" t="n">
        <v>2.9</v>
      </c>
      <c r="M558" s="11" t="n">
        <v>4</v>
      </c>
      <c r="N558" s="11" t="n">
        <v>3.8</v>
      </c>
      <c r="O558" s="31" t="n">
        <v>-0.4</v>
      </c>
      <c r="P558" s="11" t="n">
        <v>4.1</v>
      </c>
      <c r="Q558" s="27" t="n">
        <v>1</v>
      </c>
      <c r="R558" s="27" t="n">
        <v>1</v>
      </c>
      <c r="S558" s="27" t="n">
        <v>1</v>
      </c>
      <c r="T558" s="27" t="n">
        <v>1</v>
      </c>
      <c r="U558" s="11" t="n">
        <v>1.51</v>
      </c>
      <c r="V558" s="11" t="n">
        <v>-0.78</v>
      </c>
      <c r="W558" s="11" t="n">
        <v>2.29</v>
      </c>
      <c r="X558" s="11" t="n">
        <v>0.42</v>
      </c>
      <c r="Y558" s="10" t="n">
        <v>20.1</v>
      </c>
      <c r="Z558" s="27" t="s">
        <v>3014</v>
      </c>
      <c r="AA558" s="9" t="s">
        <v>3832</v>
      </c>
      <c r="AB558" s="27" t="s">
        <v>86</v>
      </c>
      <c r="AC558" s="23" t="s">
        <v>1476</v>
      </c>
    </row>
    <row r="559" customFormat="false" ht="19.5" hidden="false" customHeight="true" outlineLevel="0" collapsed="false">
      <c r="A559" s="25" t="s">
        <v>4390</v>
      </c>
      <c r="B559" s="25" t="s">
        <v>215</v>
      </c>
      <c r="C559" s="12" t="s">
        <v>216</v>
      </c>
      <c r="D559" s="12" t="s">
        <v>218</v>
      </c>
      <c r="E559" s="12" t="s">
        <v>219</v>
      </c>
      <c r="F559" s="25" t="s">
        <v>1490</v>
      </c>
      <c r="G559" s="25" t="n">
        <v>2026</v>
      </c>
      <c r="H559" s="25" t="n">
        <v>10</v>
      </c>
      <c r="I559" s="25" t="s">
        <v>3827</v>
      </c>
      <c r="J559" s="18" t="n">
        <v>3</v>
      </c>
      <c r="K559" s="14" t="n">
        <v>4.1</v>
      </c>
      <c r="L559" s="14" t="n">
        <v>2.6</v>
      </c>
      <c r="M559" s="14" t="n">
        <v>3.6</v>
      </c>
      <c r="N559" s="14" t="n">
        <v>4</v>
      </c>
      <c r="O559" s="32" t="n">
        <v>0.5</v>
      </c>
      <c r="P559" s="14" t="n">
        <v>4.4</v>
      </c>
      <c r="Q559" s="25" t="n">
        <v>1</v>
      </c>
      <c r="R559" s="25" t="n">
        <v>1</v>
      </c>
      <c r="S559" s="25" t="n">
        <v>1</v>
      </c>
      <c r="T559" s="25" t="n">
        <v>1</v>
      </c>
      <c r="U559" s="14" t="n">
        <v>1.85</v>
      </c>
      <c r="V559" s="14" t="n">
        <v>-0.59</v>
      </c>
      <c r="W559" s="14" t="n">
        <v>2.44</v>
      </c>
      <c r="X559" s="14" t="n">
        <v>0.46</v>
      </c>
      <c r="Y559" s="13" t="n">
        <v>8.4</v>
      </c>
      <c r="Z559" s="25" t="s">
        <v>3014</v>
      </c>
      <c r="AA559" s="12" t="s">
        <v>3832</v>
      </c>
      <c r="AB559" s="25" t="s">
        <v>86</v>
      </c>
      <c r="AC559" s="22" t="s">
        <v>1497</v>
      </c>
    </row>
    <row r="560" customFormat="false" ht="19.5" hidden="false" customHeight="true" outlineLevel="0" collapsed="false">
      <c r="A560" s="27" t="s">
        <v>4391</v>
      </c>
      <c r="B560" s="27" t="s">
        <v>215</v>
      </c>
      <c r="C560" s="9" t="s">
        <v>216</v>
      </c>
      <c r="D560" s="9" t="s">
        <v>218</v>
      </c>
      <c r="E560" s="9" t="s">
        <v>219</v>
      </c>
      <c r="F560" s="27" t="s">
        <v>1510</v>
      </c>
      <c r="G560" s="27" t="n">
        <v>2026</v>
      </c>
      <c r="H560" s="27" t="n">
        <v>10</v>
      </c>
      <c r="I560" s="27" t="s">
        <v>3827</v>
      </c>
      <c r="J560" s="20" t="n">
        <v>3</v>
      </c>
      <c r="K560" s="11" t="n">
        <v>4.4</v>
      </c>
      <c r="L560" s="11" t="n">
        <v>3.5</v>
      </c>
      <c r="M560" s="11" t="n">
        <v>4.1</v>
      </c>
      <c r="N560" s="11" t="n">
        <v>3.6</v>
      </c>
      <c r="O560" s="31" t="n">
        <v>0.3</v>
      </c>
      <c r="P560" s="11" t="n">
        <v>4.8</v>
      </c>
      <c r="Q560" s="27" t="n">
        <v>1</v>
      </c>
      <c r="R560" s="27" t="n">
        <v>1</v>
      </c>
      <c r="S560" s="27" t="n">
        <v>1</v>
      </c>
      <c r="T560" s="27" t="n">
        <v>1</v>
      </c>
      <c r="U560" s="11" t="n">
        <v>1.87</v>
      </c>
      <c r="V560" s="11" t="n">
        <v>-0.82</v>
      </c>
      <c r="W560" s="11" t="n">
        <v>2.69</v>
      </c>
      <c r="X560" s="11" t="n">
        <v>0.37</v>
      </c>
      <c r="Y560" s="10" t="n">
        <v>0</v>
      </c>
      <c r="Z560" s="27" t="s">
        <v>2897</v>
      </c>
      <c r="AA560" s="9" t="s">
        <v>3832</v>
      </c>
      <c r="AB560" s="27" t="s">
        <v>86</v>
      </c>
      <c r="AC560" s="23" t="s">
        <v>1517</v>
      </c>
    </row>
    <row r="561" customFormat="false" ht="19.5" hidden="false" customHeight="true" outlineLevel="0" collapsed="false">
      <c r="A561" s="25" t="s">
        <v>4392</v>
      </c>
      <c r="B561" s="25" t="s">
        <v>215</v>
      </c>
      <c r="C561" s="12" t="s">
        <v>216</v>
      </c>
      <c r="D561" s="12" t="s">
        <v>218</v>
      </c>
      <c r="E561" s="12" t="s">
        <v>219</v>
      </c>
      <c r="F561" s="25" t="s">
        <v>1532</v>
      </c>
      <c r="G561" s="25" t="n">
        <v>2026</v>
      </c>
      <c r="H561" s="25" t="n">
        <v>10</v>
      </c>
      <c r="I561" s="25" t="s">
        <v>3827</v>
      </c>
      <c r="J561" s="18" t="n">
        <v>3</v>
      </c>
      <c r="K561" s="14" t="n">
        <v>4.8</v>
      </c>
      <c r="L561" s="14" t="n">
        <v>3.6</v>
      </c>
      <c r="M561" s="14" t="n">
        <v>4.4</v>
      </c>
      <c r="N561" s="14" t="n">
        <v>4.1</v>
      </c>
      <c r="O561" s="32" t="n">
        <v>0.4</v>
      </c>
      <c r="P561" s="14" t="n">
        <v>4.3</v>
      </c>
      <c r="Q561" s="25" t="n">
        <v>1</v>
      </c>
      <c r="R561" s="25" t="n">
        <v>1</v>
      </c>
      <c r="S561" s="25" t="n">
        <v>1</v>
      </c>
      <c r="T561" s="25" t="n">
        <v>1</v>
      </c>
      <c r="U561" s="14" t="n">
        <v>1.81</v>
      </c>
      <c r="V561" s="14" t="n">
        <v>-0.96</v>
      </c>
      <c r="W561" s="14" t="n">
        <v>2.77</v>
      </c>
      <c r="X561" s="14" t="n">
        <v>0.35</v>
      </c>
      <c r="Y561" s="13" t="n">
        <v>2.5</v>
      </c>
      <c r="Z561" s="25" t="s">
        <v>2998</v>
      </c>
      <c r="AA561" s="12" t="s">
        <v>3832</v>
      </c>
      <c r="AB561" s="25" t="s">
        <v>86</v>
      </c>
      <c r="AC561" s="22" t="s">
        <v>93</v>
      </c>
    </row>
    <row r="562" customFormat="false" ht="19.5" hidden="false" customHeight="true" outlineLevel="0" collapsed="false">
      <c r="A562" s="27" t="s">
        <v>4393</v>
      </c>
      <c r="B562" s="27" t="s">
        <v>215</v>
      </c>
      <c r="C562" s="9" t="s">
        <v>216</v>
      </c>
      <c r="D562" s="9" t="s">
        <v>218</v>
      </c>
      <c r="E562" s="9" t="s">
        <v>219</v>
      </c>
      <c r="F562" s="27" t="s">
        <v>1555</v>
      </c>
      <c r="G562" s="27" t="n">
        <v>2026</v>
      </c>
      <c r="H562" s="27" t="n">
        <v>10</v>
      </c>
      <c r="I562" s="27" t="s">
        <v>3827</v>
      </c>
      <c r="J562" s="20" t="n">
        <v>2</v>
      </c>
      <c r="K562" s="11" t="n">
        <v>4.3</v>
      </c>
      <c r="L562" s="11" t="n">
        <v>4.2</v>
      </c>
      <c r="M562" s="11" t="n">
        <v>4.8</v>
      </c>
      <c r="N562" s="11" t="n">
        <v>4.4</v>
      </c>
      <c r="O562" s="31" t="n">
        <v>-0.5</v>
      </c>
      <c r="P562" s="30"/>
      <c r="Q562" s="27" t="n">
        <v>1</v>
      </c>
      <c r="R562" s="27" t="n">
        <v>1</v>
      </c>
      <c r="S562" s="27" t="n">
        <v>1</v>
      </c>
      <c r="T562" s="27" t="n">
        <v>1</v>
      </c>
      <c r="U562" s="11" t="n">
        <v>1.6</v>
      </c>
      <c r="V562" s="11" t="n">
        <v>1.6</v>
      </c>
      <c r="W562" s="11" t="n">
        <v>0</v>
      </c>
      <c r="X562" s="11" t="n">
        <v>0.35</v>
      </c>
      <c r="Y562" s="10" t="n">
        <v>0</v>
      </c>
      <c r="Z562" s="27" t="s">
        <v>2998</v>
      </c>
      <c r="AA562" s="9" t="s">
        <v>3832</v>
      </c>
      <c r="AB562" s="27" t="s">
        <v>86</v>
      </c>
      <c r="AC562" s="23" t="s">
        <v>93</v>
      </c>
    </row>
    <row r="563" customFormat="false" ht="19.5" hidden="false" customHeight="true" outlineLevel="0" collapsed="false">
      <c r="A563" s="25" t="s">
        <v>4394</v>
      </c>
      <c r="B563" s="25" t="s">
        <v>257</v>
      </c>
      <c r="C563" s="12" t="s">
        <v>258</v>
      </c>
      <c r="D563" s="12" t="s">
        <v>260</v>
      </c>
      <c r="E563" s="12" t="s">
        <v>219</v>
      </c>
      <c r="F563" s="25" t="s">
        <v>625</v>
      </c>
      <c r="G563" s="25" t="n">
        <v>2016</v>
      </c>
      <c r="H563" s="25" t="n">
        <v>2</v>
      </c>
      <c r="I563" s="25" t="s">
        <v>3879</v>
      </c>
      <c r="J563" s="18" t="n">
        <v>1</v>
      </c>
      <c r="K563" s="14" t="n">
        <v>2.05</v>
      </c>
      <c r="L563" s="29"/>
      <c r="M563" s="29"/>
      <c r="N563" s="29"/>
      <c r="O563" s="29"/>
      <c r="P563" s="29"/>
      <c r="Q563" s="25" t="n">
        <v>1</v>
      </c>
      <c r="R563" s="25" t="n">
        <v>1</v>
      </c>
      <c r="S563" s="25" t="n">
        <v>1</v>
      </c>
      <c r="T563" s="25" t="n">
        <v>1</v>
      </c>
      <c r="U563" s="29"/>
      <c r="V563" s="29"/>
      <c r="W563" s="29"/>
      <c r="X563" s="29"/>
      <c r="Y563" s="29"/>
      <c r="Z563" s="25" t="s">
        <v>3836</v>
      </c>
      <c r="AA563" s="12" t="s">
        <v>3880</v>
      </c>
      <c r="AB563" s="25" t="s">
        <v>86</v>
      </c>
      <c r="AC563" s="22" t="s">
        <v>197</v>
      </c>
    </row>
    <row r="564" customFormat="false" ht="19.5" hidden="false" customHeight="true" outlineLevel="0" collapsed="false">
      <c r="A564" s="27" t="s">
        <v>4395</v>
      </c>
      <c r="B564" s="27" t="s">
        <v>257</v>
      </c>
      <c r="C564" s="9" t="s">
        <v>258</v>
      </c>
      <c r="D564" s="9" t="s">
        <v>260</v>
      </c>
      <c r="E564" s="9" t="s">
        <v>219</v>
      </c>
      <c r="F564" s="27" t="s">
        <v>663</v>
      </c>
      <c r="G564" s="27" t="n">
        <v>2016</v>
      </c>
      <c r="H564" s="27" t="n">
        <v>5</v>
      </c>
      <c r="I564" s="27" t="s">
        <v>3879</v>
      </c>
      <c r="J564" s="20" t="n">
        <v>1</v>
      </c>
      <c r="K564" s="11" t="n">
        <v>1.88</v>
      </c>
      <c r="L564" s="30"/>
      <c r="M564" s="30"/>
      <c r="N564" s="30"/>
      <c r="O564" s="30"/>
      <c r="P564" s="11" t="n">
        <v>1.72</v>
      </c>
      <c r="Q564" s="27" t="n">
        <v>1</v>
      </c>
      <c r="R564" s="27" t="n">
        <v>1</v>
      </c>
      <c r="S564" s="27" t="n">
        <v>1</v>
      </c>
      <c r="T564" s="27" t="n">
        <v>0</v>
      </c>
      <c r="U564" s="30"/>
      <c r="V564" s="30"/>
      <c r="W564" s="30"/>
      <c r="X564" s="30"/>
      <c r="Y564" s="30"/>
      <c r="Z564" s="27" t="s">
        <v>3836</v>
      </c>
      <c r="AA564" s="9" t="s">
        <v>3880</v>
      </c>
      <c r="AB564" s="27" t="s">
        <v>86</v>
      </c>
      <c r="AC564" s="23" t="s">
        <v>664</v>
      </c>
    </row>
    <row r="565" customFormat="false" ht="19.5" hidden="false" customHeight="true" outlineLevel="0" collapsed="false">
      <c r="A565" s="25" t="s">
        <v>4396</v>
      </c>
      <c r="B565" s="25" t="s">
        <v>257</v>
      </c>
      <c r="C565" s="12" t="s">
        <v>258</v>
      </c>
      <c r="D565" s="12" t="s">
        <v>260</v>
      </c>
      <c r="E565" s="12" t="s">
        <v>219</v>
      </c>
      <c r="F565" s="25" t="s">
        <v>680</v>
      </c>
      <c r="G565" s="25" t="n">
        <v>2016</v>
      </c>
      <c r="H565" s="25" t="n">
        <v>5</v>
      </c>
      <c r="I565" s="25" t="s">
        <v>3879</v>
      </c>
      <c r="J565" s="18" t="n">
        <v>1</v>
      </c>
      <c r="K565" s="14" t="n">
        <v>1.72</v>
      </c>
      <c r="L565" s="29"/>
      <c r="M565" s="14" t="n">
        <v>1.88</v>
      </c>
      <c r="N565" s="29"/>
      <c r="O565" s="32" t="n">
        <v>-0.16</v>
      </c>
      <c r="P565" s="14" t="n">
        <v>1.56</v>
      </c>
      <c r="Q565" s="25" t="n">
        <v>1</v>
      </c>
      <c r="R565" s="25" t="n">
        <v>1</v>
      </c>
      <c r="S565" s="25" t="n">
        <v>1</v>
      </c>
      <c r="T565" s="25" t="n">
        <v>0</v>
      </c>
      <c r="U565" s="29"/>
      <c r="V565" s="29"/>
      <c r="W565" s="29"/>
      <c r="X565" s="29"/>
      <c r="Y565" s="29"/>
      <c r="Z565" s="25" t="s">
        <v>3836</v>
      </c>
      <c r="AA565" s="12" t="s">
        <v>3880</v>
      </c>
      <c r="AB565" s="25" t="s">
        <v>86</v>
      </c>
      <c r="AC565" s="22" t="s">
        <v>681</v>
      </c>
    </row>
    <row r="566" customFormat="false" ht="19.5" hidden="false" customHeight="true" outlineLevel="0" collapsed="false">
      <c r="A566" s="27" t="s">
        <v>4397</v>
      </c>
      <c r="B566" s="27" t="s">
        <v>257</v>
      </c>
      <c r="C566" s="9" t="s">
        <v>258</v>
      </c>
      <c r="D566" s="9" t="s">
        <v>260</v>
      </c>
      <c r="E566" s="9" t="s">
        <v>219</v>
      </c>
      <c r="F566" s="27" t="s">
        <v>696</v>
      </c>
      <c r="G566" s="27" t="n">
        <v>2016</v>
      </c>
      <c r="H566" s="27" t="n">
        <v>5</v>
      </c>
      <c r="I566" s="27" t="s">
        <v>3879</v>
      </c>
      <c r="J566" s="20" t="n">
        <v>1</v>
      </c>
      <c r="K566" s="11" t="n">
        <v>1.56</v>
      </c>
      <c r="L566" s="30"/>
      <c r="M566" s="11" t="n">
        <v>1.72</v>
      </c>
      <c r="N566" s="11" t="n">
        <v>1.88</v>
      </c>
      <c r="O566" s="31" t="n">
        <v>-0.16</v>
      </c>
      <c r="P566" s="11" t="n">
        <v>1.5</v>
      </c>
      <c r="Q566" s="27" t="n">
        <v>1</v>
      </c>
      <c r="R566" s="27" t="n">
        <v>1</v>
      </c>
      <c r="S566" s="27" t="n">
        <v>1</v>
      </c>
      <c r="T566" s="27" t="n">
        <v>0</v>
      </c>
      <c r="U566" s="30"/>
      <c r="V566" s="30"/>
      <c r="W566" s="30"/>
      <c r="X566" s="30"/>
      <c r="Y566" s="30"/>
      <c r="Z566" s="27" t="s">
        <v>3836</v>
      </c>
      <c r="AA566" s="9" t="s">
        <v>3880</v>
      </c>
      <c r="AB566" s="27" t="s">
        <v>86</v>
      </c>
      <c r="AC566" s="23" t="s">
        <v>697</v>
      </c>
    </row>
    <row r="567" customFormat="false" ht="19.5" hidden="false" customHeight="true" outlineLevel="0" collapsed="false">
      <c r="A567" s="25" t="s">
        <v>4398</v>
      </c>
      <c r="B567" s="25" t="s">
        <v>257</v>
      </c>
      <c r="C567" s="12" t="s">
        <v>258</v>
      </c>
      <c r="D567" s="12" t="s">
        <v>260</v>
      </c>
      <c r="E567" s="12" t="s">
        <v>219</v>
      </c>
      <c r="F567" s="25" t="s">
        <v>712</v>
      </c>
      <c r="G567" s="25" t="n">
        <v>2016</v>
      </c>
      <c r="H567" s="25" t="n">
        <v>5</v>
      </c>
      <c r="I567" s="25" t="s">
        <v>3879</v>
      </c>
      <c r="J567" s="18" t="n">
        <v>1</v>
      </c>
      <c r="K567" s="14" t="n">
        <v>1.5</v>
      </c>
      <c r="L567" s="29"/>
      <c r="M567" s="14" t="n">
        <v>1.56</v>
      </c>
      <c r="N567" s="14" t="n">
        <v>1.72</v>
      </c>
      <c r="O567" s="32" t="n">
        <v>-0.06</v>
      </c>
      <c r="P567" s="14" t="n">
        <v>1.4</v>
      </c>
      <c r="Q567" s="25" t="n">
        <v>1</v>
      </c>
      <c r="R567" s="25" t="n">
        <v>1</v>
      </c>
      <c r="S567" s="25" t="n">
        <v>1</v>
      </c>
      <c r="T567" s="25" t="n">
        <v>0</v>
      </c>
      <c r="U567" s="29"/>
      <c r="V567" s="29"/>
      <c r="W567" s="29"/>
      <c r="X567" s="29"/>
      <c r="Y567" s="29"/>
      <c r="Z567" s="25" t="s">
        <v>3836</v>
      </c>
      <c r="AA567" s="12" t="s">
        <v>3880</v>
      </c>
      <c r="AB567" s="25" t="s">
        <v>86</v>
      </c>
      <c r="AC567" s="22" t="s">
        <v>713</v>
      </c>
    </row>
    <row r="568" customFormat="false" ht="19.5" hidden="false" customHeight="true" outlineLevel="0" collapsed="false">
      <c r="A568" s="27" t="s">
        <v>4399</v>
      </c>
      <c r="B568" s="27" t="s">
        <v>257</v>
      </c>
      <c r="C568" s="9" t="s">
        <v>258</v>
      </c>
      <c r="D568" s="9" t="s">
        <v>260</v>
      </c>
      <c r="E568" s="9" t="s">
        <v>219</v>
      </c>
      <c r="F568" s="27" t="s">
        <v>728</v>
      </c>
      <c r="G568" s="27" t="n">
        <v>2016</v>
      </c>
      <c r="H568" s="27" t="n">
        <v>5</v>
      </c>
      <c r="I568" s="27" t="s">
        <v>3879</v>
      </c>
      <c r="J568" s="20" t="n">
        <v>1</v>
      </c>
      <c r="K568" s="11" t="n">
        <v>1.4</v>
      </c>
      <c r="L568" s="30"/>
      <c r="M568" s="11" t="n">
        <v>1.5</v>
      </c>
      <c r="N568" s="11" t="n">
        <v>1.56</v>
      </c>
      <c r="O568" s="31" t="n">
        <v>-0.1</v>
      </c>
      <c r="P568" s="30"/>
      <c r="Q568" s="27" t="n">
        <v>1</v>
      </c>
      <c r="R568" s="27" t="n">
        <v>1</v>
      </c>
      <c r="S568" s="27" t="n">
        <v>1</v>
      </c>
      <c r="T568" s="27" t="n">
        <v>0</v>
      </c>
      <c r="U568" s="30"/>
      <c r="V568" s="30"/>
      <c r="W568" s="30"/>
      <c r="X568" s="30"/>
      <c r="Y568" s="30"/>
      <c r="Z568" s="27" t="s">
        <v>3836</v>
      </c>
      <c r="AA568" s="9" t="s">
        <v>3880</v>
      </c>
      <c r="AB568" s="27" t="s">
        <v>86</v>
      </c>
      <c r="AC568" s="23" t="s">
        <v>729</v>
      </c>
    </row>
    <row r="569" customFormat="false" ht="19.5" hidden="false" customHeight="true" outlineLevel="0" collapsed="false">
      <c r="A569" s="25" t="s">
        <v>4400</v>
      </c>
      <c r="B569" s="25" t="s">
        <v>257</v>
      </c>
      <c r="C569" s="12" t="s">
        <v>258</v>
      </c>
      <c r="D569" s="12" t="s">
        <v>260</v>
      </c>
      <c r="E569" s="12" t="s">
        <v>219</v>
      </c>
      <c r="F569" s="25" t="s">
        <v>744</v>
      </c>
      <c r="G569" s="25" t="n">
        <v>2020</v>
      </c>
      <c r="H569" s="25" t="n">
        <v>2</v>
      </c>
      <c r="I569" s="25" t="s">
        <v>3879</v>
      </c>
      <c r="J569" s="18" t="n">
        <v>1</v>
      </c>
      <c r="K569" s="14" t="n">
        <v>4.7</v>
      </c>
      <c r="L569" s="29"/>
      <c r="M569" s="29"/>
      <c r="N569" s="29"/>
      <c r="O569" s="29"/>
      <c r="P569" s="29"/>
      <c r="Q569" s="25" t="n">
        <v>1</v>
      </c>
      <c r="R569" s="25" t="n">
        <v>1</v>
      </c>
      <c r="S569" s="25" t="n">
        <v>1</v>
      </c>
      <c r="T569" s="25" t="n">
        <v>1</v>
      </c>
      <c r="U569" s="29"/>
      <c r="V569" s="29"/>
      <c r="W569" s="29"/>
      <c r="X569" s="29"/>
      <c r="Y569" s="29"/>
      <c r="Z569" s="25" t="s">
        <v>3836</v>
      </c>
      <c r="AA569" s="12" t="s">
        <v>3880</v>
      </c>
      <c r="AB569" s="25" t="s">
        <v>86</v>
      </c>
      <c r="AC569" s="22" t="s">
        <v>197</v>
      </c>
    </row>
    <row r="570" customFormat="false" ht="19.5" hidden="false" customHeight="true" outlineLevel="0" collapsed="false">
      <c r="A570" s="27" t="s">
        <v>4401</v>
      </c>
      <c r="B570" s="27" t="s">
        <v>257</v>
      </c>
      <c r="C570" s="9" t="s">
        <v>258</v>
      </c>
      <c r="D570" s="9" t="s">
        <v>260</v>
      </c>
      <c r="E570" s="9" t="s">
        <v>219</v>
      </c>
      <c r="F570" s="27" t="s">
        <v>764</v>
      </c>
      <c r="G570" s="27" t="n">
        <v>2020</v>
      </c>
      <c r="H570" s="27" t="n">
        <v>5</v>
      </c>
      <c r="I570" s="27" t="s">
        <v>3879</v>
      </c>
      <c r="J570" s="20" t="n">
        <v>1</v>
      </c>
      <c r="K570" s="11" t="n">
        <v>6.9</v>
      </c>
      <c r="L570" s="30"/>
      <c r="M570" s="30"/>
      <c r="N570" s="30"/>
      <c r="O570" s="30"/>
      <c r="P570" s="11" t="n">
        <v>6.28</v>
      </c>
      <c r="Q570" s="27" t="n">
        <v>1</v>
      </c>
      <c r="R570" s="27" t="n">
        <v>1</v>
      </c>
      <c r="S570" s="27" t="n">
        <v>1</v>
      </c>
      <c r="T570" s="27" t="n">
        <v>1</v>
      </c>
      <c r="U570" s="30"/>
      <c r="V570" s="30"/>
      <c r="W570" s="30"/>
      <c r="X570" s="30"/>
      <c r="Y570" s="30"/>
      <c r="Z570" s="27" t="s">
        <v>3836</v>
      </c>
      <c r="AA570" s="9" t="s">
        <v>3880</v>
      </c>
      <c r="AB570" s="27" t="s">
        <v>86</v>
      </c>
      <c r="AC570" s="23" t="s">
        <v>664</v>
      </c>
    </row>
    <row r="571" customFormat="false" ht="19.5" hidden="false" customHeight="true" outlineLevel="0" collapsed="false">
      <c r="A571" s="25" t="s">
        <v>4402</v>
      </c>
      <c r="B571" s="25" t="s">
        <v>257</v>
      </c>
      <c r="C571" s="12" t="s">
        <v>258</v>
      </c>
      <c r="D571" s="12" t="s">
        <v>260</v>
      </c>
      <c r="E571" s="12" t="s">
        <v>219</v>
      </c>
      <c r="F571" s="25" t="s">
        <v>777</v>
      </c>
      <c r="G571" s="25" t="n">
        <v>2020</v>
      </c>
      <c r="H571" s="25" t="n">
        <v>5</v>
      </c>
      <c r="I571" s="25" t="s">
        <v>3879</v>
      </c>
      <c r="J571" s="18" t="n">
        <v>1</v>
      </c>
      <c r="K571" s="14" t="n">
        <v>6.28</v>
      </c>
      <c r="L571" s="29"/>
      <c r="M571" s="14" t="n">
        <v>6.9</v>
      </c>
      <c r="N571" s="29"/>
      <c r="O571" s="32" t="n">
        <v>-0.62</v>
      </c>
      <c r="P571" s="14" t="n">
        <v>5.4</v>
      </c>
      <c r="Q571" s="25" t="n">
        <v>1</v>
      </c>
      <c r="R571" s="25" t="n">
        <v>1</v>
      </c>
      <c r="S571" s="25" t="n">
        <v>1</v>
      </c>
      <c r="T571" s="25" t="n">
        <v>1</v>
      </c>
      <c r="U571" s="29"/>
      <c r="V571" s="29"/>
      <c r="W571" s="29"/>
      <c r="X571" s="29"/>
      <c r="Y571" s="29"/>
      <c r="Z571" s="25" t="s">
        <v>3836</v>
      </c>
      <c r="AA571" s="12" t="s">
        <v>3880</v>
      </c>
      <c r="AB571" s="25" t="s">
        <v>86</v>
      </c>
      <c r="AC571" s="22" t="s">
        <v>681</v>
      </c>
    </row>
    <row r="572" customFormat="false" ht="19.5" hidden="false" customHeight="true" outlineLevel="0" collapsed="false">
      <c r="A572" s="27" t="s">
        <v>4403</v>
      </c>
      <c r="B572" s="27" t="s">
        <v>257</v>
      </c>
      <c r="C572" s="9" t="s">
        <v>258</v>
      </c>
      <c r="D572" s="9" t="s">
        <v>260</v>
      </c>
      <c r="E572" s="9" t="s">
        <v>219</v>
      </c>
      <c r="F572" s="27" t="s">
        <v>790</v>
      </c>
      <c r="G572" s="27" t="n">
        <v>2020</v>
      </c>
      <c r="H572" s="27" t="n">
        <v>5</v>
      </c>
      <c r="I572" s="27" t="s">
        <v>3879</v>
      </c>
      <c r="J572" s="20" t="n">
        <v>1</v>
      </c>
      <c r="K572" s="11" t="n">
        <v>5.4</v>
      </c>
      <c r="L572" s="30"/>
      <c r="M572" s="11" t="n">
        <v>6.28</v>
      </c>
      <c r="N572" s="11" t="n">
        <v>6.9</v>
      </c>
      <c r="O572" s="31" t="n">
        <v>-0.88</v>
      </c>
      <c r="P572" s="11" t="n">
        <v>5</v>
      </c>
      <c r="Q572" s="27" t="n">
        <v>1</v>
      </c>
      <c r="R572" s="27" t="n">
        <v>1</v>
      </c>
      <c r="S572" s="27" t="n">
        <v>1</v>
      </c>
      <c r="T572" s="27" t="n">
        <v>1</v>
      </c>
      <c r="U572" s="30"/>
      <c r="V572" s="30"/>
      <c r="W572" s="30"/>
      <c r="X572" s="30"/>
      <c r="Y572" s="30"/>
      <c r="Z572" s="27" t="s">
        <v>3836</v>
      </c>
      <c r="AA572" s="9" t="s">
        <v>3880</v>
      </c>
      <c r="AB572" s="27" t="s">
        <v>86</v>
      </c>
      <c r="AC572" s="23" t="s">
        <v>697</v>
      </c>
    </row>
    <row r="573" customFormat="false" ht="19.5" hidden="false" customHeight="true" outlineLevel="0" collapsed="false">
      <c r="A573" s="25" t="s">
        <v>4404</v>
      </c>
      <c r="B573" s="25" t="s">
        <v>257</v>
      </c>
      <c r="C573" s="12" t="s">
        <v>258</v>
      </c>
      <c r="D573" s="12" t="s">
        <v>260</v>
      </c>
      <c r="E573" s="12" t="s">
        <v>219</v>
      </c>
      <c r="F573" s="25" t="s">
        <v>803</v>
      </c>
      <c r="G573" s="25" t="n">
        <v>2020</v>
      </c>
      <c r="H573" s="25" t="n">
        <v>5</v>
      </c>
      <c r="I573" s="25" t="s">
        <v>3879</v>
      </c>
      <c r="J573" s="18" t="n">
        <v>1</v>
      </c>
      <c r="K573" s="14" t="n">
        <v>5</v>
      </c>
      <c r="L573" s="29"/>
      <c r="M573" s="14" t="n">
        <v>5.4</v>
      </c>
      <c r="N573" s="14" t="n">
        <v>6.28</v>
      </c>
      <c r="O573" s="32" t="n">
        <v>-0.4</v>
      </c>
      <c r="P573" s="14" t="n">
        <v>4.6</v>
      </c>
      <c r="Q573" s="25" t="n">
        <v>1</v>
      </c>
      <c r="R573" s="25" t="n">
        <v>1</v>
      </c>
      <c r="S573" s="25" t="n">
        <v>1</v>
      </c>
      <c r="T573" s="25" t="n">
        <v>1</v>
      </c>
      <c r="U573" s="29"/>
      <c r="V573" s="29"/>
      <c r="W573" s="29"/>
      <c r="X573" s="29"/>
      <c r="Y573" s="29"/>
      <c r="Z573" s="25" t="s">
        <v>3836</v>
      </c>
      <c r="AA573" s="12" t="s">
        <v>3880</v>
      </c>
      <c r="AB573" s="25" t="s">
        <v>86</v>
      </c>
      <c r="AC573" s="22" t="s">
        <v>713</v>
      </c>
    </row>
    <row r="574" customFormat="false" ht="19.5" hidden="false" customHeight="true" outlineLevel="0" collapsed="false">
      <c r="A574" s="27" t="s">
        <v>4405</v>
      </c>
      <c r="B574" s="27" t="s">
        <v>257</v>
      </c>
      <c r="C574" s="9" t="s">
        <v>258</v>
      </c>
      <c r="D574" s="9" t="s">
        <v>260</v>
      </c>
      <c r="E574" s="9" t="s">
        <v>219</v>
      </c>
      <c r="F574" s="27" t="s">
        <v>816</v>
      </c>
      <c r="G574" s="27" t="n">
        <v>2020</v>
      </c>
      <c r="H574" s="27" t="n">
        <v>5</v>
      </c>
      <c r="I574" s="27" t="s">
        <v>3879</v>
      </c>
      <c r="J574" s="20" t="n">
        <v>1</v>
      </c>
      <c r="K574" s="11" t="n">
        <v>4.6</v>
      </c>
      <c r="L574" s="30"/>
      <c r="M574" s="11" t="n">
        <v>5</v>
      </c>
      <c r="N574" s="11" t="n">
        <v>5.4</v>
      </c>
      <c r="O574" s="31" t="n">
        <v>-0.4</v>
      </c>
      <c r="P574" s="30"/>
      <c r="Q574" s="27" t="n">
        <v>1</v>
      </c>
      <c r="R574" s="27" t="n">
        <v>1</v>
      </c>
      <c r="S574" s="27" t="n">
        <v>1</v>
      </c>
      <c r="T574" s="27" t="n">
        <v>1</v>
      </c>
      <c r="U574" s="30"/>
      <c r="V574" s="30"/>
      <c r="W574" s="30"/>
      <c r="X574" s="30"/>
      <c r="Y574" s="30"/>
      <c r="Z574" s="27" t="s">
        <v>3836</v>
      </c>
      <c r="AA574" s="9" t="s">
        <v>3880</v>
      </c>
      <c r="AB574" s="27" t="s">
        <v>86</v>
      </c>
      <c r="AC574" s="23" t="s">
        <v>729</v>
      </c>
    </row>
    <row r="575" customFormat="false" ht="19.5" hidden="false" customHeight="true" outlineLevel="0" collapsed="false">
      <c r="A575" s="25" t="s">
        <v>4406</v>
      </c>
      <c r="B575" s="25" t="s">
        <v>257</v>
      </c>
      <c r="C575" s="12" t="s">
        <v>258</v>
      </c>
      <c r="D575" s="12" t="s">
        <v>260</v>
      </c>
      <c r="E575" s="12" t="s">
        <v>219</v>
      </c>
      <c r="F575" s="25" t="s">
        <v>830</v>
      </c>
      <c r="G575" s="25" t="n">
        <v>2024</v>
      </c>
      <c r="H575" s="25" t="n">
        <v>2</v>
      </c>
      <c r="I575" s="25" t="s">
        <v>3879</v>
      </c>
      <c r="J575" s="18" t="n">
        <v>1</v>
      </c>
      <c r="K575" s="14" t="n">
        <v>1</v>
      </c>
      <c r="L575" s="29"/>
      <c r="M575" s="29"/>
      <c r="N575" s="29"/>
      <c r="O575" s="29"/>
      <c r="P575" s="29"/>
      <c r="Q575" s="25" t="n">
        <v>1</v>
      </c>
      <c r="R575" s="25" t="n">
        <v>1</v>
      </c>
      <c r="S575" s="25" t="n">
        <v>0</v>
      </c>
      <c r="T575" s="25" t="n">
        <v>0</v>
      </c>
      <c r="U575" s="29"/>
      <c r="V575" s="29"/>
      <c r="W575" s="29"/>
      <c r="X575" s="29"/>
      <c r="Y575" s="29"/>
      <c r="Z575" s="25" t="s">
        <v>3836</v>
      </c>
      <c r="AA575" s="12" t="s">
        <v>4140</v>
      </c>
      <c r="AB575" s="25" t="s">
        <v>113</v>
      </c>
      <c r="AC575" s="22" t="s">
        <v>832</v>
      </c>
    </row>
    <row r="576" customFormat="false" ht="19.5" hidden="false" customHeight="true" outlineLevel="0" collapsed="false">
      <c r="A576" s="27" t="s">
        <v>4407</v>
      </c>
      <c r="B576" s="27" t="s">
        <v>257</v>
      </c>
      <c r="C576" s="9" t="s">
        <v>258</v>
      </c>
      <c r="D576" s="9" t="s">
        <v>260</v>
      </c>
      <c r="E576" s="9" t="s">
        <v>219</v>
      </c>
      <c r="F576" s="27" t="s">
        <v>848</v>
      </c>
      <c r="G576" s="27" t="n">
        <v>2024</v>
      </c>
      <c r="H576" s="27" t="n">
        <v>3</v>
      </c>
      <c r="I576" s="27" t="s">
        <v>3879</v>
      </c>
      <c r="J576" s="20" t="n">
        <v>1</v>
      </c>
      <c r="K576" s="11" t="n">
        <v>3.98</v>
      </c>
      <c r="L576" s="30"/>
      <c r="M576" s="30"/>
      <c r="N576" s="30"/>
      <c r="O576" s="30"/>
      <c r="P576" s="30"/>
      <c r="Q576" s="27" t="n">
        <v>1</v>
      </c>
      <c r="R576" s="27" t="n">
        <v>1</v>
      </c>
      <c r="S576" s="27" t="n">
        <v>1</v>
      </c>
      <c r="T576" s="27" t="n">
        <v>1</v>
      </c>
      <c r="U576" s="30"/>
      <c r="V576" s="30"/>
      <c r="W576" s="30"/>
      <c r="X576" s="30"/>
      <c r="Y576" s="30"/>
      <c r="Z576" s="27" t="s">
        <v>2891</v>
      </c>
      <c r="AA576" s="9" t="s">
        <v>4140</v>
      </c>
      <c r="AB576" s="27" t="s">
        <v>113</v>
      </c>
      <c r="AC576" s="23" t="s">
        <v>849</v>
      </c>
    </row>
    <row r="577" customFormat="false" ht="19.5" hidden="false" customHeight="true" outlineLevel="0" collapsed="false">
      <c r="A577" s="25" t="s">
        <v>4408</v>
      </c>
      <c r="B577" s="25" t="s">
        <v>257</v>
      </c>
      <c r="C577" s="12" t="s">
        <v>258</v>
      </c>
      <c r="D577" s="12" t="s">
        <v>260</v>
      </c>
      <c r="E577" s="12" t="s">
        <v>219</v>
      </c>
      <c r="F577" s="25" t="s">
        <v>895</v>
      </c>
      <c r="G577" s="25" t="n">
        <v>2024</v>
      </c>
      <c r="H577" s="25" t="n">
        <v>3</v>
      </c>
      <c r="I577" s="25" t="s">
        <v>3879</v>
      </c>
      <c r="J577" s="18" t="n">
        <v>1</v>
      </c>
      <c r="K577" s="14" t="n">
        <v>8.7</v>
      </c>
      <c r="L577" s="29"/>
      <c r="M577" s="14" t="n">
        <v>3.98</v>
      </c>
      <c r="N577" s="29"/>
      <c r="O577" s="32" t="n">
        <v>4.72</v>
      </c>
      <c r="P577" s="29"/>
      <c r="Q577" s="25" t="n">
        <v>1</v>
      </c>
      <c r="R577" s="25" t="n">
        <v>1</v>
      </c>
      <c r="S577" s="25" t="n">
        <v>1</v>
      </c>
      <c r="T577" s="25" t="n">
        <v>1</v>
      </c>
      <c r="U577" s="29"/>
      <c r="V577" s="29"/>
      <c r="W577" s="29"/>
      <c r="X577" s="29"/>
      <c r="Y577" s="29"/>
      <c r="Z577" s="25" t="s">
        <v>2897</v>
      </c>
      <c r="AA577" s="12" t="s">
        <v>4140</v>
      </c>
      <c r="AB577" s="25" t="s">
        <v>113</v>
      </c>
      <c r="AC577" s="22" t="s">
        <v>896</v>
      </c>
    </row>
    <row r="578" customFormat="false" ht="19.5" hidden="false" customHeight="true" outlineLevel="0" collapsed="false">
      <c r="A578" s="27" t="s">
        <v>4409</v>
      </c>
      <c r="B578" s="27" t="s">
        <v>257</v>
      </c>
      <c r="C578" s="9" t="s">
        <v>258</v>
      </c>
      <c r="D578" s="9" t="s">
        <v>260</v>
      </c>
      <c r="E578" s="9" t="s">
        <v>219</v>
      </c>
      <c r="F578" s="27" t="s">
        <v>913</v>
      </c>
      <c r="G578" s="27" t="n">
        <v>2024</v>
      </c>
      <c r="H578" s="27" t="n">
        <v>5</v>
      </c>
      <c r="I578" s="27" t="s">
        <v>3879</v>
      </c>
      <c r="J578" s="20" t="n">
        <v>1</v>
      </c>
      <c r="K578" s="11" t="n">
        <v>4.07</v>
      </c>
      <c r="L578" s="30"/>
      <c r="M578" s="30"/>
      <c r="N578" s="30"/>
      <c r="O578" s="30"/>
      <c r="P578" s="30"/>
      <c r="Q578" s="27" t="n">
        <v>1</v>
      </c>
      <c r="R578" s="27" t="n">
        <v>1</v>
      </c>
      <c r="S578" s="27" t="n">
        <v>1</v>
      </c>
      <c r="T578" s="27" t="n">
        <v>1</v>
      </c>
      <c r="U578" s="30"/>
      <c r="V578" s="30"/>
      <c r="W578" s="30"/>
      <c r="X578" s="30"/>
      <c r="Y578" s="30"/>
      <c r="Z578" s="27" t="s">
        <v>2908</v>
      </c>
      <c r="AA578" s="9" t="s">
        <v>4140</v>
      </c>
      <c r="AB578" s="27" t="s">
        <v>113</v>
      </c>
      <c r="AC578" s="23" t="s">
        <v>914</v>
      </c>
    </row>
    <row r="579" customFormat="false" ht="19.5" hidden="false" customHeight="true" outlineLevel="0" collapsed="false">
      <c r="A579" s="25" t="s">
        <v>4410</v>
      </c>
      <c r="B579" s="25" t="s">
        <v>257</v>
      </c>
      <c r="C579" s="12" t="s">
        <v>258</v>
      </c>
      <c r="D579" s="12" t="s">
        <v>260</v>
      </c>
      <c r="E579" s="12" t="s">
        <v>219</v>
      </c>
      <c r="F579" s="25" t="s">
        <v>931</v>
      </c>
      <c r="G579" s="25" t="n">
        <v>2024</v>
      </c>
      <c r="H579" s="25" t="n">
        <v>5</v>
      </c>
      <c r="I579" s="25" t="s">
        <v>3879</v>
      </c>
      <c r="J579" s="18" t="n">
        <v>1</v>
      </c>
      <c r="K579" s="14" t="n">
        <v>3.71</v>
      </c>
      <c r="L579" s="29"/>
      <c r="M579" s="14" t="n">
        <v>4.07</v>
      </c>
      <c r="N579" s="29"/>
      <c r="O579" s="32" t="n">
        <v>-0.36</v>
      </c>
      <c r="P579" s="29"/>
      <c r="Q579" s="25" t="n">
        <v>1</v>
      </c>
      <c r="R579" s="25" t="n">
        <v>1</v>
      </c>
      <c r="S579" s="25" t="n">
        <v>1</v>
      </c>
      <c r="T579" s="25" t="n">
        <v>1</v>
      </c>
      <c r="U579" s="29"/>
      <c r="V579" s="29"/>
      <c r="W579" s="29"/>
      <c r="X579" s="29"/>
      <c r="Y579" s="29"/>
      <c r="Z579" s="25" t="s">
        <v>3836</v>
      </c>
      <c r="AA579" s="12" t="s">
        <v>4140</v>
      </c>
      <c r="AB579" s="25" t="s">
        <v>113</v>
      </c>
      <c r="AC579" s="22" t="s">
        <v>932</v>
      </c>
    </row>
    <row r="580" customFormat="false" ht="19.5" hidden="false" customHeight="true" outlineLevel="0" collapsed="false">
      <c r="A580" s="27" t="s">
        <v>4411</v>
      </c>
      <c r="B580" s="27" t="s">
        <v>257</v>
      </c>
      <c r="C580" s="9" t="s">
        <v>258</v>
      </c>
      <c r="D580" s="9" t="s">
        <v>260</v>
      </c>
      <c r="E580" s="9" t="s">
        <v>219</v>
      </c>
      <c r="F580" s="27" t="s">
        <v>949</v>
      </c>
      <c r="G580" s="27" t="n">
        <v>2024</v>
      </c>
      <c r="H580" s="27" t="n">
        <v>5</v>
      </c>
      <c r="I580" s="27" t="s">
        <v>3879</v>
      </c>
      <c r="J580" s="20" t="n">
        <v>1</v>
      </c>
      <c r="K580" s="11" t="n">
        <v>1.23</v>
      </c>
      <c r="L580" s="30"/>
      <c r="M580" s="11" t="n">
        <v>3.71</v>
      </c>
      <c r="N580" s="30"/>
      <c r="O580" s="31" t="n">
        <v>-2.48</v>
      </c>
      <c r="P580" s="30"/>
      <c r="Q580" s="27" t="n">
        <v>1</v>
      </c>
      <c r="R580" s="27" t="n">
        <v>1</v>
      </c>
      <c r="S580" s="27" t="n">
        <v>1</v>
      </c>
      <c r="T580" s="27" t="n">
        <v>0</v>
      </c>
      <c r="U580" s="30"/>
      <c r="V580" s="30"/>
      <c r="W580" s="30"/>
      <c r="X580" s="30"/>
      <c r="Y580" s="30"/>
      <c r="Z580" s="27" t="s">
        <v>2913</v>
      </c>
      <c r="AA580" s="9" t="s">
        <v>4140</v>
      </c>
      <c r="AB580" s="27" t="s">
        <v>113</v>
      </c>
      <c r="AC580" s="23" t="s">
        <v>950</v>
      </c>
    </row>
    <row r="581" customFormat="false" ht="19.5" hidden="false" customHeight="true" outlineLevel="0" collapsed="false">
      <c r="A581" s="25" t="s">
        <v>4412</v>
      </c>
      <c r="B581" s="25" t="s">
        <v>257</v>
      </c>
      <c r="C581" s="12" t="s">
        <v>258</v>
      </c>
      <c r="D581" s="12" t="s">
        <v>260</v>
      </c>
      <c r="E581" s="12" t="s">
        <v>219</v>
      </c>
      <c r="F581" s="25" t="s">
        <v>959</v>
      </c>
      <c r="G581" s="25" t="n">
        <v>2024</v>
      </c>
      <c r="H581" s="25" t="n">
        <v>12</v>
      </c>
      <c r="I581" s="25" t="s">
        <v>3879</v>
      </c>
      <c r="J581" s="18" t="n">
        <v>1</v>
      </c>
      <c r="K581" s="14" t="n">
        <v>0.43</v>
      </c>
      <c r="L581" s="29"/>
      <c r="M581" s="29"/>
      <c r="N581" s="29"/>
      <c r="O581" s="29"/>
      <c r="P581" s="29"/>
      <c r="Q581" s="25" t="n">
        <v>0</v>
      </c>
      <c r="R581" s="25" t="n">
        <v>0</v>
      </c>
      <c r="S581" s="25" t="n">
        <v>0</v>
      </c>
      <c r="T581" s="25" t="n">
        <v>0</v>
      </c>
      <c r="U581" s="29"/>
      <c r="V581" s="29"/>
      <c r="W581" s="29"/>
      <c r="X581" s="29"/>
      <c r="Y581" s="29"/>
      <c r="Z581" s="25" t="s">
        <v>3836</v>
      </c>
      <c r="AA581" s="12" t="s">
        <v>4140</v>
      </c>
      <c r="AB581" s="25" t="s">
        <v>113</v>
      </c>
      <c r="AC581" s="22" t="s">
        <v>960</v>
      </c>
    </row>
    <row r="582" customFormat="false" ht="19.5" hidden="false" customHeight="true" outlineLevel="0" collapsed="false">
      <c r="A582" s="27" t="s">
        <v>4413</v>
      </c>
      <c r="B582" s="27" t="s">
        <v>257</v>
      </c>
      <c r="C582" s="9" t="s">
        <v>258</v>
      </c>
      <c r="D582" s="9" t="s">
        <v>260</v>
      </c>
      <c r="E582" s="9" t="s">
        <v>219</v>
      </c>
      <c r="F582" s="27" t="s">
        <v>967</v>
      </c>
      <c r="G582" s="27" t="n">
        <v>2025</v>
      </c>
      <c r="H582" s="27" t="n">
        <v>2</v>
      </c>
      <c r="I582" s="27" t="s">
        <v>3879</v>
      </c>
      <c r="J582" s="20" t="n">
        <v>1</v>
      </c>
      <c r="K582" s="11" t="n">
        <v>0.78</v>
      </c>
      <c r="L582" s="30"/>
      <c r="M582" s="30"/>
      <c r="N582" s="30"/>
      <c r="O582" s="30"/>
      <c r="P582" s="30"/>
      <c r="Q582" s="27" t="n">
        <v>1</v>
      </c>
      <c r="R582" s="27" t="n">
        <v>1</v>
      </c>
      <c r="S582" s="27" t="n">
        <v>0</v>
      </c>
      <c r="T582" s="27" t="n">
        <v>0</v>
      </c>
      <c r="U582" s="30"/>
      <c r="V582" s="30"/>
      <c r="W582" s="30"/>
      <c r="X582" s="30"/>
      <c r="Y582" s="30"/>
      <c r="Z582" s="27" t="s">
        <v>3836</v>
      </c>
      <c r="AA582" s="9" t="s">
        <v>3887</v>
      </c>
      <c r="AB582" s="27" t="s">
        <v>113</v>
      </c>
      <c r="AC582" s="23" t="s">
        <v>968</v>
      </c>
    </row>
    <row r="583" customFormat="false" ht="19.5" hidden="false" customHeight="true" outlineLevel="0" collapsed="false">
      <c r="A583" s="25" t="s">
        <v>4414</v>
      </c>
      <c r="B583" s="25" t="s">
        <v>257</v>
      </c>
      <c r="C583" s="12" t="s">
        <v>258</v>
      </c>
      <c r="D583" s="12" t="s">
        <v>260</v>
      </c>
      <c r="E583" s="12" t="s">
        <v>219</v>
      </c>
      <c r="F583" s="25" t="s">
        <v>975</v>
      </c>
      <c r="G583" s="25" t="n">
        <v>2025</v>
      </c>
      <c r="H583" s="25" t="n">
        <v>2</v>
      </c>
      <c r="I583" s="25" t="s">
        <v>3879</v>
      </c>
      <c r="J583" s="18" t="n">
        <v>1</v>
      </c>
      <c r="K583" s="14" t="n">
        <v>2.87</v>
      </c>
      <c r="L583" s="29"/>
      <c r="M583" s="29"/>
      <c r="N583" s="29"/>
      <c r="O583" s="29"/>
      <c r="P583" s="29"/>
      <c r="Q583" s="25" t="n">
        <v>1</v>
      </c>
      <c r="R583" s="25" t="n">
        <v>1</v>
      </c>
      <c r="S583" s="25" t="n">
        <v>1</v>
      </c>
      <c r="T583" s="25" t="n">
        <v>1</v>
      </c>
      <c r="U583" s="29"/>
      <c r="V583" s="29"/>
      <c r="W583" s="29"/>
      <c r="X583" s="29"/>
      <c r="Y583" s="29"/>
      <c r="Z583" s="25" t="s">
        <v>3836</v>
      </c>
      <c r="AA583" s="12" t="s">
        <v>3887</v>
      </c>
      <c r="AB583" s="25" t="s">
        <v>86</v>
      </c>
      <c r="AC583" s="22" t="s">
        <v>197</v>
      </c>
    </row>
    <row r="584" customFormat="false" ht="19.5" hidden="false" customHeight="true" outlineLevel="0" collapsed="false">
      <c r="A584" s="27" t="s">
        <v>4415</v>
      </c>
      <c r="B584" s="27" t="s">
        <v>257</v>
      </c>
      <c r="C584" s="9" t="s">
        <v>258</v>
      </c>
      <c r="D584" s="9" t="s">
        <v>260</v>
      </c>
      <c r="E584" s="9" t="s">
        <v>219</v>
      </c>
      <c r="F584" s="27" t="s">
        <v>1009</v>
      </c>
      <c r="G584" s="27" t="n">
        <v>2025</v>
      </c>
      <c r="H584" s="27" t="n">
        <v>2</v>
      </c>
      <c r="I584" s="27" t="s">
        <v>3879</v>
      </c>
      <c r="J584" s="20" t="n">
        <v>1</v>
      </c>
      <c r="K584" s="11" t="n">
        <v>2.54</v>
      </c>
      <c r="L584" s="30"/>
      <c r="M584" s="30"/>
      <c r="N584" s="30"/>
      <c r="O584" s="30"/>
      <c r="P584" s="30"/>
      <c r="Q584" s="27" t="n">
        <v>1</v>
      </c>
      <c r="R584" s="27" t="n">
        <v>1</v>
      </c>
      <c r="S584" s="27" t="n">
        <v>1</v>
      </c>
      <c r="T584" s="27" t="n">
        <v>1</v>
      </c>
      <c r="U584" s="30"/>
      <c r="V584" s="30"/>
      <c r="W584" s="30"/>
      <c r="X584" s="30"/>
      <c r="Y584" s="30"/>
      <c r="Z584" s="27" t="s">
        <v>3836</v>
      </c>
      <c r="AA584" s="9" t="s">
        <v>3887</v>
      </c>
      <c r="AB584" s="27" t="s">
        <v>113</v>
      </c>
      <c r="AC584" s="23" t="s">
        <v>1010</v>
      </c>
    </row>
    <row r="585" customFormat="false" ht="19.5" hidden="false" customHeight="true" outlineLevel="0" collapsed="false">
      <c r="A585" s="25" t="s">
        <v>4416</v>
      </c>
      <c r="B585" s="25" t="s">
        <v>257</v>
      </c>
      <c r="C585" s="12" t="s">
        <v>258</v>
      </c>
      <c r="D585" s="12" t="s">
        <v>260</v>
      </c>
      <c r="E585" s="12" t="s">
        <v>219</v>
      </c>
      <c r="F585" s="25" t="s">
        <v>1031</v>
      </c>
      <c r="G585" s="25" t="n">
        <v>2025</v>
      </c>
      <c r="H585" s="25" t="n">
        <v>3</v>
      </c>
      <c r="I585" s="25" t="s">
        <v>3879</v>
      </c>
      <c r="J585" s="18" t="n">
        <v>1</v>
      </c>
      <c r="K585" s="14" t="n">
        <v>2</v>
      </c>
      <c r="L585" s="29"/>
      <c r="M585" s="14" t="n">
        <v>2.54</v>
      </c>
      <c r="N585" s="29"/>
      <c r="O585" s="32" t="n">
        <v>-0.54</v>
      </c>
      <c r="P585" s="29"/>
      <c r="Q585" s="25" t="n">
        <v>1</v>
      </c>
      <c r="R585" s="25" t="n">
        <v>1</v>
      </c>
      <c r="S585" s="25" t="n">
        <v>1</v>
      </c>
      <c r="T585" s="25" t="n">
        <v>0</v>
      </c>
      <c r="U585" s="29"/>
      <c r="V585" s="29"/>
      <c r="W585" s="29"/>
      <c r="X585" s="29"/>
      <c r="Y585" s="29"/>
      <c r="Z585" s="25" t="s">
        <v>2891</v>
      </c>
      <c r="AA585" s="12" t="s">
        <v>3887</v>
      </c>
      <c r="AB585" s="25" t="s">
        <v>113</v>
      </c>
      <c r="AC585" s="22" t="s">
        <v>1032</v>
      </c>
    </row>
    <row r="586" customFormat="false" ht="19.5" hidden="false" customHeight="true" outlineLevel="0" collapsed="false">
      <c r="A586" s="27" t="s">
        <v>4417</v>
      </c>
      <c r="B586" s="27" t="s">
        <v>257</v>
      </c>
      <c r="C586" s="9" t="s">
        <v>258</v>
      </c>
      <c r="D586" s="9" t="s">
        <v>260</v>
      </c>
      <c r="E586" s="9" t="s">
        <v>219</v>
      </c>
      <c r="F586" s="27" t="s">
        <v>1051</v>
      </c>
      <c r="G586" s="27" t="n">
        <v>2025</v>
      </c>
      <c r="H586" s="27" t="n">
        <v>3</v>
      </c>
      <c r="I586" s="27" t="s">
        <v>3879</v>
      </c>
      <c r="J586" s="20" t="n">
        <v>1</v>
      </c>
      <c r="K586" s="11" t="n">
        <v>1.78</v>
      </c>
      <c r="L586" s="30"/>
      <c r="M586" s="11" t="n">
        <v>2</v>
      </c>
      <c r="N586" s="30"/>
      <c r="O586" s="31" t="n">
        <v>-0.22</v>
      </c>
      <c r="P586" s="30"/>
      <c r="Q586" s="27" t="n">
        <v>1</v>
      </c>
      <c r="R586" s="27" t="n">
        <v>1</v>
      </c>
      <c r="S586" s="27" t="n">
        <v>1</v>
      </c>
      <c r="T586" s="27" t="n">
        <v>0</v>
      </c>
      <c r="U586" s="30"/>
      <c r="V586" s="30"/>
      <c r="W586" s="30"/>
      <c r="X586" s="11" t="n">
        <v>0.09</v>
      </c>
      <c r="Y586" s="10" t="n">
        <v>0</v>
      </c>
      <c r="Z586" s="27" t="s">
        <v>2891</v>
      </c>
      <c r="AA586" s="9" t="s">
        <v>3887</v>
      </c>
      <c r="AB586" s="27" t="s">
        <v>113</v>
      </c>
      <c r="AC586" s="23" t="s">
        <v>1052</v>
      </c>
    </row>
    <row r="587" customFormat="false" ht="19.5" hidden="false" customHeight="true" outlineLevel="0" collapsed="false">
      <c r="A587" s="25" t="s">
        <v>4418</v>
      </c>
      <c r="B587" s="25" t="s">
        <v>257</v>
      </c>
      <c r="C587" s="12" t="s">
        <v>258</v>
      </c>
      <c r="D587" s="12" t="s">
        <v>260</v>
      </c>
      <c r="E587" s="12" t="s">
        <v>219</v>
      </c>
      <c r="F587" s="25" t="s">
        <v>1070</v>
      </c>
      <c r="G587" s="25" t="n">
        <v>2025</v>
      </c>
      <c r="H587" s="25" t="n">
        <v>3</v>
      </c>
      <c r="I587" s="25" t="s">
        <v>3879</v>
      </c>
      <c r="J587" s="18" t="n">
        <v>1</v>
      </c>
      <c r="K587" s="14" t="n">
        <v>0.78</v>
      </c>
      <c r="L587" s="29"/>
      <c r="M587" s="14" t="n">
        <v>1.78</v>
      </c>
      <c r="N587" s="29"/>
      <c r="O587" s="32" t="n">
        <v>-1</v>
      </c>
      <c r="P587" s="29"/>
      <c r="Q587" s="25" t="n">
        <v>1</v>
      </c>
      <c r="R587" s="25" t="n">
        <v>1</v>
      </c>
      <c r="S587" s="25" t="n">
        <v>0</v>
      </c>
      <c r="T587" s="25" t="n">
        <v>0</v>
      </c>
      <c r="U587" s="29"/>
      <c r="V587" s="29"/>
      <c r="W587" s="29"/>
      <c r="X587" s="14" t="n">
        <v>-0.135</v>
      </c>
      <c r="Y587" s="13" t="n">
        <v>0</v>
      </c>
      <c r="Z587" s="25" t="s">
        <v>2913</v>
      </c>
      <c r="AA587" s="12" t="s">
        <v>3887</v>
      </c>
      <c r="AB587" s="25" t="s">
        <v>113</v>
      </c>
      <c r="AC587" s="22" t="s">
        <v>1071</v>
      </c>
    </row>
    <row r="588" customFormat="false" ht="19.5" hidden="false" customHeight="true" outlineLevel="0" collapsed="false">
      <c r="A588" s="27" t="s">
        <v>4419</v>
      </c>
      <c r="B588" s="27" t="s">
        <v>257</v>
      </c>
      <c r="C588" s="9" t="s">
        <v>258</v>
      </c>
      <c r="D588" s="9" t="s">
        <v>260</v>
      </c>
      <c r="E588" s="9" t="s">
        <v>219</v>
      </c>
      <c r="F588" s="27" t="s">
        <v>1078</v>
      </c>
      <c r="G588" s="27" t="n">
        <v>2025</v>
      </c>
      <c r="H588" s="27" t="n">
        <v>4</v>
      </c>
      <c r="I588" s="27" t="s">
        <v>3879</v>
      </c>
      <c r="J588" s="20" t="n">
        <v>1</v>
      </c>
      <c r="K588" s="11" t="n">
        <v>3.1</v>
      </c>
      <c r="L588" s="30"/>
      <c r="M588" s="11" t="n">
        <v>0.78</v>
      </c>
      <c r="N588" s="30"/>
      <c r="O588" s="31" t="n">
        <v>2.32</v>
      </c>
      <c r="P588" s="30"/>
      <c r="Q588" s="27" t="n">
        <v>1</v>
      </c>
      <c r="R588" s="27" t="n">
        <v>1</v>
      </c>
      <c r="S588" s="27" t="n">
        <v>1</v>
      </c>
      <c r="T588" s="27" t="n">
        <v>1</v>
      </c>
      <c r="U588" s="30"/>
      <c r="V588" s="30"/>
      <c r="W588" s="30"/>
      <c r="X588" s="11" t="n">
        <v>-0.11</v>
      </c>
      <c r="Y588" s="10" t="n">
        <v>0</v>
      </c>
      <c r="Z588" s="27" t="s">
        <v>2931</v>
      </c>
      <c r="AA588" s="9" t="s">
        <v>3887</v>
      </c>
      <c r="AB588" s="27" t="s">
        <v>113</v>
      </c>
      <c r="AC588" s="23" t="s">
        <v>1079</v>
      </c>
    </row>
    <row r="589" customFormat="false" ht="19.5" hidden="false" customHeight="true" outlineLevel="0" collapsed="false">
      <c r="A589" s="25" t="s">
        <v>4420</v>
      </c>
      <c r="B589" s="25" t="s">
        <v>257</v>
      </c>
      <c r="C589" s="12" t="s">
        <v>258</v>
      </c>
      <c r="D589" s="12" t="s">
        <v>260</v>
      </c>
      <c r="E589" s="12" t="s">
        <v>219</v>
      </c>
      <c r="F589" s="25" t="s">
        <v>1102</v>
      </c>
      <c r="G589" s="25" t="n">
        <v>2025</v>
      </c>
      <c r="H589" s="25" t="n">
        <v>5</v>
      </c>
      <c r="I589" s="25" t="s">
        <v>3879</v>
      </c>
      <c r="J589" s="18" t="n">
        <v>1</v>
      </c>
      <c r="K589" s="14" t="n">
        <v>0.76</v>
      </c>
      <c r="L589" s="29"/>
      <c r="M589" s="29"/>
      <c r="N589" s="29"/>
      <c r="O589" s="29"/>
      <c r="P589" s="14" t="n">
        <v>0.91</v>
      </c>
      <c r="Q589" s="25" t="n">
        <v>1</v>
      </c>
      <c r="R589" s="25" t="n">
        <v>1</v>
      </c>
      <c r="S589" s="25" t="n">
        <v>0</v>
      </c>
      <c r="T589" s="25" t="n">
        <v>0</v>
      </c>
      <c r="U589" s="29"/>
      <c r="V589" s="29"/>
      <c r="W589" s="29"/>
      <c r="X589" s="29"/>
      <c r="Y589" s="29"/>
      <c r="Z589" s="25" t="s">
        <v>3836</v>
      </c>
      <c r="AA589" s="12" t="s">
        <v>3887</v>
      </c>
      <c r="AB589" s="25" t="s">
        <v>86</v>
      </c>
      <c r="AC589" s="22" t="s">
        <v>664</v>
      </c>
    </row>
    <row r="590" customFormat="false" ht="19.5" hidden="false" customHeight="true" outlineLevel="0" collapsed="false">
      <c r="A590" s="27" t="s">
        <v>4421</v>
      </c>
      <c r="B590" s="27" t="s">
        <v>257</v>
      </c>
      <c r="C590" s="9" t="s">
        <v>258</v>
      </c>
      <c r="D590" s="9" t="s">
        <v>260</v>
      </c>
      <c r="E590" s="9" t="s">
        <v>219</v>
      </c>
      <c r="F590" s="27" t="s">
        <v>1117</v>
      </c>
      <c r="G590" s="27" t="n">
        <v>2025</v>
      </c>
      <c r="H590" s="27" t="n">
        <v>5</v>
      </c>
      <c r="I590" s="27" t="s">
        <v>3879</v>
      </c>
      <c r="J590" s="20" t="n">
        <v>1</v>
      </c>
      <c r="K590" s="11" t="n">
        <v>0.91</v>
      </c>
      <c r="L590" s="30"/>
      <c r="M590" s="11" t="n">
        <v>0.76</v>
      </c>
      <c r="N590" s="30"/>
      <c r="O590" s="31" t="n">
        <v>0.15</v>
      </c>
      <c r="P590" s="11" t="n">
        <v>0.89</v>
      </c>
      <c r="Q590" s="27" t="n">
        <v>1</v>
      </c>
      <c r="R590" s="27" t="n">
        <v>1</v>
      </c>
      <c r="S590" s="27" t="n">
        <v>0</v>
      </c>
      <c r="T590" s="27" t="n">
        <v>0</v>
      </c>
      <c r="U590" s="30"/>
      <c r="V590" s="30"/>
      <c r="W590" s="30"/>
      <c r="X590" s="30"/>
      <c r="Y590" s="30"/>
      <c r="Z590" s="27" t="s">
        <v>3836</v>
      </c>
      <c r="AA590" s="9" t="s">
        <v>3887</v>
      </c>
      <c r="AB590" s="27" t="s">
        <v>86</v>
      </c>
      <c r="AC590" s="23" t="s">
        <v>681</v>
      </c>
    </row>
    <row r="591" customFormat="false" ht="19.5" hidden="false" customHeight="true" outlineLevel="0" collapsed="false">
      <c r="A591" s="25" t="s">
        <v>4422</v>
      </c>
      <c r="B591" s="25" t="s">
        <v>257</v>
      </c>
      <c r="C591" s="12" t="s">
        <v>258</v>
      </c>
      <c r="D591" s="12" t="s">
        <v>260</v>
      </c>
      <c r="E591" s="12" t="s">
        <v>219</v>
      </c>
      <c r="F591" s="25" t="s">
        <v>1132</v>
      </c>
      <c r="G591" s="25" t="n">
        <v>2025</v>
      </c>
      <c r="H591" s="25" t="n">
        <v>5</v>
      </c>
      <c r="I591" s="25" t="s">
        <v>3879</v>
      </c>
      <c r="J591" s="18" t="n">
        <v>1</v>
      </c>
      <c r="K591" s="14" t="n">
        <v>0.89</v>
      </c>
      <c r="L591" s="29"/>
      <c r="M591" s="14" t="n">
        <v>0.91</v>
      </c>
      <c r="N591" s="14" t="n">
        <v>0.76</v>
      </c>
      <c r="O591" s="32" t="n">
        <v>-0.02</v>
      </c>
      <c r="P591" s="14" t="n">
        <v>1.1</v>
      </c>
      <c r="Q591" s="25" t="n">
        <v>1</v>
      </c>
      <c r="R591" s="25" t="n">
        <v>1</v>
      </c>
      <c r="S591" s="25" t="n">
        <v>0</v>
      </c>
      <c r="T591" s="25" t="n">
        <v>0</v>
      </c>
      <c r="U591" s="29"/>
      <c r="V591" s="29"/>
      <c r="W591" s="29"/>
      <c r="X591" s="29"/>
      <c r="Y591" s="29"/>
      <c r="Z591" s="25" t="s">
        <v>3836</v>
      </c>
      <c r="AA591" s="12" t="s">
        <v>3887</v>
      </c>
      <c r="AB591" s="25" t="s">
        <v>86</v>
      </c>
      <c r="AC591" s="22" t="s">
        <v>697</v>
      </c>
    </row>
    <row r="592" customFormat="false" ht="19.5" hidden="false" customHeight="true" outlineLevel="0" collapsed="false">
      <c r="A592" s="27" t="s">
        <v>4423</v>
      </c>
      <c r="B592" s="27" t="s">
        <v>257</v>
      </c>
      <c r="C592" s="9" t="s">
        <v>258</v>
      </c>
      <c r="D592" s="9" t="s">
        <v>260</v>
      </c>
      <c r="E592" s="9" t="s">
        <v>219</v>
      </c>
      <c r="F592" s="27" t="s">
        <v>1147</v>
      </c>
      <c r="G592" s="27" t="n">
        <v>2025</v>
      </c>
      <c r="H592" s="27" t="n">
        <v>5</v>
      </c>
      <c r="I592" s="27" t="s">
        <v>3879</v>
      </c>
      <c r="J592" s="20" t="n">
        <v>1</v>
      </c>
      <c r="K592" s="11" t="n">
        <v>1.1</v>
      </c>
      <c r="L592" s="30"/>
      <c r="M592" s="11" t="n">
        <v>0.89</v>
      </c>
      <c r="N592" s="11" t="n">
        <v>0.91</v>
      </c>
      <c r="O592" s="31" t="n">
        <v>0.21</v>
      </c>
      <c r="P592" s="11" t="n">
        <v>1.1</v>
      </c>
      <c r="Q592" s="27" t="n">
        <v>1</v>
      </c>
      <c r="R592" s="27" t="n">
        <v>1</v>
      </c>
      <c r="S592" s="27" t="n">
        <v>1</v>
      </c>
      <c r="T592" s="27" t="n">
        <v>0</v>
      </c>
      <c r="U592" s="30"/>
      <c r="V592" s="30"/>
      <c r="W592" s="30"/>
      <c r="X592" s="30"/>
      <c r="Y592" s="30"/>
      <c r="Z592" s="27" t="s">
        <v>3836</v>
      </c>
      <c r="AA592" s="9" t="s">
        <v>3887</v>
      </c>
      <c r="AB592" s="27" t="s">
        <v>86</v>
      </c>
      <c r="AC592" s="23" t="s">
        <v>713</v>
      </c>
    </row>
    <row r="593" customFormat="false" ht="19.5" hidden="false" customHeight="true" outlineLevel="0" collapsed="false">
      <c r="A593" s="25" t="s">
        <v>4424</v>
      </c>
      <c r="B593" s="25" t="s">
        <v>257</v>
      </c>
      <c r="C593" s="12" t="s">
        <v>258</v>
      </c>
      <c r="D593" s="12" t="s">
        <v>260</v>
      </c>
      <c r="E593" s="12" t="s">
        <v>219</v>
      </c>
      <c r="F593" s="25" t="s">
        <v>1162</v>
      </c>
      <c r="G593" s="25" t="n">
        <v>2025</v>
      </c>
      <c r="H593" s="25" t="n">
        <v>5</v>
      </c>
      <c r="I593" s="25" t="s">
        <v>3879</v>
      </c>
      <c r="J593" s="18" t="n">
        <v>1</v>
      </c>
      <c r="K593" s="14" t="n">
        <v>1.1</v>
      </c>
      <c r="L593" s="29"/>
      <c r="M593" s="14" t="n">
        <v>1.1</v>
      </c>
      <c r="N593" s="14" t="n">
        <v>0.89</v>
      </c>
      <c r="O593" s="32" t="n">
        <v>0</v>
      </c>
      <c r="P593" s="29"/>
      <c r="Q593" s="25" t="n">
        <v>1</v>
      </c>
      <c r="R593" s="25" t="n">
        <v>1</v>
      </c>
      <c r="S593" s="25" t="n">
        <v>1</v>
      </c>
      <c r="T593" s="25" t="n">
        <v>0</v>
      </c>
      <c r="U593" s="29"/>
      <c r="V593" s="29"/>
      <c r="W593" s="29"/>
      <c r="X593" s="29"/>
      <c r="Y593" s="29"/>
      <c r="Z593" s="25" t="s">
        <v>3836</v>
      </c>
      <c r="AA593" s="12" t="s">
        <v>3887</v>
      </c>
      <c r="AB593" s="25" t="s">
        <v>86</v>
      </c>
      <c r="AC593" s="22" t="s">
        <v>729</v>
      </c>
    </row>
    <row r="594" customFormat="false" ht="19.5" hidden="false" customHeight="true" outlineLevel="0" collapsed="false">
      <c r="A594" s="27" t="s">
        <v>4425</v>
      </c>
      <c r="B594" s="27" t="s">
        <v>257</v>
      </c>
      <c r="C594" s="9" t="s">
        <v>258</v>
      </c>
      <c r="D594" s="9" t="s">
        <v>260</v>
      </c>
      <c r="E594" s="9" t="s">
        <v>219</v>
      </c>
      <c r="F594" s="27" t="s">
        <v>1177</v>
      </c>
      <c r="G594" s="27" t="n">
        <v>2026</v>
      </c>
      <c r="H594" s="27" t="n">
        <v>2</v>
      </c>
      <c r="I594" s="27" t="s">
        <v>3879</v>
      </c>
      <c r="J594" s="20" t="n">
        <v>1</v>
      </c>
      <c r="K594" s="11" t="n">
        <v>2.54</v>
      </c>
      <c r="L594" s="30"/>
      <c r="M594" s="30"/>
      <c r="N594" s="30"/>
      <c r="O594" s="30"/>
      <c r="P594" s="11" t="n">
        <v>1.51</v>
      </c>
      <c r="Q594" s="27" t="n">
        <v>1</v>
      </c>
      <c r="R594" s="27" t="n">
        <v>1</v>
      </c>
      <c r="S594" s="27" t="n">
        <v>1</v>
      </c>
      <c r="T594" s="27" t="n">
        <v>1</v>
      </c>
      <c r="U594" s="30"/>
      <c r="V594" s="30"/>
      <c r="W594" s="30"/>
      <c r="X594" s="11" t="n">
        <v>0.51</v>
      </c>
      <c r="Y594" s="10" t="n">
        <v>0</v>
      </c>
      <c r="Z594" s="27" t="s">
        <v>3836</v>
      </c>
      <c r="AA594" s="9" t="s">
        <v>3894</v>
      </c>
      <c r="AB594" s="27" t="s">
        <v>86</v>
      </c>
      <c r="AC594" s="23" t="s">
        <v>197</v>
      </c>
    </row>
    <row r="595" customFormat="false" ht="19.5" hidden="false" customHeight="true" outlineLevel="0" collapsed="false">
      <c r="A595" s="25" t="s">
        <v>4426</v>
      </c>
      <c r="B595" s="25" t="s">
        <v>257</v>
      </c>
      <c r="C595" s="12" t="s">
        <v>258</v>
      </c>
      <c r="D595" s="12" t="s">
        <v>260</v>
      </c>
      <c r="E595" s="12" t="s">
        <v>219</v>
      </c>
      <c r="F595" s="25" t="s">
        <v>1194</v>
      </c>
      <c r="G595" s="25" t="n">
        <v>2026</v>
      </c>
      <c r="H595" s="25" t="n">
        <v>2</v>
      </c>
      <c r="I595" s="25" t="s">
        <v>3879</v>
      </c>
      <c r="J595" s="18" t="n">
        <v>1</v>
      </c>
      <c r="K595" s="14" t="n">
        <v>1.51</v>
      </c>
      <c r="L595" s="29"/>
      <c r="M595" s="14" t="n">
        <v>2.54</v>
      </c>
      <c r="N595" s="29"/>
      <c r="O595" s="32" t="n">
        <v>-1.03</v>
      </c>
      <c r="P595" s="29"/>
      <c r="Q595" s="25" t="n">
        <v>1</v>
      </c>
      <c r="R595" s="25" t="n">
        <v>1</v>
      </c>
      <c r="S595" s="25" t="n">
        <v>1</v>
      </c>
      <c r="T595" s="25" t="n">
        <v>0</v>
      </c>
      <c r="U595" s="14" t="n">
        <v>1.55</v>
      </c>
      <c r="V595" s="29"/>
      <c r="W595" s="29"/>
      <c r="X595" s="14" t="n">
        <v>0.485</v>
      </c>
      <c r="Y595" s="13" t="n">
        <v>0</v>
      </c>
      <c r="Z595" s="25" t="s">
        <v>2931</v>
      </c>
      <c r="AA595" s="12" t="s">
        <v>3894</v>
      </c>
      <c r="AB595" s="25" t="s">
        <v>86</v>
      </c>
      <c r="AC595" s="22" t="s">
        <v>197</v>
      </c>
    </row>
    <row r="596" customFormat="false" ht="19.5" hidden="false" customHeight="true" outlineLevel="0" collapsed="false">
      <c r="A596" s="27" t="s">
        <v>4427</v>
      </c>
      <c r="B596" s="27" t="s">
        <v>257</v>
      </c>
      <c r="C596" s="9" t="s">
        <v>258</v>
      </c>
      <c r="D596" s="9" t="s">
        <v>260</v>
      </c>
      <c r="E596" s="9" t="s">
        <v>219</v>
      </c>
      <c r="F596" s="27" t="s">
        <v>1222</v>
      </c>
      <c r="G596" s="27" t="n">
        <v>2026</v>
      </c>
      <c r="H596" s="27" t="n">
        <v>4</v>
      </c>
      <c r="I596" s="27" t="s">
        <v>3879</v>
      </c>
      <c r="J596" s="20" t="n">
        <v>1</v>
      </c>
      <c r="K596" s="11" t="n">
        <v>2</v>
      </c>
      <c r="L596" s="30"/>
      <c r="M596" s="30"/>
      <c r="N596" s="30"/>
      <c r="O596" s="30"/>
      <c r="P596" s="30"/>
      <c r="Q596" s="27" t="n">
        <v>1</v>
      </c>
      <c r="R596" s="27" t="n">
        <v>1</v>
      </c>
      <c r="S596" s="27" t="n">
        <v>1</v>
      </c>
      <c r="T596" s="27" t="n">
        <v>0</v>
      </c>
      <c r="U596" s="30"/>
      <c r="V596" s="30"/>
      <c r="W596" s="30"/>
      <c r="X596" s="30"/>
      <c r="Y596" s="30"/>
      <c r="Z596" s="27" t="s">
        <v>3836</v>
      </c>
      <c r="AA596" s="9" t="s">
        <v>3894</v>
      </c>
      <c r="AB596" s="27" t="s">
        <v>113</v>
      </c>
      <c r="AC596" s="23" t="s">
        <v>120</v>
      </c>
    </row>
    <row r="597" customFormat="false" ht="19.5" hidden="false" customHeight="true" outlineLevel="0" collapsed="false">
      <c r="A597" s="25" t="s">
        <v>4428</v>
      </c>
      <c r="B597" s="25" t="s">
        <v>257</v>
      </c>
      <c r="C597" s="12" t="s">
        <v>258</v>
      </c>
      <c r="D597" s="12" t="s">
        <v>260</v>
      </c>
      <c r="E597" s="12" t="s">
        <v>219</v>
      </c>
      <c r="F597" s="25" t="s">
        <v>1231</v>
      </c>
      <c r="G597" s="25" t="n">
        <v>2026</v>
      </c>
      <c r="H597" s="25" t="n">
        <v>5</v>
      </c>
      <c r="I597" s="25" t="s">
        <v>3879</v>
      </c>
      <c r="J597" s="18" t="n">
        <v>1</v>
      </c>
      <c r="K597" s="14" t="n">
        <v>0.68</v>
      </c>
      <c r="L597" s="29"/>
      <c r="M597" s="29"/>
      <c r="N597" s="29"/>
      <c r="O597" s="29"/>
      <c r="P597" s="14" t="n">
        <v>0.86</v>
      </c>
      <c r="Q597" s="25" t="n">
        <v>1</v>
      </c>
      <c r="R597" s="25" t="n">
        <v>0</v>
      </c>
      <c r="S597" s="25" t="n">
        <v>0</v>
      </c>
      <c r="T597" s="25" t="n">
        <v>0</v>
      </c>
      <c r="U597" s="29"/>
      <c r="V597" s="29"/>
      <c r="W597" s="29"/>
      <c r="X597" s="14" t="n">
        <v>0.12</v>
      </c>
      <c r="Y597" s="13" t="n">
        <v>0</v>
      </c>
      <c r="Z597" s="25" t="s">
        <v>2939</v>
      </c>
      <c r="AA597" s="12" t="s">
        <v>3894</v>
      </c>
      <c r="AB597" s="25" t="s">
        <v>86</v>
      </c>
      <c r="AC597" s="22" t="s">
        <v>664</v>
      </c>
    </row>
    <row r="598" customFormat="false" ht="19.5" hidden="false" customHeight="true" outlineLevel="0" collapsed="false">
      <c r="A598" s="27" t="s">
        <v>4429</v>
      </c>
      <c r="B598" s="27" t="s">
        <v>257</v>
      </c>
      <c r="C598" s="9" t="s">
        <v>258</v>
      </c>
      <c r="D598" s="9" t="s">
        <v>260</v>
      </c>
      <c r="E598" s="9" t="s">
        <v>219</v>
      </c>
      <c r="F598" s="27" t="s">
        <v>1246</v>
      </c>
      <c r="G598" s="27" t="n">
        <v>2026</v>
      </c>
      <c r="H598" s="27" t="n">
        <v>5</v>
      </c>
      <c r="I598" s="27" t="s">
        <v>3879</v>
      </c>
      <c r="J598" s="20" t="n">
        <v>1</v>
      </c>
      <c r="K598" s="11" t="n">
        <v>0.86</v>
      </c>
      <c r="L598" s="30"/>
      <c r="M598" s="11" t="n">
        <v>0.68</v>
      </c>
      <c r="N598" s="30"/>
      <c r="O598" s="31" t="n">
        <v>0.18</v>
      </c>
      <c r="P598" s="11" t="n">
        <v>0.43</v>
      </c>
      <c r="Q598" s="27" t="n">
        <v>1</v>
      </c>
      <c r="R598" s="27" t="n">
        <v>1</v>
      </c>
      <c r="S598" s="27" t="n">
        <v>0</v>
      </c>
      <c r="T598" s="27" t="n">
        <v>0</v>
      </c>
      <c r="U598" s="30"/>
      <c r="V598" s="30"/>
      <c r="W598" s="30"/>
      <c r="X598" s="11" t="n">
        <v>0.13</v>
      </c>
      <c r="Y598" s="10" t="n">
        <v>0</v>
      </c>
      <c r="Z598" s="27" t="s">
        <v>2939</v>
      </c>
      <c r="AA598" s="9" t="s">
        <v>3894</v>
      </c>
      <c r="AB598" s="27" t="s">
        <v>86</v>
      </c>
      <c r="AC598" s="23" t="s">
        <v>664</v>
      </c>
    </row>
    <row r="599" customFormat="false" ht="19.5" hidden="false" customHeight="true" outlineLevel="0" collapsed="false">
      <c r="A599" s="25" t="s">
        <v>4430</v>
      </c>
      <c r="B599" s="25" t="s">
        <v>257</v>
      </c>
      <c r="C599" s="12" t="s">
        <v>258</v>
      </c>
      <c r="D599" s="12" t="s">
        <v>260</v>
      </c>
      <c r="E599" s="12" t="s">
        <v>219</v>
      </c>
      <c r="F599" s="25" t="s">
        <v>1261</v>
      </c>
      <c r="G599" s="25" t="n">
        <v>2026</v>
      </c>
      <c r="H599" s="25" t="n">
        <v>5</v>
      </c>
      <c r="I599" s="25" t="s">
        <v>3879</v>
      </c>
      <c r="J599" s="18" t="n">
        <v>1</v>
      </c>
      <c r="K599" s="14" t="n">
        <v>0.43</v>
      </c>
      <c r="L599" s="29"/>
      <c r="M599" s="14" t="n">
        <v>0.86</v>
      </c>
      <c r="N599" s="14" t="n">
        <v>0.68</v>
      </c>
      <c r="O599" s="32" t="n">
        <v>-0.43</v>
      </c>
      <c r="P599" s="14" t="n">
        <v>0.4</v>
      </c>
      <c r="Q599" s="25" t="n">
        <v>0</v>
      </c>
      <c r="R599" s="25" t="n">
        <v>0</v>
      </c>
      <c r="S599" s="25" t="n">
        <v>0</v>
      </c>
      <c r="T599" s="25" t="n">
        <v>0</v>
      </c>
      <c r="U599" s="29"/>
      <c r="V599" s="29"/>
      <c r="W599" s="29"/>
      <c r="X599" s="14" t="n">
        <v>0.145</v>
      </c>
      <c r="Y599" s="13" t="n">
        <v>0</v>
      </c>
      <c r="Z599" s="25" t="s">
        <v>2939</v>
      </c>
      <c r="AA599" s="12" t="s">
        <v>3894</v>
      </c>
      <c r="AB599" s="25" t="s">
        <v>86</v>
      </c>
      <c r="AC599" s="22" t="s">
        <v>681</v>
      </c>
    </row>
    <row r="600" customFormat="false" ht="19.5" hidden="false" customHeight="true" outlineLevel="0" collapsed="false">
      <c r="A600" s="27" t="s">
        <v>4431</v>
      </c>
      <c r="B600" s="27" t="s">
        <v>257</v>
      </c>
      <c r="C600" s="9" t="s">
        <v>258</v>
      </c>
      <c r="D600" s="9" t="s">
        <v>260</v>
      </c>
      <c r="E600" s="9" t="s">
        <v>219</v>
      </c>
      <c r="F600" s="27" t="s">
        <v>1276</v>
      </c>
      <c r="G600" s="27" t="n">
        <v>2026</v>
      </c>
      <c r="H600" s="27" t="n">
        <v>5</v>
      </c>
      <c r="I600" s="27" t="s">
        <v>3879</v>
      </c>
      <c r="J600" s="20" t="n">
        <v>1</v>
      </c>
      <c r="K600" s="11" t="n">
        <v>0.4</v>
      </c>
      <c r="L600" s="30"/>
      <c r="M600" s="11" t="n">
        <v>0.43</v>
      </c>
      <c r="N600" s="11" t="n">
        <v>0.86</v>
      </c>
      <c r="O600" s="31" t="n">
        <v>-0.03</v>
      </c>
      <c r="P600" s="11" t="n">
        <v>0.88</v>
      </c>
      <c r="Q600" s="27" t="n">
        <v>0</v>
      </c>
      <c r="R600" s="27" t="n">
        <v>0</v>
      </c>
      <c r="S600" s="27" t="n">
        <v>0</v>
      </c>
      <c r="T600" s="27" t="n">
        <v>0</v>
      </c>
      <c r="U600" s="30"/>
      <c r="V600" s="30"/>
      <c r="W600" s="30"/>
      <c r="X600" s="11" t="n">
        <v>0.16</v>
      </c>
      <c r="Y600" s="10" t="n">
        <v>0</v>
      </c>
      <c r="Z600" s="27" t="s">
        <v>2939</v>
      </c>
      <c r="AA600" s="9" t="s">
        <v>3894</v>
      </c>
      <c r="AB600" s="27" t="s">
        <v>86</v>
      </c>
      <c r="AC600" s="23" t="s">
        <v>697</v>
      </c>
    </row>
    <row r="601" customFormat="false" ht="19.5" hidden="false" customHeight="true" outlineLevel="0" collapsed="false">
      <c r="A601" s="25" t="s">
        <v>4432</v>
      </c>
      <c r="B601" s="25" t="s">
        <v>257</v>
      </c>
      <c r="C601" s="12" t="s">
        <v>258</v>
      </c>
      <c r="D601" s="12" t="s">
        <v>260</v>
      </c>
      <c r="E601" s="12" t="s">
        <v>219</v>
      </c>
      <c r="F601" s="25" t="s">
        <v>1291</v>
      </c>
      <c r="G601" s="25" t="n">
        <v>2026</v>
      </c>
      <c r="H601" s="25" t="n">
        <v>5</v>
      </c>
      <c r="I601" s="25" t="s">
        <v>3879</v>
      </c>
      <c r="J601" s="18" t="n">
        <v>1</v>
      </c>
      <c r="K601" s="14" t="n">
        <v>0.88</v>
      </c>
      <c r="L601" s="29"/>
      <c r="M601" s="14" t="n">
        <v>0.4</v>
      </c>
      <c r="N601" s="14" t="n">
        <v>0.43</v>
      </c>
      <c r="O601" s="32" t="n">
        <v>0.48</v>
      </c>
      <c r="P601" s="14" t="n">
        <v>0.86</v>
      </c>
      <c r="Q601" s="25" t="n">
        <v>1</v>
      </c>
      <c r="R601" s="25" t="n">
        <v>1</v>
      </c>
      <c r="S601" s="25" t="n">
        <v>0</v>
      </c>
      <c r="T601" s="25" t="n">
        <v>0</v>
      </c>
      <c r="U601" s="29"/>
      <c r="V601" s="29"/>
      <c r="W601" s="29"/>
      <c r="X601" s="14" t="n">
        <v>0.18</v>
      </c>
      <c r="Y601" s="13" t="n">
        <v>0</v>
      </c>
      <c r="Z601" s="25" t="s">
        <v>2939</v>
      </c>
      <c r="AA601" s="12" t="s">
        <v>3894</v>
      </c>
      <c r="AB601" s="25" t="s">
        <v>86</v>
      </c>
      <c r="AC601" s="22" t="s">
        <v>713</v>
      </c>
    </row>
    <row r="602" customFormat="false" ht="19.5" hidden="false" customHeight="true" outlineLevel="0" collapsed="false">
      <c r="A602" s="27" t="s">
        <v>4433</v>
      </c>
      <c r="B602" s="27" t="s">
        <v>257</v>
      </c>
      <c r="C602" s="9" t="s">
        <v>258</v>
      </c>
      <c r="D602" s="9" t="s">
        <v>260</v>
      </c>
      <c r="E602" s="9" t="s">
        <v>219</v>
      </c>
      <c r="F602" s="27" t="s">
        <v>1306</v>
      </c>
      <c r="G602" s="27" t="n">
        <v>2026</v>
      </c>
      <c r="H602" s="27" t="n">
        <v>5</v>
      </c>
      <c r="I602" s="27" t="s">
        <v>3879</v>
      </c>
      <c r="J602" s="20" t="n">
        <v>1</v>
      </c>
      <c r="K602" s="11" t="n">
        <v>0.86</v>
      </c>
      <c r="L602" s="30"/>
      <c r="M602" s="11" t="n">
        <v>0.88</v>
      </c>
      <c r="N602" s="11" t="n">
        <v>0.4</v>
      </c>
      <c r="O602" s="31" t="n">
        <v>-0.02</v>
      </c>
      <c r="P602" s="30"/>
      <c r="Q602" s="27" t="n">
        <v>1</v>
      </c>
      <c r="R602" s="27" t="n">
        <v>1</v>
      </c>
      <c r="S602" s="27" t="n">
        <v>0</v>
      </c>
      <c r="T602" s="27" t="n">
        <v>0</v>
      </c>
      <c r="U602" s="30"/>
      <c r="V602" s="30"/>
      <c r="W602" s="30"/>
      <c r="X602" s="11" t="n">
        <v>0.205</v>
      </c>
      <c r="Y602" s="10" t="n">
        <v>0</v>
      </c>
      <c r="Z602" s="27" t="s">
        <v>2939</v>
      </c>
      <c r="AA602" s="9" t="s">
        <v>3894</v>
      </c>
      <c r="AB602" s="27" t="s">
        <v>86</v>
      </c>
      <c r="AC602" s="23" t="s">
        <v>729</v>
      </c>
    </row>
    <row r="603" customFormat="false" ht="19.5" hidden="false" customHeight="true" outlineLevel="0" collapsed="false">
      <c r="A603" s="25" t="s">
        <v>4434</v>
      </c>
      <c r="B603" s="25" t="s">
        <v>257</v>
      </c>
      <c r="C603" s="12" t="s">
        <v>258</v>
      </c>
      <c r="D603" s="12" t="s">
        <v>260</v>
      </c>
      <c r="E603" s="12" t="s">
        <v>219</v>
      </c>
      <c r="F603" s="25" t="s">
        <v>1374</v>
      </c>
      <c r="G603" s="25" t="n">
        <v>2026</v>
      </c>
      <c r="H603" s="25" t="n">
        <v>9</v>
      </c>
      <c r="I603" s="25" t="s">
        <v>3827</v>
      </c>
      <c r="J603" s="18" t="n">
        <v>1</v>
      </c>
      <c r="K603" s="14" t="n">
        <v>0</v>
      </c>
      <c r="L603" s="14" t="n">
        <v>0</v>
      </c>
      <c r="M603" s="29"/>
      <c r="N603" s="29"/>
      <c r="O603" s="29"/>
      <c r="P603" s="14" t="n">
        <v>0</v>
      </c>
      <c r="Q603" s="25" t="n">
        <v>0</v>
      </c>
      <c r="R603" s="25" t="n">
        <v>0</v>
      </c>
      <c r="S603" s="25" t="n">
        <v>0</v>
      </c>
      <c r="T603" s="25" t="n">
        <v>0</v>
      </c>
      <c r="U603" s="14" t="n">
        <v>0.96</v>
      </c>
      <c r="V603" s="14" t="n">
        <v>-1.01</v>
      </c>
      <c r="W603" s="14" t="n">
        <v>1.97</v>
      </c>
      <c r="X603" s="14" t="n">
        <v>0.67</v>
      </c>
      <c r="Y603" s="13" t="n">
        <v>15.2</v>
      </c>
      <c r="Z603" s="25" t="s">
        <v>2961</v>
      </c>
      <c r="AA603" s="12" t="s">
        <v>3828</v>
      </c>
      <c r="AB603" s="25" t="s">
        <v>86</v>
      </c>
      <c r="AC603" s="22" t="s">
        <v>1326</v>
      </c>
    </row>
    <row r="604" customFormat="false" ht="19.5" hidden="false" customHeight="true" outlineLevel="0" collapsed="false">
      <c r="A604" s="27" t="s">
        <v>4435</v>
      </c>
      <c r="B604" s="27" t="s">
        <v>257</v>
      </c>
      <c r="C604" s="9" t="s">
        <v>258</v>
      </c>
      <c r="D604" s="9" t="s">
        <v>260</v>
      </c>
      <c r="E604" s="9" t="s">
        <v>219</v>
      </c>
      <c r="F604" s="27" t="s">
        <v>1400</v>
      </c>
      <c r="G604" s="27" t="n">
        <v>2026</v>
      </c>
      <c r="H604" s="27" t="n">
        <v>9</v>
      </c>
      <c r="I604" s="27" t="s">
        <v>3827</v>
      </c>
      <c r="J604" s="20" t="n">
        <v>1</v>
      </c>
      <c r="K604" s="11" t="n">
        <v>0</v>
      </c>
      <c r="L604" s="11" t="n">
        <v>0</v>
      </c>
      <c r="M604" s="11" t="n">
        <v>0</v>
      </c>
      <c r="N604" s="30"/>
      <c r="O604" s="31" t="n">
        <v>0</v>
      </c>
      <c r="P604" s="11" t="n">
        <v>0</v>
      </c>
      <c r="Q604" s="27" t="n">
        <v>0</v>
      </c>
      <c r="R604" s="27" t="n">
        <v>0</v>
      </c>
      <c r="S604" s="27" t="n">
        <v>0</v>
      </c>
      <c r="T604" s="27" t="n">
        <v>0</v>
      </c>
      <c r="U604" s="11" t="n">
        <v>0.3</v>
      </c>
      <c r="V604" s="11" t="n">
        <v>-0.98</v>
      </c>
      <c r="W604" s="11" t="n">
        <v>1.28</v>
      </c>
      <c r="X604" s="11" t="n">
        <v>0.64</v>
      </c>
      <c r="Y604" s="10" t="n">
        <v>0</v>
      </c>
      <c r="Z604" s="27" t="s">
        <v>2961</v>
      </c>
      <c r="AA604" s="9" t="s">
        <v>3828</v>
      </c>
      <c r="AB604" s="27" t="s">
        <v>86</v>
      </c>
      <c r="AC604" s="23" t="s">
        <v>1383</v>
      </c>
    </row>
    <row r="605" customFormat="false" ht="19.5" hidden="false" customHeight="true" outlineLevel="0" collapsed="false">
      <c r="A605" s="25" t="s">
        <v>4436</v>
      </c>
      <c r="B605" s="25" t="s">
        <v>257</v>
      </c>
      <c r="C605" s="12" t="s">
        <v>258</v>
      </c>
      <c r="D605" s="12" t="s">
        <v>260</v>
      </c>
      <c r="E605" s="12" t="s">
        <v>219</v>
      </c>
      <c r="F605" s="25" t="s">
        <v>1419</v>
      </c>
      <c r="G605" s="25" t="n">
        <v>2026</v>
      </c>
      <c r="H605" s="25" t="n">
        <v>9</v>
      </c>
      <c r="I605" s="25" t="s">
        <v>3827</v>
      </c>
      <c r="J605" s="18" t="n">
        <v>1</v>
      </c>
      <c r="K605" s="14" t="n">
        <v>0</v>
      </c>
      <c r="L605" s="14" t="n">
        <v>0</v>
      </c>
      <c r="M605" s="14" t="n">
        <v>0</v>
      </c>
      <c r="N605" s="14" t="n">
        <v>0</v>
      </c>
      <c r="O605" s="32" t="n">
        <v>0</v>
      </c>
      <c r="P605" s="29"/>
      <c r="Q605" s="25" t="n">
        <v>0</v>
      </c>
      <c r="R605" s="25" t="n">
        <v>0</v>
      </c>
      <c r="S605" s="25" t="n">
        <v>0</v>
      </c>
      <c r="T605" s="25" t="n">
        <v>0</v>
      </c>
      <c r="U605" s="14" t="n">
        <v>0.97</v>
      </c>
      <c r="V605" s="14" t="n">
        <v>0.97</v>
      </c>
      <c r="W605" s="14" t="n">
        <v>0</v>
      </c>
      <c r="X605" s="14" t="n">
        <v>0.54</v>
      </c>
      <c r="Y605" s="13" t="n">
        <v>50.2</v>
      </c>
      <c r="Z605" s="25" t="s">
        <v>2961</v>
      </c>
      <c r="AA605" s="12" t="s">
        <v>3828</v>
      </c>
      <c r="AB605" s="25" t="s">
        <v>86</v>
      </c>
      <c r="AC605" s="22" t="s">
        <v>1376</v>
      </c>
    </row>
    <row r="606" customFormat="false" ht="19.5" hidden="false" customHeight="true" outlineLevel="0" collapsed="false">
      <c r="A606" s="27" t="s">
        <v>4437</v>
      </c>
      <c r="B606" s="27" t="s">
        <v>257</v>
      </c>
      <c r="C606" s="9" t="s">
        <v>258</v>
      </c>
      <c r="D606" s="9" t="s">
        <v>260</v>
      </c>
      <c r="E606" s="9" t="s">
        <v>219</v>
      </c>
      <c r="F606" s="27" t="s">
        <v>1469</v>
      </c>
      <c r="G606" s="27" t="n">
        <v>2026</v>
      </c>
      <c r="H606" s="27" t="n">
        <v>10</v>
      </c>
      <c r="I606" s="27" t="s">
        <v>3827</v>
      </c>
      <c r="J606" s="20" t="n">
        <v>1</v>
      </c>
      <c r="K606" s="11" t="n">
        <v>0</v>
      </c>
      <c r="L606" s="11" t="n">
        <v>0</v>
      </c>
      <c r="M606" s="30"/>
      <c r="N606" s="30"/>
      <c r="O606" s="30"/>
      <c r="P606" s="11" t="n">
        <v>0</v>
      </c>
      <c r="Q606" s="27" t="n">
        <v>0</v>
      </c>
      <c r="R606" s="27" t="n">
        <v>0</v>
      </c>
      <c r="S606" s="27" t="n">
        <v>0</v>
      </c>
      <c r="T606" s="27" t="n">
        <v>0</v>
      </c>
      <c r="U606" s="11" t="n">
        <v>1.51</v>
      </c>
      <c r="V606" s="11" t="n">
        <v>-0.78</v>
      </c>
      <c r="W606" s="11" t="n">
        <v>2.29</v>
      </c>
      <c r="X606" s="11" t="n">
        <v>0.73</v>
      </c>
      <c r="Y606" s="10" t="n">
        <v>17</v>
      </c>
      <c r="Z606" s="27" t="s">
        <v>3014</v>
      </c>
      <c r="AA606" s="9" t="s">
        <v>3832</v>
      </c>
      <c r="AB606" s="27" t="s">
        <v>86</v>
      </c>
      <c r="AC606" s="23" t="s">
        <v>1437</v>
      </c>
    </row>
    <row r="607" customFormat="false" ht="19.5" hidden="false" customHeight="true" outlineLevel="0" collapsed="false">
      <c r="A607" s="25" t="s">
        <v>4438</v>
      </c>
      <c r="B607" s="25" t="s">
        <v>257</v>
      </c>
      <c r="C607" s="12" t="s">
        <v>258</v>
      </c>
      <c r="D607" s="12" t="s">
        <v>260</v>
      </c>
      <c r="E607" s="12" t="s">
        <v>219</v>
      </c>
      <c r="F607" s="25" t="s">
        <v>1490</v>
      </c>
      <c r="G607" s="25" t="n">
        <v>2026</v>
      </c>
      <c r="H607" s="25" t="n">
        <v>10</v>
      </c>
      <c r="I607" s="25" t="s">
        <v>3827</v>
      </c>
      <c r="J607" s="18" t="n">
        <v>1</v>
      </c>
      <c r="K607" s="14" t="n">
        <v>0</v>
      </c>
      <c r="L607" s="14" t="n">
        <v>0</v>
      </c>
      <c r="M607" s="14" t="n">
        <v>0</v>
      </c>
      <c r="N607" s="29"/>
      <c r="O607" s="32" t="n">
        <v>0</v>
      </c>
      <c r="P607" s="14" t="n">
        <v>0</v>
      </c>
      <c r="Q607" s="25" t="n">
        <v>0</v>
      </c>
      <c r="R607" s="25" t="n">
        <v>0</v>
      </c>
      <c r="S607" s="25" t="n">
        <v>0</v>
      </c>
      <c r="T607" s="25" t="n">
        <v>0</v>
      </c>
      <c r="U607" s="14" t="n">
        <v>1.85</v>
      </c>
      <c r="V607" s="14" t="n">
        <v>-0.59</v>
      </c>
      <c r="W607" s="14" t="n">
        <v>2.44</v>
      </c>
      <c r="X607" s="14" t="n">
        <v>0.4</v>
      </c>
      <c r="Y607" s="13" t="n">
        <v>0</v>
      </c>
      <c r="Z607" s="25" t="s">
        <v>3014</v>
      </c>
      <c r="AA607" s="12" t="s">
        <v>3832</v>
      </c>
      <c r="AB607" s="25" t="s">
        <v>86</v>
      </c>
      <c r="AC607" s="22" t="s">
        <v>1476</v>
      </c>
    </row>
    <row r="608" customFormat="false" ht="19.5" hidden="false" customHeight="true" outlineLevel="0" collapsed="false">
      <c r="A608" s="27" t="s">
        <v>4439</v>
      </c>
      <c r="B608" s="27" t="s">
        <v>257</v>
      </c>
      <c r="C608" s="9" t="s">
        <v>258</v>
      </c>
      <c r="D608" s="9" t="s">
        <v>260</v>
      </c>
      <c r="E608" s="9" t="s">
        <v>219</v>
      </c>
      <c r="F608" s="27" t="s">
        <v>1510</v>
      </c>
      <c r="G608" s="27" t="n">
        <v>2026</v>
      </c>
      <c r="H608" s="27" t="n">
        <v>10</v>
      </c>
      <c r="I608" s="27" t="s">
        <v>3827</v>
      </c>
      <c r="J608" s="20" t="n">
        <v>1</v>
      </c>
      <c r="K608" s="11" t="n">
        <v>0</v>
      </c>
      <c r="L608" s="11" t="n">
        <v>0</v>
      </c>
      <c r="M608" s="11" t="n">
        <v>0</v>
      </c>
      <c r="N608" s="11" t="n">
        <v>0</v>
      </c>
      <c r="O608" s="31" t="n">
        <v>0</v>
      </c>
      <c r="P608" s="11" t="n">
        <v>0</v>
      </c>
      <c r="Q608" s="27" t="n">
        <v>0</v>
      </c>
      <c r="R608" s="27" t="n">
        <v>0</v>
      </c>
      <c r="S608" s="27" t="n">
        <v>0</v>
      </c>
      <c r="T608" s="27" t="n">
        <v>0</v>
      </c>
      <c r="U608" s="11" t="n">
        <v>1.87</v>
      </c>
      <c r="V608" s="11" t="n">
        <v>-0.82</v>
      </c>
      <c r="W608" s="11" t="n">
        <v>2.69</v>
      </c>
      <c r="X608" s="11" t="n">
        <v>0.35</v>
      </c>
      <c r="Y608" s="10" t="n">
        <v>0</v>
      </c>
      <c r="Z608" s="27" t="s">
        <v>2897</v>
      </c>
      <c r="AA608" s="9" t="s">
        <v>3832</v>
      </c>
      <c r="AB608" s="27" t="s">
        <v>86</v>
      </c>
      <c r="AC608" s="23" t="s">
        <v>1497</v>
      </c>
    </row>
    <row r="609" customFormat="false" ht="19.5" hidden="false" customHeight="true" outlineLevel="0" collapsed="false">
      <c r="A609" s="25" t="s">
        <v>4440</v>
      </c>
      <c r="B609" s="25" t="s">
        <v>257</v>
      </c>
      <c r="C609" s="12" t="s">
        <v>258</v>
      </c>
      <c r="D609" s="12" t="s">
        <v>260</v>
      </c>
      <c r="E609" s="12" t="s">
        <v>219</v>
      </c>
      <c r="F609" s="25" t="s">
        <v>1532</v>
      </c>
      <c r="G609" s="25" t="n">
        <v>2026</v>
      </c>
      <c r="H609" s="25" t="n">
        <v>10</v>
      </c>
      <c r="I609" s="25" t="s">
        <v>3827</v>
      </c>
      <c r="J609" s="18" t="n">
        <v>1</v>
      </c>
      <c r="K609" s="14" t="n">
        <v>0</v>
      </c>
      <c r="L609" s="14" t="n">
        <v>0</v>
      </c>
      <c r="M609" s="14" t="n">
        <v>0</v>
      </c>
      <c r="N609" s="14" t="n">
        <v>0</v>
      </c>
      <c r="O609" s="32" t="n">
        <v>0</v>
      </c>
      <c r="P609" s="14" t="n">
        <v>0</v>
      </c>
      <c r="Q609" s="25" t="n">
        <v>0</v>
      </c>
      <c r="R609" s="25" t="n">
        <v>0</v>
      </c>
      <c r="S609" s="25" t="n">
        <v>0</v>
      </c>
      <c r="T609" s="25" t="n">
        <v>0</v>
      </c>
      <c r="U609" s="14" t="n">
        <v>1.81</v>
      </c>
      <c r="V609" s="14" t="n">
        <v>-0.96</v>
      </c>
      <c r="W609" s="14" t="n">
        <v>2.77</v>
      </c>
      <c r="X609" s="14" t="n">
        <v>0.35</v>
      </c>
      <c r="Y609" s="13" t="n">
        <v>0</v>
      </c>
      <c r="Z609" s="25" t="s">
        <v>2998</v>
      </c>
      <c r="AA609" s="12" t="s">
        <v>3832</v>
      </c>
      <c r="AB609" s="25" t="s">
        <v>86</v>
      </c>
      <c r="AC609" s="22" t="s">
        <v>1517</v>
      </c>
    </row>
    <row r="610" customFormat="false" ht="19.5" hidden="false" customHeight="true" outlineLevel="0" collapsed="false">
      <c r="A610" s="27" t="s">
        <v>4441</v>
      </c>
      <c r="B610" s="27" t="s">
        <v>257</v>
      </c>
      <c r="C610" s="9" t="s">
        <v>258</v>
      </c>
      <c r="D610" s="9" t="s">
        <v>260</v>
      </c>
      <c r="E610" s="9" t="s">
        <v>219</v>
      </c>
      <c r="F610" s="27" t="s">
        <v>1555</v>
      </c>
      <c r="G610" s="27" t="n">
        <v>2026</v>
      </c>
      <c r="H610" s="27" t="n">
        <v>10</v>
      </c>
      <c r="I610" s="27" t="s">
        <v>3827</v>
      </c>
      <c r="J610" s="20" t="n">
        <v>1</v>
      </c>
      <c r="K610" s="11" t="n">
        <v>0</v>
      </c>
      <c r="L610" s="11" t="n">
        <v>0</v>
      </c>
      <c r="M610" s="11" t="n">
        <v>0</v>
      </c>
      <c r="N610" s="11" t="n">
        <v>0</v>
      </c>
      <c r="O610" s="31" t="n">
        <v>0</v>
      </c>
      <c r="P610" s="30"/>
      <c r="Q610" s="27" t="n">
        <v>0</v>
      </c>
      <c r="R610" s="27" t="n">
        <v>0</v>
      </c>
      <c r="S610" s="27" t="n">
        <v>0</v>
      </c>
      <c r="T610" s="27" t="n">
        <v>0</v>
      </c>
      <c r="U610" s="11" t="n">
        <v>1.6</v>
      </c>
      <c r="V610" s="11" t="n">
        <v>1.6</v>
      </c>
      <c r="W610" s="11" t="n">
        <v>0</v>
      </c>
      <c r="X610" s="11" t="n">
        <v>0.95</v>
      </c>
      <c r="Y610" s="10" t="n">
        <v>11</v>
      </c>
      <c r="Z610" s="27" t="s">
        <v>2998</v>
      </c>
      <c r="AA610" s="9" t="s">
        <v>3832</v>
      </c>
      <c r="AB610" s="27" t="s">
        <v>86</v>
      </c>
      <c r="AC610" s="23" t="s">
        <v>93</v>
      </c>
    </row>
    <row r="611" customFormat="false" ht="19.5" hidden="false" customHeight="true" outlineLevel="0" collapsed="false">
      <c r="A611" s="25" t="s">
        <v>4442</v>
      </c>
      <c r="B611" s="25" t="s">
        <v>586</v>
      </c>
      <c r="C611" s="12" t="s">
        <v>587</v>
      </c>
      <c r="D611" s="12" t="s">
        <v>588</v>
      </c>
      <c r="E611" s="12" t="s">
        <v>589</v>
      </c>
      <c r="F611" s="25" t="s">
        <v>625</v>
      </c>
      <c r="G611" s="25" t="n">
        <v>2016</v>
      </c>
      <c r="H611" s="25" t="n">
        <v>2</v>
      </c>
      <c r="I611" s="25" t="s">
        <v>3879</v>
      </c>
      <c r="J611" s="18" t="n">
        <v>1</v>
      </c>
      <c r="K611" s="14" t="n">
        <v>1.45</v>
      </c>
      <c r="L611" s="29"/>
      <c r="M611" s="29"/>
      <c r="N611" s="29"/>
      <c r="O611" s="29"/>
      <c r="P611" s="29"/>
      <c r="Q611" s="25" t="n">
        <v>1</v>
      </c>
      <c r="R611" s="25" t="n">
        <v>1</v>
      </c>
      <c r="S611" s="25" t="n">
        <v>1</v>
      </c>
      <c r="T611" s="25" t="n">
        <v>0</v>
      </c>
      <c r="U611" s="29"/>
      <c r="V611" s="29"/>
      <c r="W611" s="29"/>
      <c r="X611" s="29"/>
      <c r="Y611" s="29"/>
      <c r="Z611" s="25" t="s">
        <v>3836</v>
      </c>
      <c r="AA611" s="12" t="s">
        <v>3880</v>
      </c>
      <c r="AB611" s="25" t="s">
        <v>86</v>
      </c>
      <c r="AC611" s="22" t="s">
        <v>197</v>
      </c>
    </row>
    <row r="612" customFormat="false" ht="19.5" hidden="false" customHeight="true" outlineLevel="0" collapsed="false">
      <c r="A612" s="27" t="s">
        <v>4443</v>
      </c>
      <c r="B612" s="27" t="s">
        <v>586</v>
      </c>
      <c r="C612" s="9" t="s">
        <v>587</v>
      </c>
      <c r="D612" s="9" t="s">
        <v>588</v>
      </c>
      <c r="E612" s="9" t="s">
        <v>589</v>
      </c>
      <c r="F612" s="27" t="s">
        <v>663</v>
      </c>
      <c r="G612" s="27" t="n">
        <v>2016</v>
      </c>
      <c r="H612" s="27" t="n">
        <v>5</v>
      </c>
      <c r="I612" s="27" t="s">
        <v>3879</v>
      </c>
      <c r="J612" s="20" t="n">
        <v>1</v>
      </c>
      <c r="K612" s="11" t="n">
        <v>8.1</v>
      </c>
      <c r="L612" s="30"/>
      <c r="M612" s="30"/>
      <c r="N612" s="30"/>
      <c r="O612" s="30"/>
      <c r="P612" s="11" t="n">
        <v>7.7</v>
      </c>
      <c r="Q612" s="27" t="n">
        <v>1</v>
      </c>
      <c r="R612" s="27" t="n">
        <v>1</v>
      </c>
      <c r="S612" s="27" t="n">
        <v>1</v>
      </c>
      <c r="T612" s="27" t="n">
        <v>1</v>
      </c>
      <c r="U612" s="30"/>
      <c r="V612" s="30"/>
      <c r="W612" s="30"/>
      <c r="X612" s="30"/>
      <c r="Y612" s="30"/>
      <c r="Z612" s="27" t="s">
        <v>3836</v>
      </c>
      <c r="AA612" s="9" t="s">
        <v>3880</v>
      </c>
      <c r="AB612" s="27" t="s">
        <v>86</v>
      </c>
      <c r="AC612" s="23" t="s">
        <v>664</v>
      </c>
    </row>
    <row r="613" customFormat="false" ht="19.5" hidden="false" customHeight="true" outlineLevel="0" collapsed="false">
      <c r="A613" s="25" t="s">
        <v>4444</v>
      </c>
      <c r="B613" s="25" t="s">
        <v>586</v>
      </c>
      <c r="C613" s="12" t="s">
        <v>587</v>
      </c>
      <c r="D613" s="12" t="s">
        <v>588</v>
      </c>
      <c r="E613" s="12" t="s">
        <v>589</v>
      </c>
      <c r="F613" s="25" t="s">
        <v>680</v>
      </c>
      <c r="G613" s="25" t="n">
        <v>2016</v>
      </c>
      <c r="H613" s="25" t="n">
        <v>5</v>
      </c>
      <c r="I613" s="25" t="s">
        <v>3879</v>
      </c>
      <c r="J613" s="18" t="n">
        <v>1</v>
      </c>
      <c r="K613" s="14" t="n">
        <v>7.7</v>
      </c>
      <c r="L613" s="29"/>
      <c r="M613" s="14" t="n">
        <v>8.1</v>
      </c>
      <c r="N613" s="29"/>
      <c r="O613" s="32" t="n">
        <v>-0.4</v>
      </c>
      <c r="P613" s="14" t="n">
        <v>7.5</v>
      </c>
      <c r="Q613" s="25" t="n">
        <v>1</v>
      </c>
      <c r="R613" s="25" t="n">
        <v>1</v>
      </c>
      <c r="S613" s="25" t="n">
        <v>1</v>
      </c>
      <c r="T613" s="25" t="n">
        <v>1</v>
      </c>
      <c r="U613" s="29"/>
      <c r="V613" s="29"/>
      <c r="W613" s="29"/>
      <c r="X613" s="29"/>
      <c r="Y613" s="29"/>
      <c r="Z613" s="25" t="s">
        <v>3836</v>
      </c>
      <c r="AA613" s="12" t="s">
        <v>3880</v>
      </c>
      <c r="AB613" s="25" t="s">
        <v>86</v>
      </c>
      <c r="AC613" s="22" t="s">
        <v>681</v>
      </c>
    </row>
    <row r="614" customFormat="false" ht="19.5" hidden="false" customHeight="true" outlineLevel="0" collapsed="false">
      <c r="A614" s="27" t="s">
        <v>4445</v>
      </c>
      <c r="B614" s="27" t="s">
        <v>586</v>
      </c>
      <c r="C614" s="9" t="s">
        <v>587</v>
      </c>
      <c r="D614" s="9" t="s">
        <v>588</v>
      </c>
      <c r="E614" s="9" t="s">
        <v>589</v>
      </c>
      <c r="F614" s="27" t="s">
        <v>696</v>
      </c>
      <c r="G614" s="27" t="n">
        <v>2016</v>
      </c>
      <c r="H614" s="27" t="n">
        <v>5</v>
      </c>
      <c r="I614" s="27" t="s">
        <v>3879</v>
      </c>
      <c r="J614" s="20" t="n">
        <v>1</v>
      </c>
      <c r="K614" s="11" t="n">
        <v>7.5</v>
      </c>
      <c r="L614" s="30"/>
      <c r="M614" s="11" t="n">
        <v>7.7</v>
      </c>
      <c r="N614" s="11" t="n">
        <v>8.1</v>
      </c>
      <c r="O614" s="31" t="n">
        <v>-0.2</v>
      </c>
      <c r="P614" s="11" t="n">
        <v>7.4</v>
      </c>
      <c r="Q614" s="27" t="n">
        <v>1</v>
      </c>
      <c r="R614" s="27" t="n">
        <v>1</v>
      </c>
      <c r="S614" s="27" t="n">
        <v>1</v>
      </c>
      <c r="T614" s="27" t="n">
        <v>1</v>
      </c>
      <c r="U614" s="30"/>
      <c r="V614" s="30"/>
      <c r="W614" s="30"/>
      <c r="X614" s="30"/>
      <c r="Y614" s="30"/>
      <c r="Z614" s="27" t="s">
        <v>3836</v>
      </c>
      <c r="AA614" s="9" t="s">
        <v>3880</v>
      </c>
      <c r="AB614" s="27" t="s">
        <v>86</v>
      </c>
      <c r="AC614" s="23" t="s">
        <v>697</v>
      </c>
    </row>
    <row r="615" customFormat="false" ht="19.5" hidden="false" customHeight="true" outlineLevel="0" collapsed="false">
      <c r="A615" s="25" t="s">
        <v>4446</v>
      </c>
      <c r="B615" s="25" t="s">
        <v>586</v>
      </c>
      <c r="C615" s="12" t="s">
        <v>587</v>
      </c>
      <c r="D615" s="12" t="s">
        <v>588</v>
      </c>
      <c r="E615" s="12" t="s">
        <v>589</v>
      </c>
      <c r="F615" s="25" t="s">
        <v>712</v>
      </c>
      <c r="G615" s="25" t="n">
        <v>2016</v>
      </c>
      <c r="H615" s="25" t="n">
        <v>5</v>
      </c>
      <c r="I615" s="25" t="s">
        <v>3879</v>
      </c>
      <c r="J615" s="18" t="n">
        <v>1</v>
      </c>
      <c r="K615" s="14" t="n">
        <v>7.4</v>
      </c>
      <c r="L615" s="29"/>
      <c r="M615" s="14" t="n">
        <v>7.5</v>
      </c>
      <c r="N615" s="14" t="n">
        <v>7.7</v>
      </c>
      <c r="O615" s="32" t="n">
        <v>-0.1</v>
      </c>
      <c r="P615" s="14" t="n">
        <v>7.3</v>
      </c>
      <c r="Q615" s="25" t="n">
        <v>1</v>
      </c>
      <c r="R615" s="25" t="n">
        <v>1</v>
      </c>
      <c r="S615" s="25" t="n">
        <v>1</v>
      </c>
      <c r="T615" s="25" t="n">
        <v>1</v>
      </c>
      <c r="U615" s="29"/>
      <c r="V615" s="29"/>
      <c r="W615" s="29"/>
      <c r="X615" s="29"/>
      <c r="Y615" s="29"/>
      <c r="Z615" s="25" t="s">
        <v>3836</v>
      </c>
      <c r="AA615" s="12" t="s">
        <v>3880</v>
      </c>
      <c r="AB615" s="25" t="s">
        <v>86</v>
      </c>
      <c r="AC615" s="22" t="s">
        <v>713</v>
      </c>
    </row>
    <row r="616" customFormat="false" ht="19.5" hidden="false" customHeight="true" outlineLevel="0" collapsed="false">
      <c r="A616" s="27" t="s">
        <v>4447</v>
      </c>
      <c r="B616" s="27" t="s">
        <v>586</v>
      </c>
      <c r="C616" s="9" t="s">
        <v>587</v>
      </c>
      <c r="D616" s="9" t="s">
        <v>588</v>
      </c>
      <c r="E616" s="9" t="s">
        <v>589</v>
      </c>
      <c r="F616" s="27" t="s">
        <v>728</v>
      </c>
      <c r="G616" s="27" t="n">
        <v>2016</v>
      </c>
      <c r="H616" s="27" t="n">
        <v>5</v>
      </c>
      <c r="I616" s="27" t="s">
        <v>3879</v>
      </c>
      <c r="J616" s="20" t="n">
        <v>1</v>
      </c>
      <c r="K616" s="11" t="n">
        <v>7.3</v>
      </c>
      <c r="L616" s="30"/>
      <c r="M616" s="11" t="n">
        <v>7.4</v>
      </c>
      <c r="N616" s="11" t="n">
        <v>7.5</v>
      </c>
      <c r="O616" s="31" t="n">
        <v>-0.1</v>
      </c>
      <c r="P616" s="30"/>
      <c r="Q616" s="27" t="n">
        <v>1</v>
      </c>
      <c r="R616" s="27" t="n">
        <v>1</v>
      </c>
      <c r="S616" s="27" t="n">
        <v>1</v>
      </c>
      <c r="T616" s="27" t="n">
        <v>1</v>
      </c>
      <c r="U616" s="30"/>
      <c r="V616" s="30"/>
      <c r="W616" s="30"/>
      <c r="X616" s="30"/>
      <c r="Y616" s="30"/>
      <c r="Z616" s="27" t="s">
        <v>3836</v>
      </c>
      <c r="AA616" s="9" t="s">
        <v>3880</v>
      </c>
      <c r="AB616" s="27" t="s">
        <v>86</v>
      </c>
      <c r="AC616" s="23" t="s">
        <v>729</v>
      </c>
    </row>
    <row r="617" customFormat="false" ht="19.5" hidden="false" customHeight="true" outlineLevel="0" collapsed="false">
      <c r="A617" s="25" t="s">
        <v>4448</v>
      </c>
      <c r="B617" s="25" t="s">
        <v>586</v>
      </c>
      <c r="C617" s="12" t="s">
        <v>587</v>
      </c>
      <c r="D617" s="12" t="s">
        <v>588</v>
      </c>
      <c r="E617" s="12" t="s">
        <v>589</v>
      </c>
      <c r="F617" s="25" t="s">
        <v>744</v>
      </c>
      <c r="G617" s="25" t="n">
        <v>2020</v>
      </c>
      <c r="H617" s="25" t="n">
        <v>2</v>
      </c>
      <c r="I617" s="25" t="s">
        <v>3879</v>
      </c>
      <c r="J617" s="18" t="n">
        <v>1</v>
      </c>
      <c r="K617" s="14" t="n">
        <v>3.9</v>
      </c>
      <c r="L617" s="29"/>
      <c r="M617" s="29"/>
      <c r="N617" s="29"/>
      <c r="O617" s="29"/>
      <c r="P617" s="29"/>
      <c r="Q617" s="25" t="n">
        <v>1</v>
      </c>
      <c r="R617" s="25" t="n">
        <v>1</v>
      </c>
      <c r="S617" s="25" t="n">
        <v>1</v>
      </c>
      <c r="T617" s="25" t="n">
        <v>1</v>
      </c>
      <c r="U617" s="29"/>
      <c r="V617" s="29"/>
      <c r="W617" s="29"/>
      <c r="X617" s="29"/>
      <c r="Y617" s="29"/>
      <c r="Z617" s="25" t="s">
        <v>3836</v>
      </c>
      <c r="AA617" s="12" t="s">
        <v>3880</v>
      </c>
      <c r="AB617" s="25" t="s">
        <v>86</v>
      </c>
      <c r="AC617" s="22" t="s">
        <v>197</v>
      </c>
    </row>
    <row r="618" customFormat="false" ht="19.5" hidden="false" customHeight="true" outlineLevel="0" collapsed="false">
      <c r="A618" s="27" t="s">
        <v>4449</v>
      </c>
      <c r="B618" s="27" t="s">
        <v>586</v>
      </c>
      <c r="C618" s="9" t="s">
        <v>587</v>
      </c>
      <c r="D618" s="9" t="s">
        <v>588</v>
      </c>
      <c r="E618" s="9" t="s">
        <v>589</v>
      </c>
      <c r="F618" s="27" t="s">
        <v>764</v>
      </c>
      <c r="G618" s="27" t="n">
        <v>2020</v>
      </c>
      <c r="H618" s="27" t="n">
        <v>5</v>
      </c>
      <c r="I618" s="27" t="s">
        <v>3879</v>
      </c>
      <c r="J618" s="20" t="n">
        <v>1</v>
      </c>
      <c r="K618" s="11" t="n">
        <v>10.45</v>
      </c>
      <c r="L618" s="30"/>
      <c r="M618" s="30"/>
      <c r="N618" s="30"/>
      <c r="O618" s="30"/>
      <c r="P618" s="11" t="n">
        <v>10.3</v>
      </c>
      <c r="Q618" s="27" t="n">
        <v>1</v>
      </c>
      <c r="R618" s="27" t="n">
        <v>1</v>
      </c>
      <c r="S618" s="27" t="n">
        <v>1</v>
      </c>
      <c r="T618" s="27" t="n">
        <v>1</v>
      </c>
      <c r="U618" s="30"/>
      <c r="V618" s="30"/>
      <c r="W618" s="30"/>
      <c r="X618" s="30"/>
      <c r="Y618" s="30"/>
      <c r="Z618" s="27" t="s">
        <v>3836</v>
      </c>
      <c r="AA618" s="9" t="s">
        <v>3880</v>
      </c>
      <c r="AB618" s="27" t="s">
        <v>86</v>
      </c>
      <c r="AC618" s="23" t="s">
        <v>664</v>
      </c>
    </row>
    <row r="619" customFormat="false" ht="19.5" hidden="false" customHeight="true" outlineLevel="0" collapsed="false">
      <c r="A619" s="25" t="s">
        <v>4450</v>
      </c>
      <c r="B619" s="25" t="s">
        <v>586</v>
      </c>
      <c r="C619" s="12" t="s">
        <v>587</v>
      </c>
      <c r="D619" s="12" t="s">
        <v>588</v>
      </c>
      <c r="E619" s="12" t="s">
        <v>589</v>
      </c>
      <c r="F619" s="25" t="s">
        <v>777</v>
      </c>
      <c r="G619" s="25" t="n">
        <v>2020</v>
      </c>
      <c r="H619" s="25" t="n">
        <v>5</v>
      </c>
      <c r="I619" s="25" t="s">
        <v>3879</v>
      </c>
      <c r="J619" s="18" t="n">
        <v>1</v>
      </c>
      <c r="K619" s="14" t="n">
        <v>10.3</v>
      </c>
      <c r="L619" s="29"/>
      <c r="M619" s="14" t="n">
        <v>10.45</v>
      </c>
      <c r="N619" s="29"/>
      <c r="O619" s="32" t="n">
        <v>-0.15</v>
      </c>
      <c r="P619" s="14" t="n">
        <v>10.2</v>
      </c>
      <c r="Q619" s="25" t="n">
        <v>1</v>
      </c>
      <c r="R619" s="25" t="n">
        <v>1</v>
      </c>
      <c r="S619" s="25" t="n">
        <v>1</v>
      </c>
      <c r="T619" s="25" t="n">
        <v>1</v>
      </c>
      <c r="U619" s="29"/>
      <c r="V619" s="29"/>
      <c r="W619" s="29"/>
      <c r="X619" s="29"/>
      <c r="Y619" s="29"/>
      <c r="Z619" s="25" t="s">
        <v>3836</v>
      </c>
      <c r="AA619" s="12" t="s">
        <v>3880</v>
      </c>
      <c r="AB619" s="25" t="s">
        <v>86</v>
      </c>
      <c r="AC619" s="22" t="s">
        <v>681</v>
      </c>
    </row>
    <row r="620" customFormat="false" ht="19.5" hidden="false" customHeight="true" outlineLevel="0" collapsed="false">
      <c r="A620" s="27" t="s">
        <v>4451</v>
      </c>
      <c r="B620" s="27" t="s">
        <v>586</v>
      </c>
      <c r="C620" s="9" t="s">
        <v>587</v>
      </c>
      <c r="D620" s="9" t="s">
        <v>588</v>
      </c>
      <c r="E620" s="9" t="s">
        <v>589</v>
      </c>
      <c r="F620" s="27" t="s">
        <v>790</v>
      </c>
      <c r="G620" s="27" t="n">
        <v>2020</v>
      </c>
      <c r="H620" s="27" t="n">
        <v>5</v>
      </c>
      <c r="I620" s="27" t="s">
        <v>3879</v>
      </c>
      <c r="J620" s="20" t="n">
        <v>1</v>
      </c>
      <c r="K620" s="11" t="n">
        <v>10.2</v>
      </c>
      <c r="L620" s="30"/>
      <c r="M620" s="11" t="n">
        <v>10.3</v>
      </c>
      <c r="N620" s="11" t="n">
        <v>10.45</v>
      </c>
      <c r="O620" s="31" t="n">
        <v>-0.1</v>
      </c>
      <c r="P620" s="11" t="n">
        <v>10.7</v>
      </c>
      <c r="Q620" s="27" t="n">
        <v>1</v>
      </c>
      <c r="R620" s="27" t="n">
        <v>1</v>
      </c>
      <c r="S620" s="27" t="n">
        <v>1</v>
      </c>
      <c r="T620" s="27" t="n">
        <v>1</v>
      </c>
      <c r="U620" s="30"/>
      <c r="V620" s="30"/>
      <c r="W620" s="30"/>
      <c r="X620" s="30"/>
      <c r="Y620" s="30"/>
      <c r="Z620" s="27" t="s">
        <v>3836</v>
      </c>
      <c r="AA620" s="9" t="s">
        <v>3880</v>
      </c>
      <c r="AB620" s="27" t="s">
        <v>86</v>
      </c>
      <c r="AC620" s="23" t="s">
        <v>697</v>
      </c>
    </row>
    <row r="621" customFormat="false" ht="19.5" hidden="false" customHeight="true" outlineLevel="0" collapsed="false">
      <c r="A621" s="25" t="s">
        <v>4452</v>
      </c>
      <c r="B621" s="25" t="s">
        <v>586</v>
      </c>
      <c r="C621" s="12" t="s">
        <v>587</v>
      </c>
      <c r="D621" s="12" t="s">
        <v>588</v>
      </c>
      <c r="E621" s="12" t="s">
        <v>589</v>
      </c>
      <c r="F621" s="25" t="s">
        <v>803</v>
      </c>
      <c r="G621" s="25" t="n">
        <v>2020</v>
      </c>
      <c r="H621" s="25" t="n">
        <v>5</v>
      </c>
      <c r="I621" s="25" t="s">
        <v>3879</v>
      </c>
      <c r="J621" s="18" t="n">
        <v>1</v>
      </c>
      <c r="K621" s="14" t="n">
        <v>10.7</v>
      </c>
      <c r="L621" s="29"/>
      <c r="M621" s="14" t="n">
        <v>10.2</v>
      </c>
      <c r="N621" s="14" t="n">
        <v>10.3</v>
      </c>
      <c r="O621" s="32" t="n">
        <v>0.5</v>
      </c>
      <c r="P621" s="14" t="n">
        <v>10.7</v>
      </c>
      <c r="Q621" s="25" t="n">
        <v>1</v>
      </c>
      <c r="R621" s="25" t="n">
        <v>1</v>
      </c>
      <c r="S621" s="25" t="n">
        <v>1</v>
      </c>
      <c r="T621" s="25" t="n">
        <v>1</v>
      </c>
      <c r="U621" s="29"/>
      <c r="V621" s="29"/>
      <c r="W621" s="29"/>
      <c r="X621" s="29"/>
      <c r="Y621" s="29"/>
      <c r="Z621" s="25" t="s">
        <v>3836</v>
      </c>
      <c r="AA621" s="12" t="s">
        <v>3880</v>
      </c>
      <c r="AB621" s="25" t="s">
        <v>86</v>
      </c>
      <c r="AC621" s="22" t="s">
        <v>713</v>
      </c>
    </row>
    <row r="622" customFormat="false" ht="19.5" hidden="false" customHeight="true" outlineLevel="0" collapsed="false">
      <c r="A622" s="27" t="s">
        <v>4453</v>
      </c>
      <c r="B622" s="27" t="s">
        <v>586</v>
      </c>
      <c r="C622" s="9" t="s">
        <v>587</v>
      </c>
      <c r="D622" s="9" t="s">
        <v>588</v>
      </c>
      <c r="E622" s="9" t="s">
        <v>589</v>
      </c>
      <c r="F622" s="27" t="s">
        <v>816</v>
      </c>
      <c r="G622" s="27" t="n">
        <v>2020</v>
      </c>
      <c r="H622" s="27" t="n">
        <v>5</v>
      </c>
      <c r="I622" s="27" t="s">
        <v>3879</v>
      </c>
      <c r="J622" s="20" t="n">
        <v>1</v>
      </c>
      <c r="K622" s="11" t="n">
        <v>10.7</v>
      </c>
      <c r="L622" s="30"/>
      <c r="M622" s="11" t="n">
        <v>10.7</v>
      </c>
      <c r="N622" s="11" t="n">
        <v>10.2</v>
      </c>
      <c r="O622" s="31" t="n">
        <v>0</v>
      </c>
      <c r="P622" s="30"/>
      <c r="Q622" s="27" t="n">
        <v>1</v>
      </c>
      <c r="R622" s="27" t="n">
        <v>1</v>
      </c>
      <c r="S622" s="27" t="n">
        <v>1</v>
      </c>
      <c r="T622" s="27" t="n">
        <v>1</v>
      </c>
      <c r="U622" s="30"/>
      <c r="V622" s="30"/>
      <c r="W622" s="30"/>
      <c r="X622" s="30"/>
      <c r="Y622" s="30"/>
      <c r="Z622" s="27" t="s">
        <v>3836</v>
      </c>
      <c r="AA622" s="9" t="s">
        <v>3880</v>
      </c>
      <c r="AB622" s="27" t="s">
        <v>86</v>
      </c>
      <c r="AC622" s="23" t="s">
        <v>729</v>
      </c>
    </row>
    <row r="623" customFormat="false" ht="19.5" hidden="false" customHeight="true" outlineLevel="0" collapsed="false">
      <c r="A623" s="25" t="s">
        <v>4454</v>
      </c>
      <c r="B623" s="25" t="s">
        <v>586</v>
      </c>
      <c r="C623" s="12" t="s">
        <v>587</v>
      </c>
      <c r="D623" s="12" t="s">
        <v>588</v>
      </c>
      <c r="E623" s="12" t="s">
        <v>589</v>
      </c>
      <c r="F623" s="25" t="s">
        <v>975</v>
      </c>
      <c r="G623" s="25" t="n">
        <v>2025</v>
      </c>
      <c r="H623" s="25" t="n">
        <v>2</v>
      </c>
      <c r="I623" s="25" t="s">
        <v>3879</v>
      </c>
      <c r="J623" s="18" t="n">
        <v>1</v>
      </c>
      <c r="K623" s="14" t="n">
        <v>0.1</v>
      </c>
      <c r="L623" s="29"/>
      <c r="M623" s="29"/>
      <c r="N623" s="29"/>
      <c r="O623" s="29"/>
      <c r="P623" s="29"/>
      <c r="Q623" s="25" t="n">
        <v>0</v>
      </c>
      <c r="R623" s="25" t="n">
        <v>0</v>
      </c>
      <c r="S623" s="25" t="n">
        <v>0</v>
      </c>
      <c r="T623" s="25" t="n">
        <v>0</v>
      </c>
      <c r="U623" s="29"/>
      <c r="V623" s="29"/>
      <c r="W623" s="29"/>
      <c r="X623" s="29"/>
      <c r="Y623" s="29"/>
      <c r="Z623" s="25" t="s">
        <v>3836</v>
      </c>
      <c r="AA623" s="12" t="s">
        <v>3887</v>
      </c>
      <c r="AB623" s="25" t="s">
        <v>86</v>
      </c>
      <c r="AC623" s="22" t="s">
        <v>197</v>
      </c>
    </row>
    <row r="624" customFormat="false" ht="19.5" hidden="false" customHeight="true" outlineLevel="0" collapsed="false">
      <c r="A624" s="27" t="s">
        <v>4455</v>
      </c>
      <c r="B624" s="27" t="s">
        <v>586</v>
      </c>
      <c r="C624" s="9" t="s">
        <v>587</v>
      </c>
      <c r="D624" s="9" t="s">
        <v>588</v>
      </c>
      <c r="E624" s="9" t="s">
        <v>589</v>
      </c>
      <c r="F624" s="27" t="s">
        <v>1102</v>
      </c>
      <c r="G624" s="27" t="n">
        <v>2025</v>
      </c>
      <c r="H624" s="27" t="n">
        <v>5</v>
      </c>
      <c r="I624" s="27" t="s">
        <v>3879</v>
      </c>
      <c r="J624" s="20" t="n">
        <v>1</v>
      </c>
      <c r="K624" s="11" t="n">
        <v>3.1</v>
      </c>
      <c r="L624" s="30"/>
      <c r="M624" s="30"/>
      <c r="N624" s="30"/>
      <c r="O624" s="30"/>
      <c r="P624" s="11" t="n">
        <v>2.8</v>
      </c>
      <c r="Q624" s="27" t="n">
        <v>1</v>
      </c>
      <c r="R624" s="27" t="n">
        <v>1</v>
      </c>
      <c r="S624" s="27" t="n">
        <v>1</v>
      </c>
      <c r="T624" s="27" t="n">
        <v>1</v>
      </c>
      <c r="U624" s="30"/>
      <c r="V624" s="30"/>
      <c r="W624" s="30"/>
      <c r="X624" s="30"/>
      <c r="Y624" s="30"/>
      <c r="Z624" s="27" t="s">
        <v>3836</v>
      </c>
      <c r="AA624" s="9" t="s">
        <v>3887</v>
      </c>
      <c r="AB624" s="27" t="s">
        <v>86</v>
      </c>
      <c r="AC624" s="23" t="s">
        <v>664</v>
      </c>
    </row>
    <row r="625" customFormat="false" ht="19.5" hidden="false" customHeight="true" outlineLevel="0" collapsed="false">
      <c r="A625" s="25" t="s">
        <v>4456</v>
      </c>
      <c r="B625" s="25" t="s">
        <v>586</v>
      </c>
      <c r="C625" s="12" t="s">
        <v>587</v>
      </c>
      <c r="D625" s="12" t="s">
        <v>588</v>
      </c>
      <c r="E625" s="12" t="s">
        <v>589</v>
      </c>
      <c r="F625" s="25" t="s">
        <v>1117</v>
      </c>
      <c r="G625" s="25" t="n">
        <v>2025</v>
      </c>
      <c r="H625" s="25" t="n">
        <v>5</v>
      </c>
      <c r="I625" s="25" t="s">
        <v>3879</v>
      </c>
      <c r="J625" s="18" t="n">
        <v>1</v>
      </c>
      <c r="K625" s="14" t="n">
        <v>2.8</v>
      </c>
      <c r="L625" s="29"/>
      <c r="M625" s="14" t="n">
        <v>3.1</v>
      </c>
      <c r="N625" s="29"/>
      <c r="O625" s="32" t="n">
        <v>-0.3</v>
      </c>
      <c r="P625" s="14" t="n">
        <v>2.7</v>
      </c>
      <c r="Q625" s="25" t="n">
        <v>1</v>
      </c>
      <c r="R625" s="25" t="n">
        <v>1</v>
      </c>
      <c r="S625" s="25" t="n">
        <v>1</v>
      </c>
      <c r="T625" s="25" t="n">
        <v>1</v>
      </c>
      <c r="U625" s="29"/>
      <c r="V625" s="29"/>
      <c r="W625" s="29"/>
      <c r="X625" s="29"/>
      <c r="Y625" s="29"/>
      <c r="Z625" s="25" t="s">
        <v>3836</v>
      </c>
      <c r="AA625" s="12" t="s">
        <v>3887</v>
      </c>
      <c r="AB625" s="25" t="s">
        <v>86</v>
      </c>
      <c r="AC625" s="22" t="s">
        <v>681</v>
      </c>
    </row>
    <row r="626" customFormat="false" ht="19.5" hidden="false" customHeight="true" outlineLevel="0" collapsed="false">
      <c r="A626" s="27" t="s">
        <v>4457</v>
      </c>
      <c r="B626" s="27" t="s">
        <v>586</v>
      </c>
      <c r="C626" s="9" t="s">
        <v>587</v>
      </c>
      <c r="D626" s="9" t="s">
        <v>588</v>
      </c>
      <c r="E626" s="9" t="s">
        <v>589</v>
      </c>
      <c r="F626" s="27" t="s">
        <v>1132</v>
      </c>
      <c r="G626" s="27" t="n">
        <v>2025</v>
      </c>
      <c r="H626" s="27" t="n">
        <v>5</v>
      </c>
      <c r="I626" s="27" t="s">
        <v>3879</v>
      </c>
      <c r="J626" s="20" t="n">
        <v>1</v>
      </c>
      <c r="K626" s="11" t="n">
        <v>2.7</v>
      </c>
      <c r="L626" s="30"/>
      <c r="M626" s="11" t="n">
        <v>2.8</v>
      </c>
      <c r="N626" s="11" t="n">
        <v>3.1</v>
      </c>
      <c r="O626" s="31" t="n">
        <v>-0.1</v>
      </c>
      <c r="P626" s="11" t="n">
        <v>2.3</v>
      </c>
      <c r="Q626" s="27" t="n">
        <v>1</v>
      </c>
      <c r="R626" s="27" t="n">
        <v>1</v>
      </c>
      <c r="S626" s="27" t="n">
        <v>1</v>
      </c>
      <c r="T626" s="27" t="n">
        <v>1</v>
      </c>
      <c r="U626" s="30"/>
      <c r="V626" s="30"/>
      <c r="W626" s="30"/>
      <c r="X626" s="30"/>
      <c r="Y626" s="30"/>
      <c r="Z626" s="27" t="s">
        <v>3836</v>
      </c>
      <c r="AA626" s="9" t="s">
        <v>3887</v>
      </c>
      <c r="AB626" s="27" t="s">
        <v>86</v>
      </c>
      <c r="AC626" s="23" t="s">
        <v>697</v>
      </c>
    </row>
    <row r="627" customFormat="false" ht="19.5" hidden="false" customHeight="true" outlineLevel="0" collapsed="false">
      <c r="A627" s="25" t="s">
        <v>4458</v>
      </c>
      <c r="B627" s="25" t="s">
        <v>586</v>
      </c>
      <c r="C627" s="12" t="s">
        <v>587</v>
      </c>
      <c r="D627" s="12" t="s">
        <v>588</v>
      </c>
      <c r="E627" s="12" t="s">
        <v>589</v>
      </c>
      <c r="F627" s="25" t="s">
        <v>1147</v>
      </c>
      <c r="G627" s="25" t="n">
        <v>2025</v>
      </c>
      <c r="H627" s="25" t="n">
        <v>5</v>
      </c>
      <c r="I627" s="25" t="s">
        <v>3879</v>
      </c>
      <c r="J627" s="18" t="n">
        <v>1</v>
      </c>
      <c r="K627" s="14" t="n">
        <v>2.3</v>
      </c>
      <c r="L627" s="29"/>
      <c r="M627" s="14" t="n">
        <v>2.7</v>
      </c>
      <c r="N627" s="14" t="n">
        <v>2.8</v>
      </c>
      <c r="O627" s="32" t="n">
        <v>-0.4</v>
      </c>
      <c r="P627" s="14" t="n">
        <v>1.9</v>
      </c>
      <c r="Q627" s="25" t="n">
        <v>1</v>
      </c>
      <c r="R627" s="25" t="n">
        <v>1</v>
      </c>
      <c r="S627" s="25" t="n">
        <v>1</v>
      </c>
      <c r="T627" s="25" t="n">
        <v>1</v>
      </c>
      <c r="U627" s="29"/>
      <c r="V627" s="29"/>
      <c r="W627" s="29"/>
      <c r="X627" s="29"/>
      <c r="Y627" s="29"/>
      <c r="Z627" s="25" t="s">
        <v>3836</v>
      </c>
      <c r="AA627" s="12" t="s">
        <v>3887</v>
      </c>
      <c r="AB627" s="25" t="s">
        <v>86</v>
      </c>
      <c r="AC627" s="22" t="s">
        <v>713</v>
      </c>
    </row>
    <row r="628" customFormat="false" ht="19.5" hidden="false" customHeight="true" outlineLevel="0" collapsed="false">
      <c r="A628" s="27" t="s">
        <v>4459</v>
      </c>
      <c r="B628" s="27" t="s">
        <v>586</v>
      </c>
      <c r="C628" s="9" t="s">
        <v>587</v>
      </c>
      <c r="D628" s="9" t="s">
        <v>588</v>
      </c>
      <c r="E628" s="9" t="s">
        <v>589</v>
      </c>
      <c r="F628" s="27" t="s">
        <v>1162</v>
      </c>
      <c r="G628" s="27" t="n">
        <v>2025</v>
      </c>
      <c r="H628" s="27" t="n">
        <v>5</v>
      </c>
      <c r="I628" s="27" t="s">
        <v>3879</v>
      </c>
      <c r="J628" s="20" t="n">
        <v>1</v>
      </c>
      <c r="K628" s="11" t="n">
        <v>1.9</v>
      </c>
      <c r="L628" s="30"/>
      <c r="M628" s="11" t="n">
        <v>2.3</v>
      </c>
      <c r="N628" s="11" t="n">
        <v>2.7</v>
      </c>
      <c r="O628" s="31" t="n">
        <v>-0.4</v>
      </c>
      <c r="P628" s="30"/>
      <c r="Q628" s="27" t="n">
        <v>1</v>
      </c>
      <c r="R628" s="27" t="n">
        <v>1</v>
      </c>
      <c r="S628" s="27" t="n">
        <v>1</v>
      </c>
      <c r="T628" s="27" t="n">
        <v>0</v>
      </c>
      <c r="U628" s="30"/>
      <c r="V628" s="30"/>
      <c r="W628" s="30"/>
      <c r="X628" s="30"/>
      <c r="Y628" s="30"/>
      <c r="Z628" s="27" t="s">
        <v>3836</v>
      </c>
      <c r="AA628" s="9" t="s">
        <v>3887</v>
      </c>
      <c r="AB628" s="27" t="s">
        <v>86</v>
      </c>
      <c r="AC628" s="23" t="s">
        <v>729</v>
      </c>
    </row>
    <row r="629" customFormat="false" ht="19.5" hidden="false" customHeight="true" outlineLevel="0" collapsed="false">
      <c r="A629" s="25" t="s">
        <v>4460</v>
      </c>
      <c r="B629" s="25" t="s">
        <v>586</v>
      </c>
      <c r="C629" s="12" t="s">
        <v>587</v>
      </c>
      <c r="D629" s="12" t="s">
        <v>588</v>
      </c>
      <c r="E629" s="12" t="s">
        <v>589</v>
      </c>
      <c r="F629" s="25" t="s">
        <v>1177</v>
      </c>
      <c r="G629" s="25" t="n">
        <v>2026</v>
      </c>
      <c r="H629" s="25" t="n">
        <v>2</v>
      </c>
      <c r="I629" s="25" t="s">
        <v>3879</v>
      </c>
      <c r="J629" s="18" t="n">
        <v>1</v>
      </c>
      <c r="K629" s="14" t="n">
        <v>0.2</v>
      </c>
      <c r="L629" s="29"/>
      <c r="M629" s="29"/>
      <c r="N629" s="29"/>
      <c r="O629" s="29"/>
      <c r="P629" s="14" t="n">
        <v>0.2</v>
      </c>
      <c r="Q629" s="25" t="n">
        <v>0</v>
      </c>
      <c r="R629" s="25" t="n">
        <v>0</v>
      </c>
      <c r="S629" s="25" t="n">
        <v>0</v>
      </c>
      <c r="T629" s="25" t="n">
        <v>0</v>
      </c>
      <c r="U629" s="29"/>
      <c r="V629" s="29"/>
      <c r="W629" s="29"/>
      <c r="X629" s="14" t="n">
        <v>0.53</v>
      </c>
      <c r="Y629" s="29"/>
      <c r="Z629" s="25" t="s">
        <v>3836</v>
      </c>
      <c r="AA629" s="12" t="s">
        <v>3894</v>
      </c>
      <c r="AB629" s="25" t="s">
        <v>86</v>
      </c>
      <c r="AC629" s="22" t="s">
        <v>197</v>
      </c>
    </row>
    <row r="630" customFormat="false" ht="19.5" hidden="false" customHeight="true" outlineLevel="0" collapsed="false">
      <c r="A630" s="27" t="s">
        <v>4461</v>
      </c>
      <c r="B630" s="27" t="s">
        <v>586</v>
      </c>
      <c r="C630" s="9" t="s">
        <v>587</v>
      </c>
      <c r="D630" s="9" t="s">
        <v>588</v>
      </c>
      <c r="E630" s="9" t="s">
        <v>589</v>
      </c>
      <c r="F630" s="27" t="s">
        <v>1194</v>
      </c>
      <c r="G630" s="27" t="n">
        <v>2026</v>
      </c>
      <c r="H630" s="27" t="n">
        <v>2</v>
      </c>
      <c r="I630" s="27" t="s">
        <v>3879</v>
      </c>
      <c r="J630" s="20" t="n">
        <v>1</v>
      </c>
      <c r="K630" s="11" t="n">
        <v>0.2</v>
      </c>
      <c r="L630" s="30"/>
      <c r="M630" s="11" t="n">
        <v>0.2</v>
      </c>
      <c r="N630" s="30"/>
      <c r="O630" s="31" t="n">
        <v>0</v>
      </c>
      <c r="P630" s="30"/>
      <c r="Q630" s="27" t="n">
        <v>0</v>
      </c>
      <c r="R630" s="27" t="n">
        <v>0</v>
      </c>
      <c r="S630" s="27" t="n">
        <v>0</v>
      </c>
      <c r="T630" s="27" t="n">
        <v>0</v>
      </c>
      <c r="U630" s="11" t="n">
        <v>1.55</v>
      </c>
      <c r="V630" s="30"/>
      <c r="W630" s="30"/>
      <c r="X630" s="11" t="n">
        <v>0.59</v>
      </c>
      <c r="Y630" s="30"/>
      <c r="Z630" s="27" t="s">
        <v>2931</v>
      </c>
      <c r="AA630" s="9" t="s">
        <v>3894</v>
      </c>
      <c r="AB630" s="27" t="s">
        <v>86</v>
      </c>
      <c r="AC630" s="23" t="s">
        <v>197</v>
      </c>
    </row>
    <row r="631" customFormat="false" ht="19.5" hidden="false" customHeight="true" outlineLevel="0" collapsed="false">
      <c r="A631" s="25" t="s">
        <v>4462</v>
      </c>
      <c r="B631" s="25" t="s">
        <v>586</v>
      </c>
      <c r="C631" s="12" t="s">
        <v>587</v>
      </c>
      <c r="D631" s="12" t="s">
        <v>588</v>
      </c>
      <c r="E631" s="12" t="s">
        <v>589</v>
      </c>
      <c r="F631" s="25" t="s">
        <v>1231</v>
      </c>
      <c r="G631" s="25" t="n">
        <v>2026</v>
      </c>
      <c r="H631" s="25" t="n">
        <v>5</v>
      </c>
      <c r="I631" s="25" t="s">
        <v>3879</v>
      </c>
      <c r="J631" s="18" t="n">
        <v>1</v>
      </c>
      <c r="K631" s="14" t="n">
        <v>0.9</v>
      </c>
      <c r="L631" s="29"/>
      <c r="M631" s="29"/>
      <c r="N631" s="29"/>
      <c r="O631" s="29"/>
      <c r="P631" s="14" t="n">
        <v>0.6</v>
      </c>
      <c r="Q631" s="25" t="n">
        <v>1</v>
      </c>
      <c r="R631" s="25" t="n">
        <v>1</v>
      </c>
      <c r="S631" s="25" t="n">
        <v>0</v>
      </c>
      <c r="T631" s="25" t="n">
        <v>0</v>
      </c>
      <c r="U631" s="29"/>
      <c r="V631" s="29"/>
      <c r="W631" s="29"/>
      <c r="X631" s="14" t="n">
        <v>0.425</v>
      </c>
      <c r="Y631" s="29"/>
      <c r="Z631" s="25" t="s">
        <v>2939</v>
      </c>
      <c r="AA631" s="12" t="s">
        <v>3894</v>
      </c>
      <c r="AB631" s="25" t="s">
        <v>86</v>
      </c>
      <c r="AC631" s="22" t="s">
        <v>664</v>
      </c>
    </row>
    <row r="632" customFormat="false" ht="19.5" hidden="false" customHeight="true" outlineLevel="0" collapsed="false">
      <c r="A632" s="27" t="s">
        <v>4463</v>
      </c>
      <c r="B632" s="27" t="s">
        <v>586</v>
      </c>
      <c r="C632" s="9" t="s">
        <v>587</v>
      </c>
      <c r="D632" s="9" t="s">
        <v>588</v>
      </c>
      <c r="E632" s="9" t="s">
        <v>589</v>
      </c>
      <c r="F632" s="27" t="s">
        <v>1246</v>
      </c>
      <c r="G632" s="27" t="n">
        <v>2026</v>
      </c>
      <c r="H632" s="27" t="n">
        <v>5</v>
      </c>
      <c r="I632" s="27" t="s">
        <v>3879</v>
      </c>
      <c r="J632" s="20" t="n">
        <v>1</v>
      </c>
      <c r="K632" s="11" t="n">
        <v>0.6</v>
      </c>
      <c r="L632" s="30"/>
      <c r="M632" s="11" t="n">
        <v>0.9</v>
      </c>
      <c r="N632" s="30"/>
      <c r="O632" s="31" t="n">
        <v>-0.3</v>
      </c>
      <c r="P632" s="11" t="n">
        <v>0.5</v>
      </c>
      <c r="Q632" s="27" t="n">
        <v>1</v>
      </c>
      <c r="R632" s="27" t="n">
        <v>0</v>
      </c>
      <c r="S632" s="27" t="n">
        <v>0</v>
      </c>
      <c r="T632" s="27" t="n">
        <v>0</v>
      </c>
      <c r="U632" s="30"/>
      <c r="V632" s="30"/>
      <c r="W632" s="30"/>
      <c r="X632" s="11" t="n">
        <v>0.51</v>
      </c>
      <c r="Y632" s="30"/>
      <c r="Z632" s="27" t="s">
        <v>2939</v>
      </c>
      <c r="AA632" s="9" t="s">
        <v>3894</v>
      </c>
      <c r="AB632" s="27" t="s">
        <v>86</v>
      </c>
      <c r="AC632" s="23" t="s">
        <v>664</v>
      </c>
    </row>
    <row r="633" customFormat="false" ht="19.5" hidden="false" customHeight="true" outlineLevel="0" collapsed="false">
      <c r="A633" s="25" t="s">
        <v>4464</v>
      </c>
      <c r="B633" s="25" t="s">
        <v>586</v>
      </c>
      <c r="C633" s="12" t="s">
        <v>587</v>
      </c>
      <c r="D633" s="12" t="s">
        <v>588</v>
      </c>
      <c r="E633" s="12" t="s">
        <v>589</v>
      </c>
      <c r="F633" s="25" t="s">
        <v>1261</v>
      </c>
      <c r="G633" s="25" t="n">
        <v>2026</v>
      </c>
      <c r="H633" s="25" t="n">
        <v>5</v>
      </c>
      <c r="I633" s="25" t="s">
        <v>3879</v>
      </c>
      <c r="J633" s="18" t="n">
        <v>1</v>
      </c>
      <c r="K633" s="14" t="n">
        <v>0.5</v>
      </c>
      <c r="L633" s="29"/>
      <c r="M633" s="14" t="n">
        <v>0.6</v>
      </c>
      <c r="N633" s="14" t="n">
        <v>0.9</v>
      </c>
      <c r="O633" s="32" t="n">
        <v>-0.1</v>
      </c>
      <c r="P633" s="14" t="n">
        <v>0.4</v>
      </c>
      <c r="Q633" s="25" t="n">
        <v>0</v>
      </c>
      <c r="R633" s="25" t="n">
        <v>0</v>
      </c>
      <c r="S633" s="25" t="n">
        <v>0</v>
      </c>
      <c r="T633" s="25" t="n">
        <v>0</v>
      </c>
      <c r="U633" s="29"/>
      <c r="V633" s="29"/>
      <c r="W633" s="29"/>
      <c r="X633" s="14" t="n">
        <v>0.51</v>
      </c>
      <c r="Y633" s="29"/>
      <c r="Z633" s="25" t="s">
        <v>2939</v>
      </c>
      <c r="AA633" s="12" t="s">
        <v>3894</v>
      </c>
      <c r="AB633" s="25" t="s">
        <v>86</v>
      </c>
      <c r="AC633" s="22" t="s">
        <v>681</v>
      </c>
    </row>
    <row r="634" customFormat="false" ht="19.5" hidden="false" customHeight="true" outlineLevel="0" collapsed="false">
      <c r="A634" s="27" t="s">
        <v>4465</v>
      </c>
      <c r="B634" s="27" t="s">
        <v>586</v>
      </c>
      <c r="C634" s="9" t="s">
        <v>587</v>
      </c>
      <c r="D634" s="9" t="s">
        <v>588</v>
      </c>
      <c r="E634" s="9" t="s">
        <v>589</v>
      </c>
      <c r="F634" s="27" t="s">
        <v>1276</v>
      </c>
      <c r="G634" s="27" t="n">
        <v>2026</v>
      </c>
      <c r="H634" s="27" t="n">
        <v>5</v>
      </c>
      <c r="I634" s="27" t="s">
        <v>3879</v>
      </c>
      <c r="J634" s="20" t="n">
        <v>1</v>
      </c>
      <c r="K634" s="11" t="n">
        <v>0.4</v>
      </c>
      <c r="L634" s="30"/>
      <c r="M634" s="11" t="n">
        <v>0.5</v>
      </c>
      <c r="N634" s="11" t="n">
        <v>0.6</v>
      </c>
      <c r="O634" s="31" t="n">
        <v>-0.1</v>
      </c>
      <c r="P634" s="11" t="n">
        <v>0.2</v>
      </c>
      <c r="Q634" s="27" t="n">
        <v>0</v>
      </c>
      <c r="R634" s="27" t="n">
        <v>0</v>
      </c>
      <c r="S634" s="27" t="n">
        <v>0</v>
      </c>
      <c r="T634" s="27" t="n">
        <v>0</v>
      </c>
      <c r="U634" s="30"/>
      <c r="V634" s="30"/>
      <c r="W634" s="30"/>
      <c r="X634" s="11" t="n">
        <v>0.47</v>
      </c>
      <c r="Y634" s="30"/>
      <c r="Z634" s="27" t="s">
        <v>2939</v>
      </c>
      <c r="AA634" s="9" t="s">
        <v>3894</v>
      </c>
      <c r="AB634" s="27" t="s">
        <v>86</v>
      </c>
      <c r="AC634" s="23" t="s">
        <v>697</v>
      </c>
    </row>
    <row r="635" customFormat="false" ht="19.5" hidden="false" customHeight="true" outlineLevel="0" collapsed="false">
      <c r="A635" s="25" t="s">
        <v>4466</v>
      </c>
      <c r="B635" s="25" t="s">
        <v>586</v>
      </c>
      <c r="C635" s="12" t="s">
        <v>587</v>
      </c>
      <c r="D635" s="12" t="s">
        <v>588</v>
      </c>
      <c r="E635" s="12" t="s">
        <v>589</v>
      </c>
      <c r="F635" s="25" t="s">
        <v>1291</v>
      </c>
      <c r="G635" s="25" t="n">
        <v>2026</v>
      </c>
      <c r="H635" s="25" t="n">
        <v>5</v>
      </c>
      <c r="I635" s="25" t="s">
        <v>3879</v>
      </c>
      <c r="J635" s="18" t="n">
        <v>1</v>
      </c>
      <c r="K635" s="14" t="n">
        <v>0.2</v>
      </c>
      <c r="L635" s="29"/>
      <c r="M635" s="14" t="n">
        <v>0.4</v>
      </c>
      <c r="N635" s="14" t="n">
        <v>0.5</v>
      </c>
      <c r="O635" s="32" t="n">
        <v>-0.2</v>
      </c>
      <c r="P635" s="14" t="n">
        <v>0.2</v>
      </c>
      <c r="Q635" s="25" t="n">
        <v>0</v>
      </c>
      <c r="R635" s="25" t="n">
        <v>0</v>
      </c>
      <c r="S635" s="25" t="n">
        <v>0</v>
      </c>
      <c r="T635" s="25" t="n">
        <v>0</v>
      </c>
      <c r="U635" s="29"/>
      <c r="V635" s="29"/>
      <c r="W635" s="29"/>
      <c r="X635" s="14" t="n">
        <v>0.55</v>
      </c>
      <c r="Y635" s="29"/>
      <c r="Z635" s="25" t="s">
        <v>2939</v>
      </c>
      <c r="AA635" s="12" t="s">
        <v>3894</v>
      </c>
      <c r="AB635" s="25" t="s">
        <v>86</v>
      </c>
      <c r="AC635" s="22" t="s">
        <v>713</v>
      </c>
    </row>
    <row r="636" customFormat="false" ht="19.5" hidden="false" customHeight="true" outlineLevel="0" collapsed="false">
      <c r="A636" s="27" t="s">
        <v>4467</v>
      </c>
      <c r="B636" s="27" t="s">
        <v>586</v>
      </c>
      <c r="C636" s="9" t="s">
        <v>587</v>
      </c>
      <c r="D636" s="9" t="s">
        <v>588</v>
      </c>
      <c r="E636" s="9" t="s">
        <v>589</v>
      </c>
      <c r="F636" s="27" t="s">
        <v>1306</v>
      </c>
      <c r="G636" s="27" t="n">
        <v>2026</v>
      </c>
      <c r="H636" s="27" t="n">
        <v>5</v>
      </c>
      <c r="I636" s="27" t="s">
        <v>3879</v>
      </c>
      <c r="J636" s="20" t="n">
        <v>1</v>
      </c>
      <c r="K636" s="11" t="n">
        <v>0.2</v>
      </c>
      <c r="L636" s="30"/>
      <c r="M636" s="11" t="n">
        <v>0.2</v>
      </c>
      <c r="N636" s="11" t="n">
        <v>0.4</v>
      </c>
      <c r="O636" s="31" t="n">
        <v>0</v>
      </c>
      <c r="P636" s="30"/>
      <c r="Q636" s="27" t="n">
        <v>0</v>
      </c>
      <c r="R636" s="27" t="n">
        <v>0</v>
      </c>
      <c r="S636" s="27" t="n">
        <v>0</v>
      </c>
      <c r="T636" s="27" t="n">
        <v>0</v>
      </c>
      <c r="U636" s="30"/>
      <c r="V636" s="30"/>
      <c r="W636" s="30"/>
      <c r="X636" s="11" t="n">
        <v>0.57</v>
      </c>
      <c r="Y636" s="30"/>
      <c r="Z636" s="27" t="s">
        <v>2939</v>
      </c>
      <c r="AA636" s="9" t="s">
        <v>3894</v>
      </c>
      <c r="AB636" s="27" t="s">
        <v>86</v>
      </c>
      <c r="AC636" s="23" t="s">
        <v>729</v>
      </c>
    </row>
    <row r="637" customFormat="false" ht="19.5" hidden="false" customHeight="true" outlineLevel="0" collapsed="false">
      <c r="A637" s="25" t="s">
        <v>4468</v>
      </c>
      <c r="B637" s="25" t="s">
        <v>605</v>
      </c>
      <c r="C637" s="12" t="s">
        <v>606</v>
      </c>
      <c r="D637" s="12" t="s">
        <v>607</v>
      </c>
      <c r="E637" s="12" t="s">
        <v>608</v>
      </c>
      <c r="F637" s="25" t="s">
        <v>867</v>
      </c>
      <c r="G637" s="25" t="n">
        <v>2024</v>
      </c>
      <c r="H637" s="25" t="n">
        <v>3</v>
      </c>
      <c r="I637" s="25" t="s">
        <v>3879</v>
      </c>
      <c r="J637" s="18" t="n">
        <v>1</v>
      </c>
      <c r="K637" s="14" t="n">
        <v>4.1</v>
      </c>
      <c r="L637" s="29"/>
      <c r="M637" s="29"/>
      <c r="N637" s="29"/>
      <c r="O637" s="29"/>
      <c r="P637" s="29"/>
      <c r="Q637" s="25" t="n">
        <v>1</v>
      </c>
      <c r="R637" s="25" t="n">
        <v>1</v>
      </c>
      <c r="S637" s="25" t="n">
        <v>1</v>
      </c>
      <c r="T637" s="25" t="n">
        <v>1</v>
      </c>
      <c r="U637" s="29"/>
      <c r="V637" s="29"/>
      <c r="W637" s="29"/>
      <c r="X637" s="29"/>
      <c r="Y637" s="29"/>
      <c r="Z637" s="25" t="s">
        <v>3836</v>
      </c>
      <c r="AA637" s="12" t="s">
        <v>4140</v>
      </c>
      <c r="AB637" s="25" t="s">
        <v>86</v>
      </c>
      <c r="AC637" s="22" t="s">
        <v>869</v>
      </c>
    </row>
    <row r="638" customFormat="false" ht="19.5" hidden="false" customHeight="true" outlineLevel="0" collapsed="false">
      <c r="A638" s="27" t="s">
        <v>4469</v>
      </c>
      <c r="B638" s="27" t="s">
        <v>605</v>
      </c>
      <c r="C638" s="9" t="s">
        <v>606</v>
      </c>
      <c r="D638" s="9" t="s">
        <v>607</v>
      </c>
      <c r="E638" s="9" t="s">
        <v>608</v>
      </c>
      <c r="F638" s="27" t="s">
        <v>886</v>
      </c>
      <c r="G638" s="27" t="n">
        <v>2024</v>
      </c>
      <c r="H638" s="27" t="n">
        <v>3</v>
      </c>
      <c r="I638" s="27" t="s">
        <v>3879</v>
      </c>
      <c r="J638" s="20" t="n">
        <v>1</v>
      </c>
      <c r="K638" s="11" t="n">
        <v>4.4</v>
      </c>
      <c r="L638" s="30"/>
      <c r="M638" s="11" t="n">
        <v>4.1</v>
      </c>
      <c r="N638" s="30"/>
      <c r="O638" s="31" t="n">
        <v>0.3</v>
      </c>
      <c r="P638" s="30"/>
      <c r="Q638" s="27" t="n">
        <v>1</v>
      </c>
      <c r="R638" s="27" t="n">
        <v>1</v>
      </c>
      <c r="S638" s="27" t="n">
        <v>1</v>
      </c>
      <c r="T638" s="27" t="n">
        <v>1</v>
      </c>
      <c r="U638" s="30"/>
      <c r="V638" s="30"/>
      <c r="W638" s="30"/>
      <c r="X638" s="30"/>
      <c r="Y638" s="30"/>
      <c r="Z638" s="27" t="s">
        <v>3836</v>
      </c>
      <c r="AA638" s="9" t="s">
        <v>4140</v>
      </c>
      <c r="AB638" s="27" t="s">
        <v>86</v>
      </c>
      <c r="AC638" s="23" t="s">
        <v>887</v>
      </c>
    </row>
    <row r="639" customFormat="false" ht="19.5" hidden="false" customHeight="true" outlineLevel="0" collapsed="false">
      <c r="A639" s="25" t="s">
        <v>4470</v>
      </c>
      <c r="B639" s="25" t="s">
        <v>605</v>
      </c>
      <c r="C639" s="12" t="s">
        <v>606</v>
      </c>
      <c r="D639" s="12" t="s">
        <v>607</v>
      </c>
      <c r="E639" s="12" t="s">
        <v>608</v>
      </c>
      <c r="F639" s="25" t="s">
        <v>1001</v>
      </c>
      <c r="G639" s="25" t="n">
        <v>2025</v>
      </c>
      <c r="H639" s="25" t="n">
        <v>2</v>
      </c>
      <c r="I639" s="25" t="s">
        <v>3879</v>
      </c>
      <c r="J639" s="18" t="n">
        <v>1</v>
      </c>
      <c r="K639" s="14" t="n">
        <v>0.3</v>
      </c>
      <c r="L639" s="29"/>
      <c r="M639" s="29"/>
      <c r="N639" s="29"/>
      <c r="O639" s="29"/>
      <c r="P639" s="29"/>
      <c r="Q639" s="25" t="n">
        <v>0</v>
      </c>
      <c r="R639" s="25" t="n">
        <v>0</v>
      </c>
      <c r="S639" s="25" t="n">
        <v>0</v>
      </c>
      <c r="T639" s="25" t="n">
        <v>0</v>
      </c>
      <c r="U639" s="29"/>
      <c r="V639" s="29"/>
      <c r="W639" s="29"/>
      <c r="X639" s="29"/>
      <c r="Y639" s="29"/>
      <c r="Z639" s="25" t="s">
        <v>3836</v>
      </c>
      <c r="AA639" s="12" t="s">
        <v>3887</v>
      </c>
      <c r="AB639" s="25" t="s">
        <v>86</v>
      </c>
      <c r="AC639" s="22" t="s">
        <v>869</v>
      </c>
    </row>
    <row r="640" customFormat="false" ht="19.5" hidden="false" customHeight="true" outlineLevel="0" collapsed="false">
      <c r="A640" s="27" t="s">
        <v>4471</v>
      </c>
      <c r="B640" s="27" t="s">
        <v>605</v>
      </c>
      <c r="C640" s="9" t="s">
        <v>606</v>
      </c>
      <c r="D640" s="9" t="s">
        <v>607</v>
      </c>
      <c r="E640" s="9" t="s">
        <v>608</v>
      </c>
      <c r="F640" s="27" t="s">
        <v>1024</v>
      </c>
      <c r="G640" s="27" t="n">
        <v>2025</v>
      </c>
      <c r="H640" s="27" t="n">
        <v>3</v>
      </c>
      <c r="I640" s="27" t="s">
        <v>3879</v>
      </c>
      <c r="J640" s="20" t="n">
        <v>1</v>
      </c>
      <c r="K640" s="11" t="n">
        <v>1.8</v>
      </c>
      <c r="L640" s="30"/>
      <c r="M640" s="11" t="n">
        <v>0.3</v>
      </c>
      <c r="N640" s="30"/>
      <c r="O640" s="31" t="n">
        <v>1.5</v>
      </c>
      <c r="P640" s="30"/>
      <c r="Q640" s="27" t="n">
        <v>1</v>
      </c>
      <c r="R640" s="27" t="n">
        <v>1</v>
      </c>
      <c r="S640" s="27" t="n">
        <v>1</v>
      </c>
      <c r="T640" s="27" t="n">
        <v>0</v>
      </c>
      <c r="U640" s="30"/>
      <c r="V640" s="30"/>
      <c r="W640" s="30"/>
      <c r="X640" s="30"/>
      <c r="Y640" s="30"/>
      <c r="Z640" s="27" t="s">
        <v>3836</v>
      </c>
      <c r="AA640" s="9" t="s">
        <v>3887</v>
      </c>
      <c r="AB640" s="27" t="s">
        <v>86</v>
      </c>
      <c r="AC640" s="23" t="s">
        <v>869</v>
      </c>
    </row>
    <row r="641" customFormat="false" ht="19.5" hidden="false" customHeight="true" outlineLevel="0" collapsed="false">
      <c r="A641" s="25" t="s">
        <v>4472</v>
      </c>
      <c r="B641" s="25" t="s">
        <v>605</v>
      </c>
      <c r="C641" s="12" t="s">
        <v>606</v>
      </c>
      <c r="D641" s="12" t="s">
        <v>607</v>
      </c>
      <c r="E641" s="12" t="s">
        <v>608</v>
      </c>
      <c r="F641" s="25" t="s">
        <v>1031</v>
      </c>
      <c r="G641" s="25" t="n">
        <v>2025</v>
      </c>
      <c r="H641" s="25" t="n">
        <v>3</v>
      </c>
      <c r="I641" s="25" t="s">
        <v>3879</v>
      </c>
      <c r="J641" s="18" t="n">
        <v>1</v>
      </c>
      <c r="K641" s="14" t="n">
        <v>2</v>
      </c>
      <c r="L641" s="29"/>
      <c r="M641" s="14" t="n">
        <v>1.8</v>
      </c>
      <c r="N641" s="29"/>
      <c r="O641" s="32" t="n">
        <v>0.2</v>
      </c>
      <c r="P641" s="29"/>
      <c r="Q641" s="25" t="n">
        <v>1</v>
      </c>
      <c r="R641" s="25" t="n">
        <v>1</v>
      </c>
      <c r="S641" s="25" t="n">
        <v>1</v>
      </c>
      <c r="T641" s="25" t="n">
        <v>0</v>
      </c>
      <c r="U641" s="29"/>
      <c r="V641" s="29"/>
      <c r="W641" s="29"/>
      <c r="X641" s="29"/>
      <c r="Y641" s="29"/>
      <c r="Z641" s="25" t="s">
        <v>2891</v>
      </c>
      <c r="AA641" s="12" t="s">
        <v>3887</v>
      </c>
      <c r="AB641" s="25" t="s">
        <v>86</v>
      </c>
      <c r="AC641" s="22" t="s">
        <v>887</v>
      </c>
    </row>
    <row r="642" customFormat="false" ht="19.5" hidden="false" customHeight="true" outlineLevel="0" collapsed="false">
      <c r="A642" s="27" t="s">
        <v>4473</v>
      </c>
      <c r="B642" s="27" t="s">
        <v>605</v>
      </c>
      <c r="C642" s="9" t="s">
        <v>606</v>
      </c>
      <c r="D642" s="9" t="s">
        <v>607</v>
      </c>
      <c r="E642" s="9" t="s">
        <v>608</v>
      </c>
      <c r="F642" s="27" t="s">
        <v>1094</v>
      </c>
      <c r="G642" s="27" t="n">
        <v>2025</v>
      </c>
      <c r="H642" s="27" t="n">
        <v>4</v>
      </c>
      <c r="I642" s="27" t="s">
        <v>3879</v>
      </c>
      <c r="J642" s="20" t="n">
        <v>1</v>
      </c>
      <c r="K642" s="11" t="n">
        <v>4.4</v>
      </c>
      <c r="L642" s="30"/>
      <c r="M642" s="30"/>
      <c r="N642" s="30"/>
      <c r="O642" s="30"/>
      <c r="P642" s="30"/>
      <c r="Q642" s="27" t="n">
        <v>1</v>
      </c>
      <c r="R642" s="27" t="n">
        <v>1</v>
      </c>
      <c r="S642" s="27" t="n">
        <v>1</v>
      </c>
      <c r="T642" s="27" t="n">
        <v>1</v>
      </c>
      <c r="U642" s="30"/>
      <c r="V642" s="30"/>
      <c r="W642" s="30"/>
      <c r="X642" s="30"/>
      <c r="Y642" s="30"/>
      <c r="Z642" s="27" t="s">
        <v>3836</v>
      </c>
      <c r="AA642" s="9" t="s">
        <v>3887</v>
      </c>
      <c r="AB642" s="27" t="s">
        <v>86</v>
      </c>
      <c r="AC642" s="23" t="s">
        <v>1095</v>
      </c>
    </row>
    <row r="643" customFormat="false" ht="19.5" hidden="false" customHeight="true" outlineLevel="0" collapsed="false">
      <c r="A643" s="25" t="s">
        <v>4474</v>
      </c>
      <c r="B643" s="25" t="s">
        <v>605</v>
      </c>
      <c r="C643" s="12" t="s">
        <v>606</v>
      </c>
      <c r="D643" s="12" t="s">
        <v>607</v>
      </c>
      <c r="E643" s="12" t="s">
        <v>608</v>
      </c>
      <c r="F643" s="25" t="s">
        <v>1208</v>
      </c>
      <c r="G643" s="25" t="n">
        <v>2026</v>
      </c>
      <c r="H643" s="25" t="n">
        <v>4</v>
      </c>
      <c r="I643" s="25" t="s">
        <v>3879</v>
      </c>
      <c r="J643" s="18" t="n">
        <v>1</v>
      </c>
      <c r="K643" s="14" t="n">
        <v>0.3</v>
      </c>
      <c r="L643" s="29"/>
      <c r="M643" s="29"/>
      <c r="N643" s="29"/>
      <c r="O643" s="29"/>
      <c r="P643" s="29"/>
      <c r="Q643" s="25" t="n">
        <v>0</v>
      </c>
      <c r="R643" s="25" t="n">
        <v>0</v>
      </c>
      <c r="S643" s="25" t="n">
        <v>0</v>
      </c>
      <c r="T643" s="25" t="n">
        <v>0</v>
      </c>
      <c r="U643" s="29"/>
      <c r="V643" s="29"/>
      <c r="W643" s="29"/>
      <c r="X643" s="29"/>
      <c r="Y643" s="29"/>
      <c r="Z643" s="25" t="s">
        <v>3836</v>
      </c>
      <c r="AA643" s="12" t="s">
        <v>3894</v>
      </c>
      <c r="AB643" s="25" t="s">
        <v>86</v>
      </c>
      <c r="AC643" s="22" t="s">
        <v>1095</v>
      </c>
    </row>
    <row r="644" customFormat="false" ht="19.5" hidden="false" customHeight="true" outlineLevel="0" collapsed="false">
      <c r="A644" s="27" t="s">
        <v>4475</v>
      </c>
      <c r="B644" s="27" t="s">
        <v>605</v>
      </c>
      <c r="C644" s="9" t="s">
        <v>606</v>
      </c>
      <c r="D644" s="9" t="s">
        <v>607</v>
      </c>
      <c r="E644" s="9" t="s">
        <v>608</v>
      </c>
      <c r="F644" s="27" t="s">
        <v>1215</v>
      </c>
      <c r="G644" s="27" t="n">
        <v>2026</v>
      </c>
      <c r="H644" s="27" t="n">
        <v>4</v>
      </c>
      <c r="I644" s="27" t="s">
        <v>3879</v>
      </c>
      <c r="J644" s="20" t="n">
        <v>1</v>
      </c>
      <c r="K644" s="11" t="n">
        <v>0.1</v>
      </c>
      <c r="L644" s="30"/>
      <c r="M644" s="11" t="n">
        <v>0.3</v>
      </c>
      <c r="N644" s="30"/>
      <c r="O644" s="31" t="n">
        <v>-0.2</v>
      </c>
      <c r="P644" s="30"/>
      <c r="Q644" s="27" t="n">
        <v>0</v>
      </c>
      <c r="R644" s="27" t="n">
        <v>0</v>
      </c>
      <c r="S644" s="27" t="n">
        <v>0</v>
      </c>
      <c r="T644" s="27" t="n">
        <v>0</v>
      </c>
      <c r="U644" s="30"/>
      <c r="V644" s="30"/>
      <c r="W644" s="30"/>
      <c r="X644" s="30"/>
      <c r="Y644" s="30"/>
      <c r="Z644" s="27" t="s">
        <v>3836</v>
      </c>
      <c r="AA644" s="9" t="s">
        <v>3894</v>
      </c>
      <c r="AB644" s="27" t="s">
        <v>86</v>
      </c>
      <c r="AC644" s="23" t="s">
        <v>1095</v>
      </c>
    </row>
  </sheetData>
  <mergeCells count="2">
    <mergeCell ref="A1:AC1"/>
    <mergeCell ref="A2:AC2"/>
  </mergeCells>
  <hyperlinks>
    <hyperlink ref="AC5" r:id="rId1" display="http://thuyloitiengiang.vn/web/thuyloitiengiang/chi-tiet-tin-tuc?id=464847"/>
    <hyperlink ref="AC6" r:id="rId2" display="http://thuyloitiengiang.vn/web/thuyloitiengiang/chi-tiet-tin-tuc?id=464851"/>
    <hyperlink ref="AC7" r:id="rId3" display="http://thuyloitiengiang.vn/web/thuyloitiengiang/chi-tiet-tin-tuc?id=464854"/>
    <hyperlink ref="AC8" r:id="rId4" display="http://thuyloitiengiang.vn/ja/web/thuyloitiengiang/chi-tiet-tin-tuc?id=520619"/>
    <hyperlink ref="AC9" r:id="rId5" display="http://thuyloitiengiang.vn/ja/web/thuyloitiengiang/chi-tiet-tin-tuc?id=520621"/>
    <hyperlink ref="AC10" r:id="rId6" display="http://thuyloitiengiang.vn/ja/web/thuyloitiengiang/chi-tiet-tin-tuc?id=520623"/>
    <hyperlink ref="AC11" r:id="rId7" display="http://thuyloitiengiang.vn/en/web/thuyloitiengiang/chi-tiet-tin-tuc?id=520630"/>
    <hyperlink ref="AC12" r:id="rId8" display="http://thuyloitiengiang.vn/en/web/thuyloitiengiang/chi-tiet-tin-tuc?id=522066"/>
    <hyperlink ref="AC13" r:id="rId9" display="http://thuyloitiengiang.vn/web/thuyloitiengiang/chi-tiet-tin-tuc?id=464847"/>
    <hyperlink ref="AC14" r:id="rId10" display="http://thuyloitiengiang.vn/web/thuyloitiengiang/chi-tiet-tin-tuc?id=464851"/>
    <hyperlink ref="AC15" r:id="rId11" display="http://thuyloitiengiang.vn/web/thuyloitiengiang/chi-tiet-tin-tuc?id=464854"/>
    <hyperlink ref="AC16" r:id="rId12" display="http://thuyloitiengiang.vn/ja/web/thuyloitiengiang/chi-tiet-tin-tuc?id=520619"/>
    <hyperlink ref="AC17" r:id="rId13" display="http://thuyloitiengiang.vn/ja/web/thuyloitiengiang/chi-tiet-tin-tuc?id=520621"/>
    <hyperlink ref="AC18" r:id="rId14" display="http://thuyloitiengiang.vn/ja/web/thuyloitiengiang/chi-tiet-tin-tuc?id=520623"/>
    <hyperlink ref="AC19" r:id="rId15" display="http://thuyloitiengiang.vn/en/web/thuyloitiengiang/chi-tiet-tin-tuc?id=520630"/>
    <hyperlink ref="AC20" r:id="rId16" display="http://thuyloitiengiang.vn/en/web/thuyloitiengiang/chi-tiet-tin-tuc?id=522066"/>
    <hyperlink ref="AC21" r:id="rId17" display="http://thuyloitiengiang.vn/web/thuyloitiengiang/chi-tiet-tin-tuc?id=464847"/>
    <hyperlink ref="AC22" r:id="rId18" display="http://thuyloitiengiang.vn/web/thuyloitiengiang/chi-tiet-tin-tuc?id=464851"/>
    <hyperlink ref="AC23" r:id="rId19" display="http://thuyloitiengiang.vn/web/thuyloitiengiang/chi-tiet-tin-tuc?id=464854"/>
    <hyperlink ref="AC24" r:id="rId20" display="http://thuyloitiengiang.vn/ja/web/thuyloitiengiang/chi-tiet-tin-tuc?id=520619"/>
    <hyperlink ref="AC25" r:id="rId21" display="http://thuyloitiengiang.vn/ja/web/thuyloitiengiang/chi-tiet-tin-tuc?id=520621"/>
    <hyperlink ref="AC26" r:id="rId22" display="http://thuyloitiengiang.vn/ja/web/thuyloitiengiang/chi-tiet-tin-tuc?id=520623"/>
    <hyperlink ref="AC27" r:id="rId23" display="http://thuyloitiengiang.vn/en/web/thuyloitiengiang/chi-tiet-tin-tuc?id=520630"/>
    <hyperlink ref="AC28" r:id="rId24" display="http://thuyloitiengiang.vn/en/web/thuyloitiengiang/chi-tiet-tin-tuc?id=522066"/>
    <hyperlink ref="AC29" r:id="rId25" display="http://thuyloitiengiang.vn/web/thuyloitiengiang/chi-tiet-tin-tuc?id=464847"/>
    <hyperlink ref="AC30" r:id="rId26" display="http://thuyloitiengiang.vn/web/thuyloitiengiang/chi-tiet-tin-tuc?id=464851"/>
    <hyperlink ref="AC31" r:id="rId27" display="http://thuyloitiengiang.vn/web/thuyloitiengiang/chi-tiet-tin-tuc?id=464854"/>
    <hyperlink ref="AC32" r:id="rId28" display="http://thuyloitiengiang.vn/ja/web/thuyloitiengiang/chi-tiet-tin-tuc?id=520619"/>
    <hyperlink ref="AC33" r:id="rId29" display="http://thuyloitiengiang.vn/ja/web/thuyloitiengiang/chi-tiet-tin-tuc?id=520621"/>
    <hyperlink ref="AC34" r:id="rId30" display="http://thuyloitiengiang.vn/ja/web/thuyloitiengiang/chi-tiet-tin-tuc?id=520623"/>
    <hyperlink ref="AC35" r:id="rId31" display="http://thuyloitiengiang.vn/en/web/thuyloitiengiang/chi-tiet-tin-tuc?id=520630"/>
    <hyperlink ref="AC36" r:id="rId32" display="http://thuyloitiengiang.vn/en/web/thuyloitiengiang/chi-tiet-tin-tuc?id=522066"/>
    <hyperlink ref="AC37" r:id="rId33" display="http://thuyloitiengiang.vn/web/thuyloitiengiang/chi-tiet-tin-tuc?id=464847"/>
    <hyperlink ref="AC38" r:id="rId34" display="http://thuyloitiengiang.vn/web/thuyloitiengiang/chi-tiet-tin-tuc?id=464851"/>
    <hyperlink ref="AC39" r:id="rId35" display="http://thuyloitiengiang.vn/web/thuyloitiengiang/chi-tiet-tin-tuc?id=464854"/>
    <hyperlink ref="AC40" r:id="rId36" display="http://thuyloitiengiang.vn/ja/web/thuyloitiengiang/chi-tiet-tin-tuc?id=520619"/>
    <hyperlink ref="AC41" r:id="rId37" display="http://thuyloitiengiang.vn/ja/web/thuyloitiengiang/chi-tiet-tin-tuc?id=520621"/>
    <hyperlink ref="AC42" r:id="rId38" display="http://thuyloitiengiang.vn/ja/web/thuyloitiengiang/chi-tiet-tin-tuc?id=520623"/>
    <hyperlink ref="AC43" r:id="rId39" display="http://thuyloitiengiang.vn/en/web/thuyloitiengiang/chi-tiet-tin-tuc?id=520630"/>
    <hyperlink ref="AC44" r:id="rId40" display="http://thuyloitiengiang.vn/en/web/thuyloitiengiang/chi-tiet-tin-tuc?id=522066"/>
    <hyperlink ref="AC45" r:id="rId41" display="http://thuyloitiengiang.vn/web/thuyloitiengiang/chi-tiet-tin-tuc?id=464847"/>
    <hyperlink ref="AC46" r:id="rId42" display="http://thuyloitiengiang.vn/web/thuyloitiengiang/chi-tiet-tin-tuc?id=464851"/>
    <hyperlink ref="AC47" r:id="rId43" display="http://thuyloitiengiang.vn/web/thuyloitiengiang/chi-tiet-tin-tuc?id=464854"/>
    <hyperlink ref="AC48" r:id="rId44" display="http://thuyloitiengiang.vn/ja/web/thuyloitiengiang/chi-tiet-tin-tuc?id=520619"/>
    <hyperlink ref="AC49" r:id="rId45" display="http://thuyloitiengiang.vn/ja/web/thuyloitiengiang/chi-tiet-tin-tuc?id=520621"/>
    <hyperlink ref="AC50" r:id="rId46" display="http://thuyloitiengiang.vn/ja/web/thuyloitiengiang/chi-tiet-tin-tuc?id=520623"/>
    <hyperlink ref="AC51" r:id="rId47" display="http://thuyloitiengiang.vn/en/web/thuyloitiengiang/chi-tiet-tin-tuc?id=520630"/>
    <hyperlink ref="AC52" r:id="rId48" display="http://thuyloitiengiang.vn/en/web/thuyloitiengiang/chi-tiet-tin-tuc?id=522066"/>
    <hyperlink ref="AC53" r:id="rId49" display="https://phongchongthientaitiengiang.vn/?p=7360"/>
    <hyperlink ref="AC54" r:id="rId50" display="http://thuyloitiengiang.vn/web/thuyloitiengiang/chi-tiet-tin-tuc?id=455328"/>
    <hyperlink ref="AC55" r:id="rId51" display="http://thuyloitiengiang.vn/web/thuyloitiengiang/chi-tiet-tin-tuc?id=455332"/>
    <hyperlink ref="AC56" r:id="rId52" display="http://thuyloitiengiang.vn/web/thuyloitiengiang/chi-tiet-tin-tuc?id=455336"/>
    <hyperlink ref="AC57" r:id="rId53" display="http://thuyloitiengiang.vn/web/thuyloitiengiang/chi-tiet-tin-tuc?id=455412"/>
    <hyperlink ref="AC58" r:id="rId54" display="http://thuyloitiengiang.vn/web/thuyloitiengiang/chi-tiet-tin-tuc?id=455416"/>
    <hyperlink ref="AC59" r:id="rId55" display="https://phongchongthientaitiengiang.vn/?p=7360"/>
    <hyperlink ref="AC60" r:id="rId56" display="http://thuyloitiengiang.vn/web/thuyloitiengiang/chi-tiet-tin-tuc?id=455328"/>
    <hyperlink ref="AC61" r:id="rId57" display="http://thuyloitiengiang.vn/web/thuyloitiengiang/chi-tiet-tin-tuc?id=455332"/>
    <hyperlink ref="AC62" r:id="rId58" display="http://thuyloitiengiang.vn/web/thuyloitiengiang/chi-tiet-tin-tuc?id=455336"/>
    <hyperlink ref="AC63" r:id="rId59" display="http://thuyloitiengiang.vn/web/thuyloitiengiang/chi-tiet-tin-tuc?id=455412"/>
    <hyperlink ref="AC64" r:id="rId60" display="http://thuyloitiengiang.vn/web/thuyloitiengiang/chi-tiet-tin-tuc?id=455416"/>
    <hyperlink ref="AC65" r:id="rId61" display="https://phongchongthientaitiengiang.vn/?p=7360"/>
    <hyperlink ref="AC66" r:id="rId62" display="https://phongchongthientaitiengiang.vn/?p=7360"/>
    <hyperlink ref="AC67" r:id="rId63" display="http://thuyloitiengiang.vn/web/thuyloitiengiang/chi-tiet-tin-tuc?id=455328"/>
    <hyperlink ref="AC68" r:id="rId64" display="http://thuyloitiengiang.vn/web/thuyloitiengiang/chi-tiet-tin-tuc?id=455328"/>
    <hyperlink ref="AC69" r:id="rId65" display="http://thuyloitiengiang.vn/web/thuyloitiengiang/chi-tiet-tin-tuc?id=455332"/>
    <hyperlink ref="AC70" r:id="rId66" display="http://thuyloitiengiang.vn/web/thuyloitiengiang/chi-tiet-tin-tuc?id=455336"/>
    <hyperlink ref="AC71" r:id="rId67" display="http://thuyloitiengiang.vn/web/thuyloitiengiang/chi-tiet-tin-tuc?id=455412"/>
    <hyperlink ref="AC72" r:id="rId68" display="http://thuyloitiengiang.vn/web/thuyloitiengiang/chi-tiet-tin-tuc?id=455416"/>
    <hyperlink ref="AC73" r:id="rId69" display="https://phongchongthientaitiengiang.vn/?p=7360"/>
    <hyperlink ref="AC74" r:id="rId70" display="http://thuyloitiengiang.vn/web/thuyloitiengiang/chi-tiet-tin-tuc?id=455328"/>
    <hyperlink ref="AC75" r:id="rId71" display="http://thuyloitiengiang.vn/web/thuyloitiengiang/chi-tiet-tin-tuc?id=455332"/>
    <hyperlink ref="AC76" r:id="rId72" display="http://thuyloitiengiang.vn/web/thuyloitiengiang/chi-tiet-tin-tuc?id=455336"/>
    <hyperlink ref="AC77" r:id="rId73" display="http://thuyloitiengiang.vn/web/thuyloitiengiang/chi-tiet-tin-tuc?id=455412"/>
    <hyperlink ref="AC78" r:id="rId74" display="http://thuyloitiengiang.vn/web/thuyloitiengiang/chi-tiet-tin-tuc?id=455416"/>
    <hyperlink ref="AC79" r:id="rId75" display="http://thuyloitiengiang.vn/web/thuyloitiengiang/chi-tiet-tin-tuc?id=455328"/>
    <hyperlink ref="AC80" r:id="rId76" display="http://thuyloitiengiang.vn/web/thuyloitiengiang/chi-tiet-tin-tuc?id=455332"/>
    <hyperlink ref="AC81" r:id="rId77" display="http://thuyloitiengiang.vn/web/thuyloitiengiang/chi-tiet-tin-tuc?id=455336"/>
    <hyperlink ref="AC82" r:id="rId78" display="http://thuyloitiengiang.vn/web/thuyloitiengiang/chi-tiet-tin-tuc?id=455412"/>
    <hyperlink ref="AC83" r:id="rId79" display="http://thuyloitiengiang.vn/web/thuyloitiengiang/chi-tiet-tin-tuc?id=455416"/>
    <hyperlink ref="AC84" r:id="rId80" display="https://phongchongthientaitiengiang.vn/?p=7360"/>
    <hyperlink ref="AC85" r:id="rId81" display="http://thuyloitiengiang.vn/web/thuyloitiengiang/chi-tiet-tin-tuc?id=455328"/>
    <hyperlink ref="AC86" r:id="rId82" display="http://thuyloitiengiang.vn/web/thuyloitiengiang/chi-tiet-tin-tuc?id=455332"/>
    <hyperlink ref="AC87" r:id="rId83" display="http://thuyloitiengiang.vn/web/thuyloitiengiang/chi-tiet-tin-tuc?id=455336"/>
    <hyperlink ref="AC88" r:id="rId84" display="http://thuyloitiengiang.vn/web/thuyloitiengiang/chi-tiet-tin-tuc?id=455412"/>
    <hyperlink ref="AC89" r:id="rId85" display="http://thuyloitiengiang.vn/web/thuyloitiengiang/chi-tiet-tin-tuc?id=455416"/>
    <hyperlink ref="AC90" r:id="rId86" display="https://phongchongthientaitiengiang.vn/?p=7360"/>
    <hyperlink ref="AC91" r:id="rId87" display="https://phongchongthientaitiengiang.vn/?p=7360"/>
    <hyperlink ref="AC92" r:id="rId88" display="http://thuyloitiengiang.vn/web/thuyloitiengiang/chi-tiet-tin-tuc?id=455328"/>
    <hyperlink ref="AC93" r:id="rId89" display="http://thuyloitiengiang.vn/web/thuyloitiengiang/chi-tiet-tin-tuc?id=455328"/>
    <hyperlink ref="AC94" r:id="rId90" display="http://thuyloitiengiang.vn/web/thuyloitiengiang/chi-tiet-tin-tuc?id=455332"/>
    <hyperlink ref="AC95" r:id="rId91" display="http://thuyloitiengiang.vn/web/thuyloitiengiang/chi-tiet-tin-tuc?id=455336"/>
    <hyperlink ref="AC96" r:id="rId92" display="http://thuyloitiengiang.vn/web/thuyloitiengiang/chi-tiet-tin-tuc?id=455412"/>
    <hyperlink ref="AC97" r:id="rId93" display="http://thuyloitiengiang.vn/web/thuyloitiengiang/chi-tiet-tin-tuc?id=455416"/>
    <hyperlink ref="AC98" r:id="rId94" display="http://thuyloitiengiang.vn/web/thuyloitiengiang/chi-tiet-tin-tuc?id=464847"/>
    <hyperlink ref="AC99" r:id="rId95" display="http://thuyloitiengiang.vn/web/thuyloitiengiang/chi-tiet-tin-tuc?id=464847"/>
    <hyperlink ref="AC100" r:id="rId96" display="http://thuyloitiengiang.vn/web/thuyloitiengiang/chi-tiet-tin-tuc?id=464851"/>
    <hyperlink ref="AC101" r:id="rId97" display="http://thuyloitiengiang.vn/web/thuyloitiengiang/chi-tiet-tin-tuc?id=464851"/>
    <hyperlink ref="AC102" r:id="rId98" display="http://thuyloitiengiang.vn/web/thuyloitiengiang/chi-tiet-tin-tuc?id=464854"/>
    <hyperlink ref="AC103" r:id="rId99" display="http://thuyloitiengiang.vn/ja/web/thuyloitiengiang/chi-tiet-tin-tuc?id=520619"/>
    <hyperlink ref="AC104" r:id="rId100" display="http://thuyloitiengiang.vn/ja/web/thuyloitiengiang/chi-tiet-tin-tuc?id=520619"/>
    <hyperlink ref="AC105" r:id="rId101" display="http://thuyloitiengiang.vn/ja/web/thuyloitiengiang/chi-tiet-tin-tuc?id=520621"/>
    <hyperlink ref="AC106" r:id="rId102" display="http://thuyloitiengiang.vn/ja/web/thuyloitiengiang/chi-tiet-tin-tuc?id=520623"/>
    <hyperlink ref="AC107" r:id="rId103" display="http://thuyloitiengiang.vn/en/web/thuyloitiengiang/chi-tiet-tin-tuc?id=520630"/>
    <hyperlink ref="AC108" r:id="rId104" display="http://thuyloitiengiang.vn/en/web/thuyloitiengiang/chi-tiet-tin-tuc?id=522066"/>
    <hyperlink ref="AC109" r:id="rId105" display="http://thuyloitiengiang.vn/en/web/thuyloitiengiang/chi-tiet-tin-tuc?id=522066"/>
    <hyperlink ref="AC110" r:id="rId106" display="http://thuyloitiengiang.vn/web/thuyloitiengiang/chi-tiet-tin-tuc?id=464847"/>
    <hyperlink ref="AC111" r:id="rId107" display="http://thuyloitiengiang.vn/web/thuyloitiengiang/chi-tiet-tin-tuc?id=464851"/>
    <hyperlink ref="AC112" r:id="rId108" display="http://thuyloitiengiang.vn/web/thuyloitiengiang/chi-tiet-tin-tuc?id=464854"/>
    <hyperlink ref="AC113" r:id="rId109" display="http://thuyloitiengiang.vn/ja/web/thuyloitiengiang/chi-tiet-tin-tuc?id=520619"/>
    <hyperlink ref="AC114" r:id="rId110" display="http://thuyloitiengiang.vn/ja/web/thuyloitiengiang/chi-tiet-tin-tuc?id=520621"/>
    <hyperlink ref="AC115" r:id="rId111" display="http://thuyloitiengiang.vn/en/web/thuyloitiengiang/chi-tiet-tin-tuc?id=520630"/>
    <hyperlink ref="AC116" r:id="rId112" display="http://thuyloitiengiang.vn/en/web/thuyloitiengiang/chi-tiet-tin-tuc?id=522066"/>
    <hyperlink ref="AC117" r:id="rId113" display="http://thuyloitiengiang.vn/web/thuyloitiengiang/chi-tiet-tin-tuc?id=464847"/>
    <hyperlink ref="AC118" r:id="rId114" display="http://thuyloitiengiang.vn/web/thuyloitiengiang/chi-tiet-tin-tuc?id=464851"/>
    <hyperlink ref="AC119" r:id="rId115" display="http://thuyloitiengiang.vn/web/thuyloitiengiang/chi-tiet-tin-tuc?id=464854"/>
    <hyperlink ref="AC120" r:id="rId116" display="http://thuyloitiengiang.vn/ja/web/thuyloitiengiang/chi-tiet-tin-tuc?id=520619"/>
    <hyperlink ref="AC121" r:id="rId117" display="http://thuyloitiengiang.vn/ja/web/thuyloitiengiang/chi-tiet-tin-tuc?id=520621"/>
    <hyperlink ref="AC122" r:id="rId118" display="http://thuyloitiengiang.vn/en/web/thuyloitiengiang/chi-tiet-tin-tuc?id=520630"/>
    <hyperlink ref="AC123" r:id="rId119" display="http://thuyloitiengiang.vn/en/web/thuyloitiengiang/chi-tiet-tin-tuc?id=522066"/>
    <hyperlink ref="AC124" r:id="rId120" display="http://thuyloitiengiang.vn/web/thuyloitiengiang/chi-tiet-tin-tuc?id=464847"/>
    <hyperlink ref="AC125" r:id="rId121" display="http://thuyloitiengiang.vn/web/thuyloitiengiang/chi-tiet-tin-tuc?id=464851"/>
    <hyperlink ref="AC126" r:id="rId122" display="http://thuyloitiengiang.vn/web/thuyloitiengiang/chi-tiet-tin-tuc?id=464854"/>
    <hyperlink ref="AC127" r:id="rId123" display="http://thuyloitiengiang.vn/ja/web/thuyloitiengiang/chi-tiet-tin-tuc?id=520619"/>
    <hyperlink ref="AC128" r:id="rId124" display="http://thuyloitiengiang.vn/ja/web/thuyloitiengiang/chi-tiet-tin-tuc?id=520621"/>
    <hyperlink ref="AC129" r:id="rId125" display="http://thuyloitiengiang.vn/en/web/thuyloitiengiang/chi-tiet-tin-tuc?id=520630"/>
    <hyperlink ref="AC130" r:id="rId126" display="http://thuyloitiengiang.vn/en/web/thuyloitiengiang/chi-tiet-tin-tuc?id=522066"/>
    <hyperlink ref="AC131" r:id="rId127" display="http://thuyloitiengiang.vn/web/thuyloitiengiang/chi-tiet-tin-tuc?id=464847"/>
    <hyperlink ref="AC132" r:id="rId128" display="http://thuyloitiengiang.vn/web/thuyloitiengiang/chi-tiet-tin-tuc?id=464851"/>
    <hyperlink ref="AC133" r:id="rId129" display="http://thuyloitiengiang.vn/web/thuyloitiengiang/chi-tiet-tin-tuc?id=464854"/>
    <hyperlink ref="AC134" r:id="rId130" display="http://thuyloitiengiang.vn/ja/web/thuyloitiengiang/chi-tiet-tin-tuc?id=520619"/>
    <hyperlink ref="AC135" r:id="rId131" display="http://thuyloitiengiang.vn/ja/web/thuyloitiengiang/chi-tiet-tin-tuc?id=520621"/>
    <hyperlink ref="AC136" r:id="rId132" display="http://thuyloitiengiang.vn/ja/web/thuyloitiengiang/chi-tiet-tin-tuc?id=520623"/>
    <hyperlink ref="AC137" r:id="rId133" display="http://thuyloitiengiang.vn/en/web/thuyloitiengiang/chi-tiet-tin-tuc?id=520630"/>
    <hyperlink ref="AC138" r:id="rId134" display="http://thuyloitiengiang.vn/en/web/thuyloitiengiang/chi-tiet-tin-tuc?id=522066"/>
    <hyperlink ref="AC139" r:id="rId135" display="http://thuyloitiengiang.vn/web/thuyloitiengiang/chi-tiet-tin-tuc?id=464847"/>
    <hyperlink ref="AC140" r:id="rId136" display="http://thuyloitiengiang.vn/web/thuyloitiengiang/chi-tiet-tin-tuc?id=464851"/>
    <hyperlink ref="AC141" r:id="rId137" display="http://thuyloitiengiang.vn/web/thuyloitiengiang/chi-tiet-tin-tuc?id=464854"/>
    <hyperlink ref="AC142" r:id="rId138" display="http://thuyloitiengiang.vn/ja/web/thuyloitiengiang/chi-tiet-tin-tuc?id=520619"/>
    <hyperlink ref="AC143" r:id="rId139" display="http://thuyloitiengiang.vn/ja/web/thuyloitiengiang/chi-tiet-tin-tuc?id=520621"/>
    <hyperlink ref="AC144" r:id="rId140" display="http://thuyloitiengiang.vn/ja/web/thuyloitiengiang/chi-tiet-tin-tuc?id=520623"/>
    <hyperlink ref="AC145" r:id="rId141" display="http://thuyloitiengiang.vn/en/web/thuyloitiengiang/chi-tiet-tin-tuc?id=520630"/>
    <hyperlink ref="AC146" r:id="rId142" display="http://thuyloitiengiang.vn/en/web/thuyloitiengiang/chi-tiet-tin-tuc?id=522066"/>
    <hyperlink ref="AC147" r:id="rId143" display="http://thuyloitiengiang.vn/web/thuyloitiengiang/chi-tiet-tin-tuc?id=464847"/>
    <hyperlink ref="AC148" r:id="rId144" display="http://thuyloitiengiang.vn/web/thuyloitiengiang/chi-tiet-tin-tuc?id=464851"/>
    <hyperlink ref="AC149" r:id="rId145" display="http://thuyloitiengiang.vn/web/thuyloitiengiang/chi-tiet-tin-tuc?id=464854"/>
    <hyperlink ref="AC150" r:id="rId146" display="http://thuyloitiengiang.vn/ja/web/thuyloitiengiang/chi-tiet-tin-tuc?id=520619"/>
    <hyperlink ref="AC151" r:id="rId147" display="http://thuyloitiengiang.vn/ja/web/thuyloitiengiang/chi-tiet-tin-tuc?id=520621"/>
    <hyperlink ref="AC152" r:id="rId148" display="http://thuyloitiengiang.vn/ja/web/thuyloitiengiang/chi-tiet-tin-tuc?id=520623"/>
    <hyperlink ref="AC153" r:id="rId149" display="http://thuyloitiengiang.vn/en/web/thuyloitiengiang/chi-tiet-tin-tuc?id=520630"/>
    <hyperlink ref="AC154" r:id="rId150" display="http://thuyloitiengiang.vn/en/web/thuyloitiengiang/chi-tiet-tin-tuc?id=522066"/>
    <hyperlink ref="AC155" r:id="rId151" display="http://thuyloitiengiang.vn/web/thuyloitiengiang/chi-tiet-tin-tuc?id=464847"/>
    <hyperlink ref="AC156" r:id="rId152" display="http://thuyloitiengiang.vn/web/thuyloitiengiang/chi-tiet-tin-tuc?id=464851"/>
    <hyperlink ref="AC157" r:id="rId153" display="http://thuyloitiengiang.vn/web/thuyloitiengiang/chi-tiet-tin-tuc?id=464854"/>
    <hyperlink ref="AC158" r:id="rId154" display="http://thuyloitiengiang.vn/ja/web/thuyloitiengiang/chi-tiet-tin-tuc?id=520619"/>
    <hyperlink ref="AC159" r:id="rId155" display="http://thuyloitiengiang.vn/ja/web/thuyloitiengiang/chi-tiet-tin-tuc?id=520621"/>
    <hyperlink ref="AC160" r:id="rId156" display="http://thuyloitiengiang.vn/ja/web/thuyloitiengiang/chi-tiet-tin-tuc?id=520623"/>
    <hyperlink ref="AC161" r:id="rId157" display="http://thuyloitiengiang.vn/en/web/thuyloitiengiang/chi-tiet-tin-tuc?id=520630"/>
    <hyperlink ref="AC162" r:id="rId158" display="http://thuyloitiengiang.vn/en/web/thuyloitiengiang/chi-tiet-tin-tuc?id=522066"/>
    <hyperlink ref="AC163" r:id="rId159" display="http://thuyloitiengiang.vn/web/thuyloitiengiang/chi-tiet-tin-tuc?id=464847"/>
    <hyperlink ref="AC164" r:id="rId160" display="http://thuyloitiengiang.vn/web/thuyloitiengiang/chi-tiet-tin-tuc?id=464851"/>
    <hyperlink ref="AC165" r:id="rId161" display="http://thuyloitiengiang.vn/web/thuyloitiengiang/chi-tiet-tin-tuc?id=464854"/>
    <hyperlink ref="AC166" r:id="rId162" display="http://thuyloitiengiang.vn/ja/web/thuyloitiengiang/chi-tiet-tin-tuc?id=520619"/>
    <hyperlink ref="AC167" r:id="rId163" display="http://thuyloitiengiang.vn/ja/web/thuyloitiengiang/chi-tiet-tin-tuc?id=520621"/>
    <hyperlink ref="AC168" r:id="rId164" display="http://thuyloitiengiang.vn/ja/web/thuyloitiengiang/chi-tiet-tin-tuc?id=520623"/>
    <hyperlink ref="AC169" r:id="rId165" display="http://thuyloitiengiang.vn/en/web/thuyloitiengiang/chi-tiet-tin-tuc?id=520630"/>
    <hyperlink ref="AC170" r:id="rId166" display="http://thuyloitiengiang.vn/en/web/thuyloitiengiang/chi-tiet-tin-tuc?id=522066"/>
    <hyperlink ref="AC171" r:id="rId167" display="http://thuyloitiengiang.vn/web/thuyloitiengiang/chi-tiet-tin-tuc?id=464847"/>
    <hyperlink ref="AC172" r:id="rId168" display="http://thuyloitiengiang.vn/web/thuyloitiengiang/chi-tiet-tin-tuc?id=464851"/>
    <hyperlink ref="AC173" r:id="rId169" display="http://thuyloitiengiang.vn/web/thuyloitiengiang/chi-tiet-tin-tuc?id=464854"/>
    <hyperlink ref="AC174" r:id="rId170" display="http://thuyloitiengiang.vn/ja/web/thuyloitiengiang/chi-tiet-tin-tuc?id=520619"/>
    <hyperlink ref="AC175" r:id="rId171" display="http://thuyloitiengiang.vn/ja/web/thuyloitiengiang/chi-tiet-tin-tuc?id=520621"/>
    <hyperlink ref="AC176" r:id="rId172" display="http://thuyloitiengiang.vn/ja/web/thuyloitiengiang/chi-tiet-tin-tuc?id=520623"/>
    <hyperlink ref="AC177" r:id="rId173" display="http://thuyloitiengiang.vn/en/web/thuyloitiengiang/chi-tiet-tin-tuc?id=520630"/>
    <hyperlink ref="AC178" r:id="rId174" display="http://thuyloitiengiang.vn/en/web/thuyloitiengiang/chi-tiet-tin-tuc?id=522066"/>
    <hyperlink ref="AC179" r:id="rId175" display="https://phongchongthientaitiengiang.vn/?p=7360"/>
    <hyperlink ref="AC180" r:id="rId176" display="http://thuyloitiengiang.vn/web/thuyloitiengiang/chi-tiet-tin-tuc?id=455328"/>
    <hyperlink ref="AC181" r:id="rId177" display="http://thuyloitiengiang.vn/web/thuyloitiengiang/chi-tiet-tin-tuc?id=455332"/>
    <hyperlink ref="AC182" r:id="rId178" display="http://thuyloitiengiang.vn/web/thuyloitiengiang/chi-tiet-tin-tuc?id=455336"/>
    <hyperlink ref="AC183" r:id="rId179" display="http://thuyloitiengiang.vn/web/thuyloitiengiang/chi-tiet-tin-tuc?id=455412"/>
    <hyperlink ref="AC184" r:id="rId180" display="http://thuyloitiengiang.vn/web/thuyloitiengiang/chi-tiet-tin-tuc?id=455416"/>
    <hyperlink ref="AC185" r:id="rId181" display="https://phongchongthientaitiengiang.vn/?p=7360"/>
    <hyperlink ref="AC186" r:id="rId182" display="http://thuyloitiengiang.vn/web/thuyloitiengiang/chi-tiet-tin-tuc?id=455328"/>
    <hyperlink ref="AC187" r:id="rId183" display="http://thuyloitiengiang.vn/web/thuyloitiengiang/chi-tiet-tin-tuc?id=455332"/>
    <hyperlink ref="AC188" r:id="rId184" display="http://thuyloitiengiang.vn/web/thuyloitiengiang/chi-tiet-tin-tuc?id=455336"/>
    <hyperlink ref="AC189" r:id="rId185" display="http://thuyloitiengiang.vn/web/thuyloitiengiang/chi-tiet-tin-tuc?id=455412"/>
    <hyperlink ref="AC190" r:id="rId186" display="http://thuyloitiengiang.vn/web/thuyloitiengiang/chi-tiet-tin-tuc?id=455416"/>
    <hyperlink ref="AC191" r:id="rId187" display="https://phongchongthientaitiengiang.vn/?p=7360"/>
    <hyperlink ref="AC192" r:id="rId188" display="https://phongchongthientaitiengiang.vn/?p=7360"/>
    <hyperlink ref="AC193" r:id="rId189" display="http://thuyloitiengiang.vn/web/thuyloitiengiang/chi-tiet-tin-tuc?id=455328"/>
    <hyperlink ref="AC194" r:id="rId190" display="http://thuyloitiengiang.vn/web/thuyloitiengiang/chi-tiet-tin-tuc?id=455328"/>
    <hyperlink ref="AC195" r:id="rId191" display="http://thuyloitiengiang.vn/web/thuyloitiengiang/chi-tiet-tin-tuc?id=455332"/>
    <hyperlink ref="AC196" r:id="rId192" display="http://thuyloitiengiang.vn/web/thuyloitiengiang/chi-tiet-tin-tuc?id=455336"/>
    <hyperlink ref="AC197" r:id="rId193" display="http://thuyloitiengiang.vn/web/thuyloitiengiang/chi-tiet-tin-tuc?id=455412"/>
    <hyperlink ref="AC198" r:id="rId194" display="http://thuyloitiengiang.vn/web/thuyloitiengiang/chi-tiet-tin-tuc?id=455416"/>
    <hyperlink ref="AC199" r:id="rId195" display="https://phongchongthientaitiengiang.vn/?p=7360"/>
    <hyperlink ref="AC200" r:id="rId196" display="http://thuyloitiengiang.vn/web/thuyloitiengiang/chi-tiet-tin-tuc?id=455328"/>
    <hyperlink ref="AC201" r:id="rId197" display="http://thuyloitiengiang.vn/web/thuyloitiengiang/chi-tiet-tin-tuc?id=455332"/>
    <hyperlink ref="AC202" r:id="rId198" display="http://thuyloitiengiang.vn/web/thuyloitiengiang/chi-tiet-tin-tuc?id=455336"/>
    <hyperlink ref="AC203" r:id="rId199" display="http://thuyloitiengiang.vn/web/thuyloitiengiang/chi-tiet-tin-tuc?id=455412"/>
    <hyperlink ref="AC204" r:id="rId200" display="http://thuyloitiengiang.vn/web/thuyloitiengiang/chi-tiet-tin-tuc?id=455416"/>
    <hyperlink ref="AC205" r:id="rId201" display="https://phongchongthientaitiengiang.vn/?p=7360"/>
    <hyperlink ref="AC206" r:id="rId202" display="http://thuyloitiengiang.vn/web/thuyloitiengiang/chi-tiet-tin-tuc?id=455328"/>
    <hyperlink ref="AC207" r:id="rId203" display="http://thuyloitiengiang.vn/web/thuyloitiengiang/chi-tiet-tin-tuc?id=455332"/>
    <hyperlink ref="AC208" r:id="rId204" display="http://thuyloitiengiang.vn/web/thuyloitiengiang/chi-tiet-tin-tuc?id=455336"/>
    <hyperlink ref="AC209" r:id="rId205" display="http://thuyloitiengiang.vn/web/thuyloitiengiang/chi-tiet-tin-tuc?id=455412"/>
    <hyperlink ref="AC210" r:id="rId206" display="http://thuyloitiengiang.vn/web/thuyloitiengiang/chi-tiet-tin-tuc?id=455416"/>
    <hyperlink ref="AC211" r:id="rId207" display="https://phongchongthientaitiengiang.vn/?p=7360"/>
    <hyperlink ref="AC212" r:id="rId208" display="http://thuyloitiengiang.vn/web/thuyloitiengiang/chi-tiet-tin-tuc?id=455328"/>
    <hyperlink ref="AC213" r:id="rId209" display="http://thuyloitiengiang.vn/web/thuyloitiengiang/chi-tiet-tin-tuc?id=455332"/>
    <hyperlink ref="AC214" r:id="rId210" display="http://thuyloitiengiang.vn/web/thuyloitiengiang/chi-tiet-tin-tuc?id=455336"/>
    <hyperlink ref="AC215" r:id="rId211" display="http://thuyloitiengiang.vn/web/thuyloitiengiang/chi-tiet-tin-tuc?id=455412"/>
    <hyperlink ref="AC216" r:id="rId212" display="http://thuyloitiengiang.vn/web/thuyloitiengiang/chi-tiet-tin-tuc?id=455416"/>
    <hyperlink ref="AC217" r:id="rId213" display="https://phongchongthientaitiengiang.vn/?p=7360"/>
    <hyperlink ref="AC218" r:id="rId214" display="https://phongchongthientaitiengiang.vn/?p=7360"/>
    <hyperlink ref="AC219" r:id="rId215" display="http://thuyloitiengiang.vn/web/thuyloitiengiang/chi-tiet-tin-tuc?id=455328"/>
    <hyperlink ref="AC220" r:id="rId216" display="http://thuyloitiengiang.vn/web/thuyloitiengiang/chi-tiet-tin-tuc?id=455328"/>
    <hyperlink ref="AC221" r:id="rId217" display="http://thuyloitiengiang.vn/web/thuyloitiengiang/chi-tiet-tin-tuc?id=455332"/>
    <hyperlink ref="AC222" r:id="rId218" display="http://thuyloitiengiang.vn/web/thuyloitiengiang/chi-tiet-tin-tuc?id=455336"/>
    <hyperlink ref="AC223" r:id="rId219" display="http://thuyloitiengiang.vn/web/thuyloitiengiang/chi-tiet-tin-tuc?id=455412"/>
    <hyperlink ref="AC224" r:id="rId220" display="http://thuyloitiengiang.vn/web/thuyloitiengiang/chi-tiet-tin-tuc?id=455416"/>
    <hyperlink ref="AC225" r:id="rId221" display="http://thuyloitiengiang.vn/web/thuyloitiengiang/chi-tiet-tin-tuc?id=464847"/>
    <hyperlink ref="AC226" r:id="rId222" display="http://thuyloitiengiang.vn/web/thuyloitiengiang/chi-tiet-tin-tuc?id=464851"/>
    <hyperlink ref="AC227" r:id="rId223" display="http://thuyloitiengiang.vn/web/thuyloitiengiang/chi-tiet-tin-tuc?id=464854"/>
    <hyperlink ref="AC228" r:id="rId224" display="http://thuyloitiengiang.vn/ja/web/thuyloitiengiang/chi-tiet-tin-tuc?id=520619"/>
    <hyperlink ref="AC229" r:id="rId225" display="http://thuyloitiengiang.vn/ja/web/thuyloitiengiang/chi-tiet-tin-tuc?id=520621"/>
    <hyperlink ref="AC230" r:id="rId226" display="http://thuyloitiengiang.vn/ja/web/thuyloitiengiang/chi-tiet-tin-tuc?id=520623"/>
    <hyperlink ref="AC231" r:id="rId227" display="http://thuyloitiengiang.vn/en/web/thuyloitiengiang/chi-tiet-tin-tuc?id=520630"/>
    <hyperlink ref="AC232" r:id="rId228" display="http://thuyloitiengiang.vn/en/web/thuyloitiengiang/chi-tiet-tin-tuc?id=522066"/>
    <hyperlink ref="AC233" r:id="rId229" display="http://thuyloitiengiang.vn/web/thuyloitiengiang/chi-tiet-tin-tuc?id=464847"/>
    <hyperlink ref="AC234" r:id="rId230" display="http://thuyloitiengiang.vn/web/thuyloitiengiang/chi-tiet-tin-tuc?id=464851"/>
    <hyperlink ref="AC235" r:id="rId231" display="http://thuyloitiengiang.vn/web/thuyloitiengiang/chi-tiet-tin-tuc?id=464854"/>
    <hyperlink ref="AC236" r:id="rId232" display="http://thuyloitiengiang.vn/ja/web/thuyloitiengiang/chi-tiet-tin-tuc?id=520619"/>
    <hyperlink ref="AC237" r:id="rId233" display="http://thuyloitiengiang.vn/ja/web/thuyloitiengiang/chi-tiet-tin-tuc?id=520621"/>
    <hyperlink ref="AC238" r:id="rId234" display="http://thuyloitiengiang.vn/ja/web/thuyloitiengiang/chi-tiet-tin-tuc?id=520623"/>
    <hyperlink ref="AC239" r:id="rId235" display="http://thuyloitiengiang.vn/en/web/thuyloitiengiang/chi-tiet-tin-tuc?id=520630"/>
    <hyperlink ref="AC240" r:id="rId236" display="http://thuyloitiengiang.vn/en/web/thuyloitiengiang/chi-tiet-tin-tuc?id=522066"/>
    <hyperlink ref="AC241" r:id="rId237" display="https://phongchongthientaitiengiang.vn/?p=7360"/>
    <hyperlink ref="AC242" r:id="rId238" display="http://thuyloitiengiang.vn/web/thuyloitiengiang/chi-tiet-tin-tuc?id=455328"/>
    <hyperlink ref="AC243" r:id="rId239" display="http://thuyloitiengiang.vn/web/thuyloitiengiang/chi-tiet-tin-tuc?id=455332"/>
    <hyperlink ref="AC244" r:id="rId240" display="http://thuyloitiengiang.vn/web/thuyloitiengiang/chi-tiet-tin-tuc?id=455336"/>
    <hyperlink ref="AC245" r:id="rId241" display="http://thuyloitiengiang.vn/web/thuyloitiengiang/chi-tiet-tin-tuc?id=455412"/>
    <hyperlink ref="AC246" r:id="rId242" display="http://thuyloitiengiang.vn/web/thuyloitiengiang/chi-tiet-tin-tuc?id=455416"/>
    <hyperlink ref="AC247" r:id="rId243" display="https://phongchongthientaitiengiang.vn/?p=7360"/>
    <hyperlink ref="AC248" r:id="rId244" display="http://thuyloitiengiang.vn/web/thuyloitiengiang/chi-tiet-tin-tuc?id=455328"/>
    <hyperlink ref="AC249" r:id="rId245" display="http://thuyloitiengiang.vn/web/thuyloitiengiang/chi-tiet-tin-tuc?id=455332"/>
    <hyperlink ref="AC250" r:id="rId246" display="http://thuyloitiengiang.vn/web/thuyloitiengiang/chi-tiet-tin-tuc?id=455336"/>
    <hyperlink ref="AC251" r:id="rId247" display="http://thuyloitiengiang.vn/web/thuyloitiengiang/chi-tiet-tin-tuc?id=455412"/>
    <hyperlink ref="AC252" r:id="rId248" display="http://thuyloitiengiang.vn/web/thuyloitiengiang/chi-tiet-tin-tuc?id=455416"/>
    <hyperlink ref="AC253" r:id="rId249" display="https://phongchongthientaitiengiang.vn/?p=7360"/>
    <hyperlink ref="AC254" r:id="rId250" display="http://thuyloitiengiang.vn/web/thuyloitiengiang/chi-tiet-tin-tuc?id=455328"/>
    <hyperlink ref="AC255" r:id="rId251" display="http://thuyloitiengiang.vn/web/thuyloitiengiang/chi-tiet-tin-tuc?id=455332"/>
    <hyperlink ref="AC256" r:id="rId252" display="http://thuyloitiengiang.vn/web/thuyloitiengiang/chi-tiet-tin-tuc?id=455336"/>
    <hyperlink ref="AC257" r:id="rId253" display="http://thuyloitiengiang.vn/web/thuyloitiengiang/chi-tiet-tin-tuc?id=455412"/>
    <hyperlink ref="AC258" r:id="rId254" display="http://thuyloitiengiang.vn/web/thuyloitiengiang/chi-tiet-tin-tuc?id=455416"/>
    <hyperlink ref="AC259" r:id="rId255" display="https://phongchongthientaitiengiang.vn/?p=7360"/>
    <hyperlink ref="AC260" r:id="rId256" display="https://phongchongthientaitiengiang.vn/?p=7360"/>
    <hyperlink ref="AC261" r:id="rId257" display="http://thuyloitiengiang.vn/web/thuyloitiengiang/chi-tiet-tin-tuc?id=455328"/>
    <hyperlink ref="AC262" r:id="rId258" display="http://thuyloitiengiang.vn/web/thuyloitiengiang/chi-tiet-tin-tuc?id=455328"/>
    <hyperlink ref="AC263" r:id="rId259" display="http://thuyloitiengiang.vn/web/thuyloitiengiang/chi-tiet-tin-tuc?id=455332"/>
    <hyperlink ref="AC264" r:id="rId260" display="http://thuyloitiengiang.vn/web/thuyloitiengiang/chi-tiet-tin-tuc?id=455336"/>
    <hyperlink ref="AC265" r:id="rId261" display="http://thuyloitiengiang.vn/web/thuyloitiengiang/chi-tiet-tin-tuc?id=455412"/>
    <hyperlink ref="AC266" r:id="rId262" display="http://thuyloitiengiang.vn/web/thuyloitiengiang/chi-tiet-tin-tuc?id=455416"/>
    <hyperlink ref="AC267" r:id="rId263" display="http://thuyloitiengiang.vn/web/thuyloitiengiang/chi-tiet-tin-tuc?id=464847"/>
    <hyperlink ref="AC268" r:id="rId264" display="http://thuyloitiengiang.vn/web/thuyloitiengiang/chi-tiet-tin-tuc?id=464851"/>
    <hyperlink ref="AC269" r:id="rId265" display="http://thuyloitiengiang.vn/web/thuyloitiengiang/chi-tiet-tin-tuc?id=464854"/>
    <hyperlink ref="AC270" r:id="rId266" display="http://thuyloitiengiang.vn/ja/web/thuyloitiengiang/chi-tiet-tin-tuc?id=520619"/>
    <hyperlink ref="AC271" r:id="rId267" display="http://thuyloitiengiang.vn/ja/web/thuyloitiengiang/chi-tiet-tin-tuc?id=520621"/>
    <hyperlink ref="AC272" r:id="rId268" display="http://thuyloitiengiang.vn/ja/web/thuyloitiengiang/chi-tiet-tin-tuc?id=520623"/>
    <hyperlink ref="AC273" r:id="rId269" display="http://thuyloitiengiang.vn/en/web/thuyloitiengiang/chi-tiet-tin-tuc?id=520630"/>
    <hyperlink ref="AC274" r:id="rId270" display="http://thuyloitiengiang.vn/en/web/thuyloitiengiang/chi-tiet-tin-tuc?id=522066"/>
    <hyperlink ref="AC275" r:id="rId271" display="http://thuyloitiengiang.vn/web/thuyloitiengiang/chi-tiet-tin-tuc?id=464847"/>
    <hyperlink ref="AC276" r:id="rId272" display="http://thuyloitiengiang.vn/web/thuyloitiengiang/chi-tiet-tin-tuc?id=464851"/>
    <hyperlink ref="AC277" r:id="rId273" display="http://thuyloitiengiang.vn/web/thuyloitiengiang/chi-tiet-tin-tuc?id=464854"/>
    <hyperlink ref="AC278" r:id="rId274" display="http://thuyloitiengiang.vn/ja/web/thuyloitiengiang/chi-tiet-tin-tuc?id=520619"/>
    <hyperlink ref="AC279" r:id="rId275" display="http://thuyloitiengiang.vn/ja/web/thuyloitiengiang/chi-tiet-tin-tuc?id=520621"/>
    <hyperlink ref="AC280" r:id="rId276" display="http://thuyloitiengiang.vn/ja/web/thuyloitiengiang/chi-tiet-tin-tuc?id=520623"/>
    <hyperlink ref="AC281" r:id="rId277" display="http://thuyloitiengiang.vn/en/web/thuyloitiengiang/chi-tiet-tin-tuc?id=520630"/>
    <hyperlink ref="AC282" r:id="rId278" display="http://thuyloitiengiang.vn/en/web/thuyloitiengiang/chi-tiet-tin-tuc?id=522066"/>
    <hyperlink ref="AC283" r:id="rId279" display="https://phongchongthientaitiengiang.vn/?p=7360"/>
    <hyperlink ref="AC284" r:id="rId280" display="http://thuyloitiengiang.vn/web/thuyloitiengiang/chi-tiet-tin-tuc?id=455328"/>
    <hyperlink ref="AC285" r:id="rId281" display="http://thuyloitiengiang.vn/web/thuyloitiengiang/chi-tiet-tin-tuc?id=455332"/>
    <hyperlink ref="AC286" r:id="rId282" display="http://thuyloitiengiang.vn/web/thuyloitiengiang/chi-tiet-tin-tuc?id=455336"/>
    <hyperlink ref="AC287" r:id="rId283" display="http://thuyloitiengiang.vn/web/thuyloitiengiang/chi-tiet-tin-tuc?id=455412"/>
    <hyperlink ref="AC288" r:id="rId284" display="http://thuyloitiengiang.vn/web/thuyloitiengiang/chi-tiet-tin-tuc?id=455416"/>
    <hyperlink ref="AC289" r:id="rId285" display="https://phongchongthientaitiengiang.vn/?p=7360"/>
    <hyperlink ref="AC290" r:id="rId286" display="http://thuyloitiengiang.vn/web/thuyloitiengiang/chi-tiet-tin-tuc?id=455328"/>
    <hyperlink ref="AC291" r:id="rId287" display="http://thuyloitiengiang.vn/web/thuyloitiengiang/chi-tiet-tin-tuc?id=455332"/>
    <hyperlink ref="AC292" r:id="rId288" display="http://thuyloitiengiang.vn/web/thuyloitiengiang/chi-tiet-tin-tuc?id=455336"/>
    <hyperlink ref="AC293" r:id="rId289" display="http://thuyloitiengiang.vn/web/thuyloitiengiang/chi-tiet-tin-tuc?id=455412"/>
    <hyperlink ref="AC294" r:id="rId290" display="http://thuyloitiengiang.vn/web/thuyloitiengiang/chi-tiet-tin-tuc?id=455416"/>
    <hyperlink ref="AC295" r:id="rId291" display="https://phongchongthientaitiengiang.vn/?p=7360"/>
    <hyperlink ref="AC296" r:id="rId292" display="http://thuyloitiengiang.vn/web/thuyloitiengiang/chi-tiet-tin-tuc?id=455328"/>
    <hyperlink ref="AC297" r:id="rId293" display="http://thuyloitiengiang.vn/web/thuyloitiengiang/chi-tiet-tin-tuc?id=455332"/>
    <hyperlink ref="AC298" r:id="rId294" display="http://thuyloitiengiang.vn/web/thuyloitiengiang/chi-tiet-tin-tuc?id=455336"/>
    <hyperlink ref="AC299" r:id="rId295" display="http://thuyloitiengiang.vn/web/thuyloitiengiang/chi-tiet-tin-tuc?id=455412"/>
    <hyperlink ref="AC300" r:id="rId296" display="http://thuyloitiengiang.vn/web/thuyloitiengiang/chi-tiet-tin-tuc?id=455416"/>
    <hyperlink ref="AC301" r:id="rId297" display="https://phongchongthientaitiengiang.vn/?p=7360"/>
    <hyperlink ref="AC302" r:id="rId298" display="https://phongchongthientaitiengiang.vn/?p=7360"/>
    <hyperlink ref="AC303" r:id="rId299" display="http://thuyloitiengiang.vn/web/thuyloitiengiang/chi-tiet-tin-tuc?id=455328"/>
    <hyperlink ref="AC304" r:id="rId300" display="http://thuyloitiengiang.vn/web/thuyloitiengiang/chi-tiet-tin-tuc?id=455328"/>
    <hyperlink ref="AC305" r:id="rId301" display="http://thuyloitiengiang.vn/web/thuyloitiengiang/chi-tiet-tin-tuc?id=455332"/>
    <hyperlink ref="AC306" r:id="rId302" display="http://thuyloitiengiang.vn/web/thuyloitiengiang/chi-tiet-tin-tuc?id=455336"/>
    <hyperlink ref="AC307" r:id="rId303" display="http://thuyloitiengiang.vn/web/thuyloitiengiang/chi-tiet-tin-tuc?id=455412"/>
    <hyperlink ref="AC308" r:id="rId304" display="http://thuyloitiengiang.vn/web/thuyloitiengiang/chi-tiet-tin-tuc?id=455416"/>
    <hyperlink ref="AC309" r:id="rId305" display="https://nhandan.vn/tien-giang-quyet-liet-trien-khai-cac-giai-phap-phong-chong-han-man-post799553.html"/>
    <hyperlink ref="AC310" r:id="rId306" display="https://baodongthap.vn/tien-giang-xam-nhap-man-toi-huyen-chau-thanh-o-muc-0-42-g-l-a828.html"/>
    <hyperlink ref="AC311" r:id="rId307" display="https://phongchongthientaitiengiang.vn/?p=7360"/>
    <hyperlink ref="AC312" r:id="rId308" display="http://thuyloitiengiang.vn/web/thuyloitiengiang/chi-tiet-tin-tuc?id=455328"/>
    <hyperlink ref="AC313" r:id="rId309" display="http://thuyloitiengiang.vn/web/thuyloitiengiang/chi-tiet-tin-tuc?id=455332"/>
    <hyperlink ref="AC314" r:id="rId310" display="http://thuyloitiengiang.vn/web/thuyloitiengiang/chi-tiet-tin-tuc?id=455336"/>
    <hyperlink ref="AC315" r:id="rId311" display="http://thuyloitiengiang.vn/web/thuyloitiengiang/chi-tiet-tin-tuc?id=455412"/>
    <hyperlink ref="AC316" r:id="rId312" display="http://thuyloitiengiang.vn/web/thuyloitiengiang/chi-tiet-tin-tuc?id=455416"/>
    <hyperlink ref="AC317" r:id="rId313" display="https://phongchongthientaitiengiang.vn/?p=7360"/>
    <hyperlink ref="AC318" r:id="rId314" display="http://thuyloitiengiang.vn/web/thuyloitiengiang/chi-tiet-tin-tuc?id=455328"/>
    <hyperlink ref="AC319" r:id="rId315" display="http://thuyloitiengiang.vn/web/thuyloitiengiang/chi-tiet-tin-tuc?id=455332"/>
    <hyperlink ref="AC320" r:id="rId316" display="http://thuyloitiengiang.vn/web/thuyloitiengiang/chi-tiet-tin-tuc?id=455336"/>
    <hyperlink ref="AC321" r:id="rId317" display="http://thuyloitiengiang.vn/web/thuyloitiengiang/chi-tiet-tin-tuc?id=455412"/>
    <hyperlink ref="AC322" r:id="rId318" display="http://thuyloitiengiang.vn/web/thuyloitiengiang/chi-tiet-tin-tuc?id=455416"/>
    <hyperlink ref="AC323" r:id="rId319" display="https://phongchongthientaitiengiang.vn/?p=7360"/>
    <hyperlink ref="AC324" r:id="rId320" display="http://thuyloitiengiang.vn/web/thuyloitiengiang/chi-tiet-tin-tuc?id=455328"/>
    <hyperlink ref="AC325" r:id="rId321" display="http://thuyloitiengiang.vn/web/thuyloitiengiang/chi-tiet-tin-tuc?id=455332"/>
    <hyperlink ref="AC326" r:id="rId322" display="http://thuyloitiengiang.vn/web/thuyloitiengiang/chi-tiet-tin-tuc?id=455336"/>
    <hyperlink ref="AC327" r:id="rId323" display="http://thuyloitiengiang.vn/web/thuyloitiengiang/chi-tiet-tin-tuc?id=455412"/>
    <hyperlink ref="AC328" r:id="rId324" display="http://thuyloitiengiang.vn/web/thuyloitiengiang/chi-tiet-tin-tuc?id=455416"/>
    <hyperlink ref="AC329" r:id="rId325" display="https://phongchongthientaitiengiang.vn/?p=7360"/>
    <hyperlink ref="AC330" r:id="rId326" display="https://phongchongthientaitiengiang.vn/?p=7360"/>
    <hyperlink ref="AC331" r:id="rId327" display="http://thuyloitiengiang.vn/web/thuyloitiengiang/chi-tiet-tin-tuc?id=455328"/>
    <hyperlink ref="AC332" r:id="rId328" display="http://thuyloitiengiang.vn/web/thuyloitiengiang/chi-tiet-tin-tuc?id=455328"/>
    <hyperlink ref="AC333" r:id="rId329" display="http://thuyloitiengiang.vn/web/thuyloitiengiang/chi-tiet-tin-tuc?id=455332"/>
    <hyperlink ref="AC334" r:id="rId330" display="http://thuyloitiengiang.vn/web/thuyloitiengiang/chi-tiet-tin-tuc?id=455336"/>
    <hyperlink ref="AC335" r:id="rId331" display="http://thuyloitiengiang.vn/web/thuyloitiengiang/chi-tiet-tin-tuc?id=455412"/>
    <hyperlink ref="AC336" r:id="rId332" display="http://thuyloitiengiang.vn/web/thuyloitiengiang/chi-tiet-tin-tuc?id=455416"/>
    <hyperlink ref="AC337" r:id="rId333" display="https://baodongthap.vn/tien-giang-xam-nhap-man-tiep-tuc-tang-theo-ky-trieu-cuong-a70919.html"/>
    <hyperlink ref="AC338" r:id="rId334" display="https://baodongthap.vn/tien-giang-xam-nhap-man-giam-nhe-a71088.html"/>
    <hyperlink ref="AC339" r:id="rId335" display="https://baodongthap.vn/tien-giang-xam-nhap-man-tang-tro-lai-a34313.html"/>
    <hyperlink ref="AC340" r:id="rId336" display="https://baodongthap.vn/tien-giang-xam-nhap-man-toi-huyen-chau-thanh-o-muc-0-42-g-l-a828.html"/>
    <hyperlink ref="AC341" r:id="rId337" display="https://baodongthap.vn/tien-giang-xam-nhap-man-giam-theo-trieu-cuong-nhung-van-o-muc-cao-a1148.html"/>
    <hyperlink ref="AC342" r:id="rId338" display="https://baodongthap.vn/tien-giang-muc-nuoc-tai-cac-kinh-rach-vung-ngot-hoa-go-cong-dang-dan-xuong-thap-a4427.html"/>
    <hyperlink ref="AC343" r:id="rId339" display="https://baodongthap.vn/xam-nhap-man-giam-cong-xuan-hoa-lay-gan-nuoc-ngot-a5603.html"/>
    <hyperlink ref="AC344" r:id="rId340" display="http://thuyloitiengiang.vn/web/thuyloitiengiang/chi-tiet-tin-tuc?id=464847"/>
    <hyperlink ref="AC345" r:id="rId341" display="http://thuyloitiengiang.vn/web/thuyloitiengiang/chi-tiet-tin-tuc?id=464847"/>
    <hyperlink ref="AC346" r:id="rId342" display="http://thuyloitiengiang.vn/web/thuyloitiengiang/chi-tiet-tin-tuc?id=464851"/>
    <hyperlink ref="AC347" r:id="rId343" display="http://thuyloitiengiang.vn/web/thuyloitiengiang/chi-tiet-tin-tuc?id=464851"/>
    <hyperlink ref="AC348" r:id="rId344" display="http://thuyloitiengiang.vn/web/thuyloitiengiang/chi-tiet-tin-tuc?id=464854"/>
    <hyperlink ref="AC349" r:id="rId345" display="http://thuyloitiengiang.vn/ja/web/thuyloitiengiang/chi-tiet-tin-tuc?id=520619"/>
    <hyperlink ref="AC350" r:id="rId346" display="http://thuyloitiengiang.vn/ja/web/thuyloitiengiang/chi-tiet-tin-tuc?id=520619"/>
    <hyperlink ref="AC351" r:id="rId347" display="http://thuyloitiengiang.vn/ja/web/thuyloitiengiang/chi-tiet-tin-tuc?id=520621"/>
    <hyperlink ref="AC352" r:id="rId348" display="http://thuyloitiengiang.vn/ja/web/thuyloitiengiang/chi-tiet-tin-tuc?id=520623"/>
    <hyperlink ref="AC353" r:id="rId349" display="http://thuyloitiengiang.vn/en/web/thuyloitiengiang/chi-tiet-tin-tuc?id=520630"/>
    <hyperlink ref="AC354" r:id="rId350" display="http://thuyloitiengiang.vn/en/web/thuyloitiengiang/chi-tiet-tin-tuc?id=522066"/>
    <hyperlink ref="AC355" r:id="rId351" display="http://thuyloitiengiang.vn/en/web/thuyloitiengiang/chi-tiet-tin-tuc?id=522066"/>
    <hyperlink ref="AC356" r:id="rId352" display="http://thuyloitiengiang.vn/web/thuyloitiengiang/chi-tiet-tin-tuc?id=464847"/>
    <hyperlink ref="AC357" r:id="rId353" display="http://thuyloitiengiang.vn/web/thuyloitiengiang/chi-tiet-tin-tuc?id=464851"/>
    <hyperlink ref="AC358" r:id="rId354" display="http://thuyloitiengiang.vn/web/thuyloitiengiang/chi-tiet-tin-tuc?id=464854"/>
    <hyperlink ref="AC359" r:id="rId355" display="http://thuyloitiengiang.vn/ja/web/thuyloitiengiang/chi-tiet-tin-tuc?id=520619"/>
    <hyperlink ref="AC360" r:id="rId356" display="http://thuyloitiengiang.vn/ja/web/thuyloitiengiang/chi-tiet-tin-tuc?id=520619"/>
    <hyperlink ref="AC361" r:id="rId357" display="http://thuyloitiengiang.vn/ja/web/thuyloitiengiang/chi-tiet-tin-tuc?id=520619"/>
    <hyperlink ref="AC362" r:id="rId358" display="http://thuyloitiengiang.vn/ja/web/thuyloitiengiang/chi-tiet-tin-tuc?id=520621"/>
    <hyperlink ref="AC363" r:id="rId359" display="http://thuyloitiengiang.vn/ja/web/thuyloitiengiang/chi-tiet-tin-tuc?id=520623"/>
    <hyperlink ref="AC364" r:id="rId360" display="http://thuyloitiengiang.vn/en/web/thuyloitiengiang/chi-tiet-tin-tuc?id=520630"/>
    <hyperlink ref="AC365" r:id="rId361" display="http://thuyloitiengiang.vn/en/web/thuyloitiengiang/chi-tiet-tin-tuc?id=522066"/>
    <hyperlink ref="AC366" r:id="rId362" display="https://pctt.tayninh.gov.vn/tinh-hinh-chat-luong-nuoc-76230/tinh-hinh-chat-luong-nuoc-xam-nhap-man-tren-cac-tuyen-song-trong-dia-ban-tinh-long-an-ngay-02-de-983594"/>
    <hyperlink ref="AC367" r:id="rId363" display="https://pctt.tayninh.gov.vn/tinh-hinh-chat-luong-nuoc-76230/tinh-hinh-chat-luong-nuoc-xam-nhap-man-tren-cac-tuyen-song-tren-dia-ban-tinh-long-an-tu-ngay-05--984252"/>
    <hyperlink ref="AC368" r:id="rId364" display="https://pctt.tayninh.gov.vn/tinh-hinh-chat-luong-nuoc-76230/tinh-hinh-chat-luong-nuoc-xam-nhap-man-tren-cac-tuyen-song-trong-dia-ban-tinh-long-an-ngay-02-de-983594"/>
    <hyperlink ref="AC369" r:id="rId365" display="https://pctt.tayninh.gov.vn/tinh-hinh-chat-luong-nuoc-76230/tinh-hinh-chat-luong-nuoc-xam-nhap-man-tren-cac-tuyen-song-trong-dia-ban-tinh-long-an-ngay-02-de-983594"/>
    <hyperlink ref="AC370" r:id="rId366" display="https://pctt.tayninh.gov.vn/tinh-hinh-chat-luong-nuoc-76230/tinh-hinh-chat-luong-nuoc-xam-nhap-man-tren-cac-tuyen-song-tren-dia-ban-tinh-long-an-tu-ngay-05--984252"/>
    <hyperlink ref="AC371" r:id="rId367" display="https://tamvu.tayninh.gov.vn/bao-cao-thong-ke/thong-bao-tinh-hinh-chat-luong-nuoc-xam-nhap-man-tren-cac-tuyen-song-tren-dia-ban-tinh-tay-ninh--1057028"/>
    <hyperlink ref="AC372" r:id="rId368" display="https://tamvu.tayninh.gov.vn/bao-cao-thong-ke/thong-bao-tinh-hinh-chat-luong-nuoc-xam-nhap-man-tren-cac-tuyen-song-tren-dia-ban-tinh-tay-ninh--1057028"/>
    <hyperlink ref="AC373" r:id="rId369" display="https://tamvu.tayninh.gov.vn/bao-cao-thong-ke/thong-bao-tinh-hinh-chat-luong-nuoc-xam-nhap-man-tren-cac-tuyen-song-tren-dia-ban-tinh-tay-ninh--1057028"/>
    <hyperlink ref="AC374" r:id="rId370" display="https://pctt.tayninh.gov.vn/tinh-hinh-chat-luong-nuoc-76230/tinh-hinh-chat-luong-nuoc-xam-nhap-man-tren-cac-tuyen-song-trong-dia-ban-tinh-long-an-ngay-02-de-983594"/>
    <hyperlink ref="AC375" r:id="rId371" display="https://pctt.tayninh.gov.vn/tinh-hinh-chat-luong-nuoc-76230/tinh-hinh-chat-luong-nuoc-xam-nhap-man-tren-cac-tuyen-song-tren-dia-ban-tinh-long-an-tu-ngay-05--984252"/>
    <hyperlink ref="AC376" r:id="rId372" display="https://pctt.tayninh.gov.vn/tinh-hinh-chat-luong-nuoc-76230/tinh-hinh-chat-luong-nuoc-xam-nhap-man-tren-cac-tuyen-song-trong-dia-ban-tinh-long-an-ngay-02-de-983594"/>
    <hyperlink ref="AC377" r:id="rId373" display="https://pctt.tayninh.gov.vn/tinh-hinh-chat-luong-nuoc-76230/tinh-hinh-chat-luong-nuoc-xam-nhap-man-tren-cac-tuyen-song-trong-dia-ban-tinh-long-an-ngay-02-de-983594"/>
    <hyperlink ref="AC378" r:id="rId374" display="https://pctt.tayninh.gov.vn/tinh-hinh-chat-luong-nuoc-76230/tinh-hinh-chat-luong-nuoc-xam-nhap-man-tren-cac-tuyen-song-tren-dia-ban-tinh-long-an-tu-ngay-05--984252"/>
    <hyperlink ref="AC379" r:id="rId375" display="https://tamvu.tayninh.gov.vn/bao-cao-thong-ke/thong-bao-tinh-hinh-chat-luong-nuoc-xam-nhap-man-tren-cac-tuyen-song-tren-dia-ban-tinh-tay-ninh--1057028"/>
    <hyperlink ref="AC380" r:id="rId376" display="https://tamvu.tayninh.gov.vn/bao-cao-thong-ke/thong-bao-tinh-hinh-chat-luong-nuoc-xam-nhap-man-tren-cac-tuyen-song-tren-dia-ban-tinh-tay-ninh--1057028"/>
    <hyperlink ref="AC381" r:id="rId377" display="https://tamvu.tayninh.gov.vn/bao-cao-thong-ke/thong-bao-tinh-hinh-chat-luong-nuoc-xam-nhap-man-tren-cac-tuyen-song-tren-dia-ban-tinh-tay-ninh--1057028"/>
    <hyperlink ref="AC382" r:id="rId378" display="https://baodongthap.vn/tien-giang-chu-dong-quyet-liet-voi-xam-nhap-man-a58212.html"/>
    <hyperlink ref="AC383" r:id="rId379" display="https://nhandan.vn/tien-giang-quyet-liet-trien-khai-cac-giai-phap-phong-chong-han-man-post799553.html"/>
    <hyperlink ref="AC384" r:id="rId380" display="https://baodongthap.vn/tien-giang-xam-nhap-man-giam-theo-trieu-cuong-nhung-van-o-muc-cao-a1148.html"/>
    <hyperlink ref="AC385" r:id="rId381" display="https://baodongthap.vn/tien-giang-muc-nuoc-tai-cac-kinh-rach-vung-ngot-hoa-go-cong-dang-dan-xuong-thap-a4427.html"/>
    <hyperlink ref="AC386" r:id="rId382" display="https://baodongthap.vn/xam-nhap-man-dat-dinh-va-se-giam-dan-trong-nhung-ngay-toi-a6163.html"/>
    <hyperlink ref="AC387" r:id="rId383" display="https://baodongthap.vn/tien-giang-man-xam-nhap-den-khu-vuc-cau-phu-phong-huyen-chau-thanh-a57394.html"/>
    <hyperlink ref="AC388" r:id="rId384" display="https://baodongthap.vn/tien-giang-xam-nhap-man-tiep-tuc-tang-theo-ky-trieu-cuong-a70919.html"/>
    <hyperlink ref="AC389" r:id="rId385" display="https://baodongthap.vn/tien-giang-xam-nhap-man-giam-nhe-a71088.html"/>
    <hyperlink ref="AC390" r:id="rId386" display="https://baodongthap.vn/tien-giang-muc-nuoc-tai-cac-kinh-rach-vung-ngot-hoa-go-cong-dang-dan-xuong-thap-a4427.html"/>
    <hyperlink ref="AC391" r:id="rId387" display="https://tuoitre.vn/tien-giang-man-da-xam-nhap-sau-vao-dat-lien-hon-50km-20240212110133913.htm"/>
    <hyperlink ref="AC392" r:id="rId388" display="https://baodongthap.vn/tien-giang-man-xam-nhap-den-khu-vuc-cau-phu-phong-huyen-chau-thanh-a57394.html"/>
    <hyperlink ref="AC393" r:id="rId389" display="https://nhandan.vn/tien-giang-quyet-liet-trien-khai-cac-giai-phap-phong-chong-han-man-post799553.html"/>
    <hyperlink ref="AC394" r:id="rId390" display="https://baodongthap.vn/tien-giang-xam-nhap-man-tiep-tuc-tang-theo-ky-trieu-cuong-a70919.html"/>
    <hyperlink ref="AC395" r:id="rId391" display="https://baodongthap.vn/tien-giang-xam-nhap-man-giam-nhe-a71088.html"/>
    <hyperlink ref="AC396" r:id="rId392" display="https://baodongthap.vn/tien-giang-man-xam-nhap-den-khu-vuc-cau-phu-phong-huyen-chau-thanh-a57394.html"/>
    <hyperlink ref="AC397" r:id="rId393" display="https://baodongthap.vn/tien-giang-chu-dong-quyet-liet-voi-xam-nhap-man-a58212.html"/>
    <hyperlink ref="AC398" r:id="rId394" display="https://baodongthap.vn/tien-giang-xam-nhap-man-tiep-tuc-tang-theo-ky-trieu-cuong-a70919.html"/>
    <hyperlink ref="AC399" r:id="rId395" display="https://baodongthap.vn/tien-giang-xam-nhap-man-giam-nhe-a71088.html"/>
    <hyperlink ref="AC400" r:id="rId396" display="https://tuoitre.vn/tien-giang-man-da-xam-nhap-sau-vao-dat-lien-hon-50km-20240212110133913.htm"/>
    <hyperlink ref="AC401" r:id="rId397" display="https://baodongthap.vn/tien-giang-man-xam-nhap-den-khu-vuc-cau-phu-phong-huyen-chau-thanh-a57394.html"/>
    <hyperlink ref="AC402" r:id="rId398" display="https://baodongthap.vn/tien-giang-xam-nhap-man-tiep-tuc-tang-theo-ky-trieu-cuong-a70919.html"/>
    <hyperlink ref="AC403" r:id="rId399" display="https://baodongthap.vn/tien-giang-xam-nhap-man-giam-nhe-a71088.html"/>
    <hyperlink ref="AC404" r:id="rId400" display="https://baodongthap.vn/tien-giang-xam-nhap-man-giam-cac-cong-thuoc-du-an-bao-dinh-van-hanh-lay-nuoc-a72711.html"/>
    <hyperlink ref="AC405" r:id="rId401" display="https://baodongthap.vn/tien-giang-xam-nhap-man-toi-huyen-chau-thanh-o-muc-0-42-g-l-a828.html"/>
    <hyperlink ref="AC406" r:id="rId402" display="https://baodongthap.vn/tien-giang-xam-nhap-man-giam-theo-trieu-cuong-nhung-van-o-muc-cao-a1148.html"/>
    <hyperlink ref="AC407" r:id="rId403" display="https://baodongthap.vn/tien-giang-muc-nuoc-tai-cac-kinh-rach-vung-ngot-hoa-go-cong-dang-dan-xuong-thap-a4427.html"/>
    <hyperlink ref="AC408" r:id="rId404" display="https://baodongthap.vn/xam-nhap-man-dat-dinh-va-se-giam-dan-trong-nhung-ngay-toi-a6163.html"/>
    <hyperlink ref="AC409" r:id="rId405" display="https://baodongthap.vn/dong-thap-xam-nhap-man-tang-tro-lai-theo-ky-trieu-cuong-dau-thang-3-am-lich-a239839.html"/>
    <hyperlink ref="AC410" r:id="rId406" display="https://phongchongthientaitiengiang.vn/?p=7360"/>
    <hyperlink ref="AC411" r:id="rId407" display="http://thuyloitiengiang.vn/web/thuyloitiengiang/chi-tiet-tin-tuc?id=455328"/>
    <hyperlink ref="AC412" r:id="rId408" display="http://thuyloitiengiang.vn/web/thuyloitiengiang/chi-tiet-tin-tuc?id=455332"/>
    <hyperlink ref="AC413" r:id="rId409" display="http://thuyloitiengiang.vn/web/thuyloitiengiang/chi-tiet-tin-tuc?id=455336"/>
    <hyperlink ref="AC414" r:id="rId410" display="http://thuyloitiengiang.vn/web/thuyloitiengiang/chi-tiet-tin-tuc?id=455412"/>
    <hyperlink ref="AC415" r:id="rId411" display="http://thuyloitiengiang.vn/web/thuyloitiengiang/chi-tiet-tin-tuc?id=455416"/>
    <hyperlink ref="AC416" r:id="rId412" display="https://phongchongthientaitiengiang.vn/?p=7360"/>
    <hyperlink ref="AC417" r:id="rId413" display="http://thuyloitiengiang.vn/web/thuyloitiengiang/chi-tiet-tin-tuc?id=455328"/>
    <hyperlink ref="AC418" r:id="rId414" display="http://thuyloitiengiang.vn/web/thuyloitiengiang/chi-tiet-tin-tuc?id=455332"/>
    <hyperlink ref="AC419" r:id="rId415" display="http://thuyloitiengiang.vn/web/thuyloitiengiang/chi-tiet-tin-tuc?id=455336"/>
    <hyperlink ref="AC420" r:id="rId416" display="http://thuyloitiengiang.vn/web/thuyloitiengiang/chi-tiet-tin-tuc?id=455412"/>
    <hyperlink ref="AC421" r:id="rId417" display="http://thuyloitiengiang.vn/web/thuyloitiengiang/chi-tiet-tin-tuc?id=455416"/>
    <hyperlink ref="AC422" r:id="rId418" display="https://tuoitre.vn/tien-giang-man-da-xam-nhap-sau-vao-dat-lien-hon-50km-20240212110133913.htm"/>
    <hyperlink ref="AC423" r:id="rId419" display="https://baodongthap.vn/tien-giang-man-xam-nhap-den-khu-vuc-cau-phu-phong-huyen-chau-thanh-a57394.html"/>
    <hyperlink ref="AC424" r:id="rId420" display="https://nhandan.vn/tien-giang-quyet-liet-trien-khai-cac-giai-phap-phong-chong-han-man-post799553.html"/>
    <hyperlink ref="AC425" r:id="rId421" display="https://baodongthap.vn/tien-giang-xam-nhap-man-tiep-tuc-tang-theo-ky-trieu-cuong-a70919.html"/>
    <hyperlink ref="AC426" r:id="rId422" display="https://baodongthap.vn/tien-giang-xam-nhap-man-giam-nhe-a71088.html"/>
    <hyperlink ref="AC427" r:id="rId423" display="https://baodongthap.vn/tien-giang-xam-nhap-man-giam-cac-cong-thuoc-du-an-bao-dinh-van-hanh-lay-nuoc-a72711.html"/>
    <hyperlink ref="AC428" r:id="rId424" display="https://nhandan.vn/xam-nhap-man-co-xu-the-tang-nhanh-tai-tien-giang-post852937.html"/>
    <hyperlink ref="AC429" r:id="rId425" display="https://baodongthap.vn/tien-giang-xam-nhap-man-tang-tro-lai-a34313.html"/>
    <hyperlink ref="AC430" r:id="rId426" display="https://phongchongthientaitiengiang.vn/?p=7360"/>
    <hyperlink ref="AC431" r:id="rId427" display="https://baodongthap.vn/tien-giang-xam-nhap-man-toi-huyen-chau-thanh-o-muc-0-42-g-l-a828.html"/>
    <hyperlink ref="AC432" r:id="rId428" display="https://baodongthap.vn/tien-giang-xam-nhap-man-giam-theo-trieu-cuong-nhung-van-o-muc-cao-a1148.html"/>
    <hyperlink ref="AC433" r:id="rId429" display="https://baodongthap.vn/tien-giang-muc-nuoc-tai-cac-kinh-rach-vung-ngot-hoa-go-cong-dang-dan-xuong-thap-a4427.html"/>
    <hyperlink ref="AC434" r:id="rId430" display="https://baodongthap.vn/xam-nhap-man-giam-cong-xuan-hoa-lay-gan-nuoc-ngot-a5603.html"/>
    <hyperlink ref="AC435" r:id="rId431" display="https://baodongthap.vn/xam-nhap-man-dat-dinh-va-se-giam-dan-trong-nhung-ngay-toi-a6163.html"/>
    <hyperlink ref="AC436" r:id="rId432" display="http://thuyloitiengiang.vn/web/thuyloitiengiang/chi-tiet-tin-tuc?id=455328"/>
    <hyperlink ref="AC437" r:id="rId433" display="http://thuyloitiengiang.vn/web/thuyloitiengiang/chi-tiet-tin-tuc?id=455332"/>
    <hyperlink ref="AC438" r:id="rId434" display="http://thuyloitiengiang.vn/web/thuyloitiengiang/chi-tiet-tin-tuc?id=455336"/>
    <hyperlink ref="AC439" r:id="rId435" display="http://thuyloitiengiang.vn/web/thuyloitiengiang/chi-tiet-tin-tuc?id=455412"/>
    <hyperlink ref="AC440" r:id="rId436" display="http://thuyloitiengiang.vn/web/thuyloitiengiang/chi-tiet-tin-tuc?id=455416"/>
    <hyperlink ref="AC441" r:id="rId437" display="https://phongchongthientaitiengiang.vn/?p=7360"/>
    <hyperlink ref="AC442" r:id="rId438" display="https://phongchongthientaitiengiang.vn/?p=7360"/>
    <hyperlink ref="AC443" r:id="rId439" display="https://baodongthap.vn/dong-thap-xam-nhap-man-tang-tro-lai-theo-ky-trieu-cuong-dau-thang-3-am-lich-a239839.html"/>
    <hyperlink ref="AC444" r:id="rId440" display="http://thuyloitiengiang.vn/web/thuyloitiengiang/chi-tiet-tin-tuc?id=455328"/>
    <hyperlink ref="AC445" r:id="rId441" display="http://thuyloitiengiang.vn/web/thuyloitiengiang/chi-tiet-tin-tuc?id=455328"/>
    <hyperlink ref="AC446" r:id="rId442" display="http://thuyloitiengiang.vn/web/thuyloitiengiang/chi-tiet-tin-tuc?id=455332"/>
    <hyperlink ref="AC447" r:id="rId443" display="http://thuyloitiengiang.vn/web/thuyloitiengiang/chi-tiet-tin-tuc?id=455336"/>
    <hyperlink ref="AC448" r:id="rId444" display="http://thuyloitiengiang.vn/web/thuyloitiengiang/chi-tiet-tin-tuc?id=455412"/>
    <hyperlink ref="AC449" r:id="rId445" display="http://thuyloitiengiang.vn/web/thuyloitiengiang/chi-tiet-tin-tuc?id=455416"/>
    <hyperlink ref="AC450" r:id="rId446" display="https://phongchongthientaitiengiang.vn/?p=7360"/>
    <hyperlink ref="AC451" r:id="rId447" display="http://thuyloitiengiang.vn/web/thuyloitiengiang/chi-tiet-tin-tuc?id=455328"/>
    <hyperlink ref="AC452" r:id="rId448" display="http://thuyloitiengiang.vn/web/thuyloitiengiang/chi-tiet-tin-tuc?id=455332"/>
    <hyperlink ref="AC453" r:id="rId449" display="http://thuyloitiengiang.vn/web/thuyloitiengiang/chi-tiet-tin-tuc?id=455336"/>
    <hyperlink ref="AC454" r:id="rId450" display="http://thuyloitiengiang.vn/web/thuyloitiengiang/chi-tiet-tin-tuc?id=455412"/>
    <hyperlink ref="AC455" r:id="rId451" display="http://thuyloitiengiang.vn/web/thuyloitiengiang/chi-tiet-tin-tuc?id=455416"/>
    <hyperlink ref="AC456" r:id="rId452" display="https://phongchongthientaitiengiang.vn/?p=7360"/>
    <hyperlink ref="AC457" r:id="rId453" display="http://thuyloitiengiang.vn/web/thuyloitiengiang/chi-tiet-tin-tuc?id=455328"/>
    <hyperlink ref="AC458" r:id="rId454" display="http://thuyloitiengiang.vn/web/thuyloitiengiang/chi-tiet-tin-tuc?id=455332"/>
    <hyperlink ref="AC459" r:id="rId455" display="http://thuyloitiengiang.vn/web/thuyloitiengiang/chi-tiet-tin-tuc?id=455336"/>
    <hyperlink ref="AC460" r:id="rId456" display="http://thuyloitiengiang.vn/web/thuyloitiengiang/chi-tiet-tin-tuc?id=455412"/>
    <hyperlink ref="AC461" r:id="rId457" display="http://thuyloitiengiang.vn/web/thuyloitiengiang/chi-tiet-tin-tuc?id=455416"/>
    <hyperlink ref="AC462" r:id="rId458" display="https://phongchongthientaitiengiang.vn/?p=7360"/>
    <hyperlink ref="AC463" r:id="rId459" display="http://thuyloitiengiang.vn/web/thuyloitiengiang/chi-tiet-tin-tuc?id=455328"/>
    <hyperlink ref="AC464" r:id="rId460" display="http://thuyloitiengiang.vn/web/thuyloitiengiang/chi-tiet-tin-tuc?id=455332"/>
    <hyperlink ref="AC465" r:id="rId461" display="http://thuyloitiengiang.vn/web/thuyloitiengiang/chi-tiet-tin-tuc?id=455336"/>
    <hyperlink ref="AC466" r:id="rId462" display="http://thuyloitiengiang.vn/web/thuyloitiengiang/chi-tiet-tin-tuc?id=455412"/>
    <hyperlink ref="AC467" r:id="rId463" display="http://thuyloitiengiang.vn/web/thuyloitiengiang/chi-tiet-tin-tuc?id=455416"/>
    <hyperlink ref="AC468" r:id="rId464" display="https://phongchongthientaitiengiang.vn/?p=7360"/>
    <hyperlink ref="AC469" r:id="rId465" display="https://phongchongthientaitiengiang.vn/?p=7360"/>
    <hyperlink ref="AC470" r:id="rId466" display="http://thuyloitiengiang.vn/web/thuyloitiengiang/chi-tiet-tin-tuc?id=455328"/>
    <hyperlink ref="AC471" r:id="rId467" display="http://thuyloitiengiang.vn/web/thuyloitiengiang/chi-tiet-tin-tuc?id=455328"/>
    <hyperlink ref="AC472" r:id="rId468" display="http://thuyloitiengiang.vn/web/thuyloitiengiang/chi-tiet-tin-tuc?id=455332"/>
    <hyperlink ref="AC473" r:id="rId469" display="http://thuyloitiengiang.vn/web/thuyloitiengiang/chi-tiet-tin-tuc?id=455336"/>
    <hyperlink ref="AC474" r:id="rId470" display="http://thuyloitiengiang.vn/web/thuyloitiengiang/chi-tiet-tin-tuc?id=455412"/>
    <hyperlink ref="AC475" r:id="rId471" display="http://thuyloitiengiang.vn/web/thuyloitiengiang/chi-tiet-tin-tuc?id=455416"/>
    <hyperlink ref="AC476" r:id="rId472" display="http://thuyloitiengiang.vn/web/thuyloitiengiang/chi-tiet-tin-tuc?id=464847"/>
    <hyperlink ref="AC477" r:id="rId473" display="http://thuyloitiengiang.vn/web/thuyloitiengiang/chi-tiet-tin-tuc?id=464847"/>
    <hyperlink ref="AC478" r:id="rId474" display="http://thuyloitiengiang.vn/web/thuyloitiengiang/chi-tiet-tin-tuc?id=464854"/>
    <hyperlink ref="AC479" r:id="rId475" display="http://thuyloitiengiang.vn/web/thuyloitiengiang/chi-tiet-tin-tuc?id=464854"/>
    <hyperlink ref="AC480" r:id="rId476" display="http://thuyloitiengiang.vn/web/thuyloitiengiang/chi-tiet-tin-tuc?id=464854"/>
    <hyperlink ref="AC481" r:id="rId477" display="http://thuyloitiengiang.vn/ja/web/thuyloitiengiang/chi-tiet-tin-tuc?id=520619"/>
    <hyperlink ref="AC482" r:id="rId478" display="http://thuyloitiengiang.vn/ja/web/thuyloitiengiang/chi-tiet-tin-tuc?id=520619"/>
    <hyperlink ref="AC483" r:id="rId479" display="http://thuyloitiengiang.vn/ja/web/thuyloitiengiang/chi-tiet-tin-tuc?id=520619"/>
    <hyperlink ref="AC484" r:id="rId480" display="http://thuyloitiengiang.vn/ja/web/thuyloitiengiang/chi-tiet-tin-tuc?id=520621"/>
    <hyperlink ref="AC485" r:id="rId481" display="http://thuyloitiengiang.vn/ja/web/thuyloitiengiang/chi-tiet-tin-tuc?id=520623"/>
    <hyperlink ref="AC486" r:id="rId482" display="http://thuyloitiengiang.vn/en/web/thuyloitiengiang/chi-tiet-tin-tuc?id=520630"/>
    <hyperlink ref="AC487" r:id="rId483" display="http://thuyloitiengiang.vn/en/web/thuyloitiengiang/chi-tiet-tin-tuc?id=522066"/>
    <hyperlink ref="AC488" r:id="rId484" display="https://baodongthap.vn/tien-giang-muc-nuoc-tai-cac-kinh-rach-vung-ngot-hoa-go-cong-dang-dan-xuong-thap-a4427.html"/>
    <hyperlink ref="AC489" r:id="rId485" display="https://baodongthap.vn/xam-nhap-man-dat-dinh-va-se-giam-dan-trong-nhung-ngay-toi-a6163.html"/>
    <hyperlink ref="AC490" r:id="rId486" display="https://phongchongthientaitiengiang.vn/?p=7360"/>
    <hyperlink ref="AC491" r:id="rId487" display="http://thuyloitiengiang.vn/web/thuyloitiengiang/chi-tiet-tin-tuc?id=455328"/>
    <hyperlink ref="AC492" r:id="rId488" display="http://thuyloitiengiang.vn/web/thuyloitiengiang/chi-tiet-tin-tuc?id=455332"/>
    <hyperlink ref="AC493" r:id="rId489" display="http://thuyloitiengiang.vn/web/thuyloitiengiang/chi-tiet-tin-tuc?id=455336"/>
    <hyperlink ref="AC494" r:id="rId490" display="http://thuyloitiengiang.vn/web/thuyloitiengiang/chi-tiet-tin-tuc?id=455412"/>
    <hyperlink ref="AC495" r:id="rId491" display="http://thuyloitiengiang.vn/web/thuyloitiengiang/chi-tiet-tin-tuc?id=455416"/>
    <hyperlink ref="AC496" r:id="rId492" display="https://phongchongthientaitiengiang.vn/?p=7360"/>
    <hyperlink ref="AC497" r:id="rId493" display="http://thuyloitiengiang.vn/web/thuyloitiengiang/chi-tiet-tin-tuc?id=455328"/>
    <hyperlink ref="AC498" r:id="rId494" display="http://thuyloitiengiang.vn/web/thuyloitiengiang/chi-tiet-tin-tuc?id=455332"/>
    <hyperlink ref="AC499" r:id="rId495" display="http://thuyloitiengiang.vn/web/thuyloitiengiang/chi-tiet-tin-tuc?id=455336"/>
    <hyperlink ref="AC500" r:id="rId496" display="http://thuyloitiengiang.vn/web/thuyloitiengiang/chi-tiet-tin-tuc?id=455412"/>
    <hyperlink ref="AC501" r:id="rId497" display="http://thuyloitiengiang.vn/web/thuyloitiengiang/chi-tiet-tin-tuc?id=455416"/>
    <hyperlink ref="AC502" r:id="rId498" display="https://phongchongthientaitiengiang.vn/?p=7360"/>
    <hyperlink ref="AC503" r:id="rId499" display="https://baodongthap.vn/xam-nhap-man-dat-dinh-va-se-giam-dan-trong-nhung-ngay-toi-a6163.html"/>
    <hyperlink ref="AC504" r:id="rId500" display="http://thuyloitiengiang.vn/web/thuyloitiengiang/chi-tiet-tin-tuc?id=455328"/>
    <hyperlink ref="AC505" r:id="rId501" display="http://thuyloitiengiang.vn/web/thuyloitiengiang/chi-tiet-tin-tuc?id=455332"/>
    <hyperlink ref="AC506" r:id="rId502" display="http://thuyloitiengiang.vn/web/thuyloitiengiang/chi-tiet-tin-tuc?id=455336"/>
    <hyperlink ref="AC507" r:id="rId503" display="http://thuyloitiengiang.vn/web/thuyloitiengiang/chi-tiet-tin-tuc?id=455412"/>
    <hyperlink ref="AC508" r:id="rId504" display="http://thuyloitiengiang.vn/web/thuyloitiengiang/chi-tiet-tin-tuc?id=455416"/>
    <hyperlink ref="AC509" r:id="rId505" display="https://phongchongthientaitiengiang.vn/?p=7360"/>
    <hyperlink ref="AC510" r:id="rId506" display="https://phongchongthientaitiengiang.vn/?p=7360"/>
    <hyperlink ref="AC511" r:id="rId507" display="http://thuyloitiengiang.vn/web/thuyloitiengiang/chi-tiet-tin-tuc?id=455328"/>
    <hyperlink ref="AC512" r:id="rId508" display="http://thuyloitiengiang.vn/web/thuyloitiengiang/chi-tiet-tin-tuc?id=455328"/>
    <hyperlink ref="AC513" r:id="rId509" display="http://thuyloitiengiang.vn/web/thuyloitiengiang/chi-tiet-tin-tuc?id=455332"/>
    <hyperlink ref="AC514" r:id="rId510" display="http://thuyloitiengiang.vn/web/thuyloitiengiang/chi-tiet-tin-tuc?id=455336"/>
    <hyperlink ref="AC515" r:id="rId511" display="http://thuyloitiengiang.vn/web/thuyloitiengiang/chi-tiet-tin-tuc?id=455412"/>
    <hyperlink ref="AC516" r:id="rId512" display="http://thuyloitiengiang.vn/web/thuyloitiengiang/chi-tiet-tin-tuc?id=455416"/>
    <hyperlink ref="AC517" r:id="rId513" display="https://nhandan.vn/tien-giang-quyet-liet-trien-khai-cac-giai-phap-phong-chong-han-man-post799553.html"/>
    <hyperlink ref="AC518" r:id="rId514" display="http://thuyloitiengiang.vn/web/thuyloitiengiang/chi-tiet-tin-tuc?id=455328"/>
    <hyperlink ref="AC519" r:id="rId515" display="http://thuyloitiengiang.vn/web/thuyloitiengiang/chi-tiet-tin-tuc?id=455332"/>
    <hyperlink ref="AC520" r:id="rId516" display="http://thuyloitiengiang.vn/web/thuyloitiengiang/chi-tiet-tin-tuc?id=455336"/>
    <hyperlink ref="AC521" r:id="rId517" display="http://thuyloitiengiang.vn/web/thuyloitiengiang/chi-tiet-tin-tuc?id=455412"/>
    <hyperlink ref="AC522" r:id="rId518" display="http://thuyloitiengiang.vn/web/thuyloitiengiang/chi-tiet-tin-tuc?id=455416"/>
    <hyperlink ref="AC523" r:id="rId519" display="http://thuyloitiengiang.vn/web/thuyloitiengiang/chi-tiet-tin-tuc?id=455328"/>
    <hyperlink ref="AC524" r:id="rId520" display="http://thuyloitiengiang.vn/web/thuyloitiengiang/chi-tiet-tin-tuc?id=455332"/>
    <hyperlink ref="AC525" r:id="rId521" display="http://thuyloitiengiang.vn/web/thuyloitiengiang/chi-tiet-tin-tuc?id=455336"/>
    <hyperlink ref="AC526" r:id="rId522" display="http://thuyloitiengiang.vn/web/thuyloitiengiang/chi-tiet-tin-tuc?id=455412"/>
    <hyperlink ref="AC527" r:id="rId523" display="http://thuyloitiengiang.vn/web/thuyloitiengiang/chi-tiet-tin-tuc?id=455416"/>
    <hyperlink ref="AC528" r:id="rId524" display="https://tuoitre.vn/tien-giang-man-da-xam-nhap-sau-vao-dat-lien-hon-50km-20240212110133913.htm"/>
    <hyperlink ref="AC529" r:id="rId525" display="https://baodongthap.vn/tien-giang-man-xam-nhap-den-khu-vuc-cau-phu-phong-huyen-chau-thanh-a57394.html"/>
    <hyperlink ref="AC530" r:id="rId526" display="https://nhandan.vn/tien-giang-quyet-liet-trien-khai-cac-giai-phap-phong-chong-han-man-post799553.html"/>
    <hyperlink ref="AC531" r:id="rId527" display="https://baodongthap.vn/tien-giang-xam-nhap-man-tiep-tuc-tang-theo-ky-trieu-cuong-a70919.html"/>
    <hyperlink ref="AC532" r:id="rId528" display="https://baodongthap.vn/tien-giang-xam-nhap-man-giam-nhe-a71088.html"/>
    <hyperlink ref="AC533" r:id="rId529" display="https://baodongthap.vn/tien-giang-xam-nhap-man-giam-cac-cong-thuoc-du-an-bao-dinh-van-hanh-lay-nuoc-a72711.html"/>
    <hyperlink ref="AC534" r:id="rId530" display="https://baodongthap.vn/tien-giang-xam-nhap-man-toi-huyen-chau-thanh-o-muc-0-42-g-l-a828.html"/>
    <hyperlink ref="AC535" r:id="rId531" display="https://baodongthap.vn/tien-giang-xam-nhap-man-giam-theo-trieu-cuong-nhung-van-o-muc-cao-a1148.html"/>
    <hyperlink ref="AC536" r:id="rId532" display="https://baodongthap.vn/tien-giang-muc-nuoc-tai-cac-kinh-rach-vung-ngot-hoa-go-cong-dang-dan-xuong-thap-a4427.html"/>
    <hyperlink ref="AC537" r:id="rId533" display="https://baodongthap.vn/xam-nhap-man-dat-dinh-va-se-giam-dan-trong-nhung-ngay-toi-a6163.html"/>
    <hyperlink ref="AC538" r:id="rId534" display="http://thuyloitiengiang.vn/web/thuyloitiengiang/chi-tiet-tin-tuc?id=455328"/>
    <hyperlink ref="AC539" r:id="rId535" display="http://thuyloitiengiang.vn/web/thuyloitiengiang/chi-tiet-tin-tuc?id=455332"/>
    <hyperlink ref="AC540" r:id="rId536" display="http://thuyloitiengiang.vn/web/thuyloitiengiang/chi-tiet-tin-tuc?id=455336"/>
    <hyperlink ref="AC541" r:id="rId537" display="http://thuyloitiengiang.vn/web/thuyloitiengiang/chi-tiet-tin-tuc?id=455412"/>
    <hyperlink ref="AC542" r:id="rId538" display="http://thuyloitiengiang.vn/web/thuyloitiengiang/chi-tiet-tin-tuc?id=455416"/>
    <hyperlink ref="AC543" r:id="rId539" display="https://nhandan.vn/man-xam-nhap-sau-vao-noi-dong-o-dong-thap-post943395.html"/>
    <hyperlink ref="AC544" r:id="rId540" display="https://baodongthap.vn/dong-thap-xam-nhap-man-tang-tro-lai-theo-ky-trieu-cuong-dau-thang-3-am-lich-a239839.html"/>
    <hyperlink ref="AC545" r:id="rId541" display="http://thuyloitiengiang.vn/web/thuyloitiengiang/chi-tiet-tin-tuc?id=455328"/>
    <hyperlink ref="AC546" r:id="rId542" display="http://thuyloitiengiang.vn/web/thuyloitiengiang/chi-tiet-tin-tuc?id=455328"/>
    <hyperlink ref="AC547" r:id="rId543" display="http://thuyloitiengiang.vn/web/thuyloitiengiang/chi-tiet-tin-tuc?id=455332"/>
    <hyperlink ref="AC548" r:id="rId544" display="http://thuyloitiengiang.vn/web/thuyloitiengiang/chi-tiet-tin-tuc?id=455336"/>
    <hyperlink ref="AC549" r:id="rId545" display="http://thuyloitiengiang.vn/web/thuyloitiengiang/chi-tiet-tin-tuc?id=455412"/>
    <hyperlink ref="AC550" r:id="rId546" display="http://thuyloitiengiang.vn/web/thuyloitiengiang/chi-tiet-tin-tuc?id=455416"/>
    <hyperlink ref="AC551" r:id="rId547" display="http://thuyloitiengiang.vn/web/thuyloitiengiang/chi-tiet-tin-tuc?id=464847"/>
    <hyperlink ref="AC552" r:id="rId548" display="http://thuyloitiengiang.vn/web/thuyloitiengiang/chi-tiet-tin-tuc?id=464847"/>
    <hyperlink ref="AC553" r:id="rId549" display="http://thuyloitiengiang.vn/web/thuyloitiengiang/chi-tiet-tin-tuc?id=464851"/>
    <hyperlink ref="AC554" r:id="rId550" display="http://thuyloitiengiang.vn/web/thuyloitiengiang/chi-tiet-tin-tuc?id=464851"/>
    <hyperlink ref="AC555" r:id="rId551" display="http://thuyloitiengiang.vn/web/thuyloitiengiang/chi-tiet-tin-tuc?id=464854"/>
    <hyperlink ref="AC556" r:id="rId552" display="http://thuyloitiengiang.vn/ja/web/thuyloitiengiang/chi-tiet-tin-tuc?id=520619"/>
    <hyperlink ref="AC557" r:id="rId553" display="http://thuyloitiengiang.vn/ja/web/thuyloitiengiang/chi-tiet-tin-tuc?id=520619"/>
    <hyperlink ref="AC558" r:id="rId554" display="http://thuyloitiengiang.vn/ja/web/thuyloitiengiang/chi-tiet-tin-tuc?id=520621"/>
    <hyperlink ref="AC559" r:id="rId555" display="http://thuyloitiengiang.vn/ja/web/thuyloitiengiang/chi-tiet-tin-tuc?id=520623"/>
    <hyperlink ref="AC560" r:id="rId556" display="http://thuyloitiengiang.vn/en/web/thuyloitiengiang/chi-tiet-tin-tuc?id=520630"/>
    <hyperlink ref="AC561" r:id="rId557" display="http://thuyloitiengiang.vn/en/web/thuyloitiengiang/chi-tiet-tin-tuc?id=522066"/>
    <hyperlink ref="AC562" r:id="rId558" display="http://thuyloitiengiang.vn/en/web/thuyloitiengiang/chi-tiet-tin-tuc?id=522066"/>
    <hyperlink ref="AC563" r:id="rId559" display="https://phongchongthientaitiengiang.vn/?p=7360"/>
    <hyperlink ref="AC564" r:id="rId560" display="http://thuyloitiengiang.vn/web/thuyloitiengiang/chi-tiet-tin-tuc?id=455328"/>
    <hyperlink ref="AC565" r:id="rId561" display="http://thuyloitiengiang.vn/web/thuyloitiengiang/chi-tiet-tin-tuc?id=455332"/>
    <hyperlink ref="AC566" r:id="rId562" display="http://thuyloitiengiang.vn/web/thuyloitiengiang/chi-tiet-tin-tuc?id=455336"/>
    <hyperlink ref="AC567" r:id="rId563" display="http://thuyloitiengiang.vn/web/thuyloitiengiang/chi-tiet-tin-tuc?id=455412"/>
    <hyperlink ref="AC568" r:id="rId564" display="http://thuyloitiengiang.vn/web/thuyloitiengiang/chi-tiet-tin-tuc?id=455416"/>
    <hyperlink ref="AC569" r:id="rId565" display="https://phongchongthientaitiengiang.vn/?p=7360"/>
    <hyperlink ref="AC570" r:id="rId566" display="http://thuyloitiengiang.vn/web/thuyloitiengiang/chi-tiet-tin-tuc?id=455328"/>
    <hyperlink ref="AC571" r:id="rId567" display="http://thuyloitiengiang.vn/web/thuyloitiengiang/chi-tiet-tin-tuc?id=455332"/>
    <hyperlink ref="AC572" r:id="rId568" display="http://thuyloitiengiang.vn/web/thuyloitiengiang/chi-tiet-tin-tuc?id=455336"/>
    <hyperlink ref="AC573" r:id="rId569" display="http://thuyloitiengiang.vn/web/thuyloitiengiang/chi-tiet-tin-tuc?id=455412"/>
    <hyperlink ref="AC574" r:id="rId570" display="http://thuyloitiengiang.vn/web/thuyloitiengiang/chi-tiet-tin-tuc?id=455416"/>
    <hyperlink ref="AC575" r:id="rId571" display="https://tuoitre.vn/tien-giang-man-da-xam-nhap-sau-vao-dat-lien-hon-50km-20240212110133913.htm"/>
    <hyperlink ref="AC576" r:id="rId572" display="https://baodongthap.vn/tien-giang-man-xam-nhap-den-khu-vuc-cau-phu-phong-huyen-chau-thanh-a57394.html"/>
    <hyperlink ref="AC577" r:id="rId573" display="https://nhandan.vn/tien-giang-quyet-liet-trien-khai-cac-giai-phap-phong-chong-han-man-post799553.html"/>
    <hyperlink ref="AC578" r:id="rId574" display="https://baodongthap.vn/tien-giang-xam-nhap-man-tiep-tuc-tang-theo-ky-trieu-cuong-a70919.html"/>
    <hyperlink ref="AC579" r:id="rId575" display="https://baodongthap.vn/tien-giang-xam-nhap-man-giam-nhe-a71088.html"/>
    <hyperlink ref="AC580" r:id="rId576" display="https://baodongthap.vn/tien-giang-xam-nhap-man-giam-cac-cong-thuoc-du-an-bao-dinh-van-hanh-lay-nuoc-a72711.html"/>
    <hyperlink ref="AC581" r:id="rId577" display="https://baodongthap.vn/tien-giang-man-da-xam-nhap-toi-tp-my-tho-a13709.html"/>
    <hyperlink ref="AC582" r:id="rId578" display="https://baodongthap.vn/tien-giang-xam-nhap-man-tang-tro-lai-a34313.html"/>
    <hyperlink ref="AC583" r:id="rId579" display="https://phongchongthientaitiengiang.vn/?p=7360"/>
    <hyperlink ref="AC584" r:id="rId580" display="https://baodongthap.vn/tien-giang-xam-nhap-man-toi-huyen-chau-thanh-o-muc-0-42-g-l-a828.html"/>
    <hyperlink ref="AC585" r:id="rId581" display="https://baodongthap.vn/tien-giang-xam-nhap-man-giam-theo-trieu-cuong-nhung-van-o-muc-cao-a1148.html"/>
    <hyperlink ref="AC586" r:id="rId582" display="https://baodongthap.vn/tien-giang-muc-nuoc-tai-cac-kinh-rach-vung-ngot-hoa-go-cong-dang-dan-xuong-thap-a4427.html"/>
    <hyperlink ref="AC587" r:id="rId583" display="https://baodongthap.vn/xam-nhap-man-giam-cong-xuan-hoa-lay-gan-nuoc-ngot-a5603.html"/>
    <hyperlink ref="AC588" r:id="rId584" display="https://baodongthap.vn/xam-nhap-man-dat-dinh-va-se-giam-dan-trong-nhung-ngay-toi-a6163.html"/>
    <hyperlink ref="AC589" r:id="rId585" display="http://thuyloitiengiang.vn/web/thuyloitiengiang/chi-tiet-tin-tuc?id=455328"/>
    <hyperlink ref="AC590" r:id="rId586" display="http://thuyloitiengiang.vn/web/thuyloitiengiang/chi-tiet-tin-tuc?id=455332"/>
    <hyperlink ref="AC591" r:id="rId587" display="http://thuyloitiengiang.vn/web/thuyloitiengiang/chi-tiet-tin-tuc?id=455336"/>
    <hyperlink ref="AC592" r:id="rId588" display="http://thuyloitiengiang.vn/web/thuyloitiengiang/chi-tiet-tin-tuc?id=455412"/>
    <hyperlink ref="AC593" r:id="rId589" display="http://thuyloitiengiang.vn/web/thuyloitiengiang/chi-tiet-tin-tuc?id=455416"/>
    <hyperlink ref="AC594" r:id="rId590" display="https://phongchongthientaitiengiang.vn/?p=7360"/>
    <hyperlink ref="AC595" r:id="rId591" display="https://phongchongthientaitiengiang.vn/?p=7360"/>
    <hyperlink ref="AC596" r:id="rId592" display="https://baodongthap.vn/dong-thap-xam-nhap-man-tang-tro-lai-theo-ky-trieu-cuong-dau-thang-3-am-lich-a239839.html"/>
    <hyperlink ref="AC597" r:id="rId593" display="http://thuyloitiengiang.vn/web/thuyloitiengiang/chi-tiet-tin-tuc?id=455328"/>
    <hyperlink ref="AC598" r:id="rId594" display="http://thuyloitiengiang.vn/web/thuyloitiengiang/chi-tiet-tin-tuc?id=455328"/>
    <hyperlink ref="AC599" r:id="rId595" display="http://thuyloitiengiang.vn/web/thuyloitiengiang/chi-tiet-tin-tuc?id=455332"/>
    <hyperlink ref="AC600" r:id="rId596" display="http://thuyloitiengiang.vn/web/thuyloitiengiang/chi-tiet-tin-tuc?id=455336"/>
    <hyperlink ref="AC601" r:id="rId597" display="http://thuyloitiengiang.vn/web/thuyloitiengiang/chi-tiet-tin-tuc?id=455412"/>
    <hyperlink ref="AC602" r:id="rId598" display="http://thuyloitiengiang.vn/web/thuyloitiengiang/chi-tiet-tin-tuc?id=455416"/>
    <hyperlink ref="AC603" r:id="rId599" display="http://thuyloitiengiang.vn/web/thuyloitiengiang/chi-tiet-tin-tuc?id=464847"/>
    <hyperlink ref="AC604" r:id="rId600" display="http://thuyloitiengiang.vn/web/thuyloitiengiang/chi-tiet-tin-tuc?id=464851"/>
    <hyperlink ref="AC605" r:id="rId601" display="http://thuyloitiengiang.vn/web/thuyloitiengiang/chi-tiet-tin-tuc?id=464854"/>
    <hyperlink ref="AC606" r:id="rId602" display="http://thuyloitiengiang.vn/ja/web/thuyloitiengiang/chi-tiet-tin-tuc?id=520619"/>
    <hyperlink ref="AC607" r:id="rId603" display="http://thuyloitiengiang.vn/ja/web/thuyloitiengiang/chi-tiet-tin-tuc?id=520621"/>
    <hyperlink ref="AC608" r:id="rId604" display="http://thuyloitiengiang.vn/ja/web/thuyloitiengiang/chi-tiet-tin-tuc?id=520623"/>
    <hyperlink ref="AC609" r:id="rId605" display="http://thuyloitiengiang.vn/en/web/thuyloitiengiang/chi-tiet-tin-tuc?id=520630"/>
    <hyperlink ref="AC610" r:id="rId606" display="http://thuyloitiengiang.vn/en/web/thuyloitiengiang/chi-tiet-tin-tuc?id=522066"/>
    <hyperlink ref="AC611" r:id="rId607" display="https://phongchongthientaitiengiang.vn/?p=7360"/>
    <hyperlink ref="AC612" r:id="rId608" display="http://thuyloitiengiang.vn/web/thuyloitiengiang/chi-tiet-tin-tuc?id=455328"/>
    <hyperlink ref="AC613" r:id="rId609" display="http://thuyloitiengiang.vn/web/thuyloitiengiang/chi-tiet-tin-tuc?id=455332"/>
    <hyperlink ref="AC614" r:id="rId610" display="http://thuyloitiengiang.vn/web/thuyloitiengiang/chi-tiet-tin-tuc?id=455336"/>
    <hyperlink ref="AC615" r:id="rId611" display="http://thuyloitiengiang.vn/web/thuyloitiengiang/chi-tiet-tin-tuc?id=455412"/>
    <hyperlink ref="AC616" r:id="rId612" display="http://thuyloitiengiang.vn/web/thuyloitiengiang/chi-tiet-tin-tuc?id=455416"/>
    <hyperlink ref="AC617" r:id="rId613" display="https://phongchongthientaitiengiang.vn/?p=7360"/>
    <hyperlink ref="AC618" r:id="rId614" display="http://thuyloitiengiang.vn/web/thuyloitiengiang/chi-tiet-tin-tuc?id=455328"/>
    <hyperlink ref="AC619" r:id="rId615" display="http://thuyloitiengiang.vn/web/thuyloitiengiang/chi-tiet-tin-tuc?id=455332"/>
    <hyperlink ref="AC620" r:id="rId616" display="http://thuyloitiengiang.vn/web/thuyloitiengiang/chi-tiet-tin-tuc?id=455336"/>
    <hyperlink ref="AC621" r:id="rId617" display="http://thuyloitiengiang.vn/web/thuyloitiengiang/chi-tiet-tin-tuc?id=455412"/>
    <hyperlink ref="AC622" r:id="rId618" display="http://thuyloitiengiang.vn/web/thuyloitiengiang/chi-tiet-tin-tuc?id=455416"/>
    <hyperlink ref="AC623" r:id="rId619" display="https://phongchongthientaitiengiang.vn/?p=7360"/>
    <hyperlink ref="AC624" r:id="rId620" display="http://thuyloitiengiang.vn/web/thuyloitiengiang/chi-tiet-tin-tuc?id=455328"/>
    <hyperlink ref="AC625" r:id="rId621" display="http://thuyloitiengiang.vn/web/thuyloitiengiang/chi-tiet-tin-tuc?id=455332"/>
    <hyperlink ref="AC626" r:id="rId622" display="http://thuyloitiengiang.vn/web/thuyloitiengiang/chi-tiet-tin-tuc?id=455336"/>
    <hyperlink ref="AC627" r:id="rId623" display="http://thuyloitiengiang.vn/web/thuyloitiengiang/chi-tiet-tin-tuc?id=455412"/>
    <hyperlink ref="AC628" r:id="rId624" display="http://thuyloitiengiang.vn/web/thuyloitiengiang/chi-tiet-tin-tuc?id=455416"/>
    <hyperlink ref="AC629" r:id="rId625" display="https://phongchongthientaitiengiang.vn/?p=7360"/>
    <hyperlink ref="AC630" r:id="rId626" display="https://phongchongthientaitiengiang.vn/?p=7360"/>
    <hyperlink ref="AC631" r:id="rId627" display="http://thuyloitiengiang.vn/web/thuyloitiengiang/chi-tiet-tin-tuc?id=455328"/>
    <hyperlink ref="AC632" r:id="rId628" display="http://thuyloitiengiang.vn/web/thuyloitiengiang/chi-tiet-tin-tuc?id=455328"/>
    <hyperlink ref="AC633" r:id="rId629" display="http://thuyloitiengiang.vn/web/thuyloitiengiang/chi-tiet-tin-tuc?id=455332"/>
    <hyperlink ref="AC634" r:id="rId630" display="http://thuyloitiengiang.vn/web/thuyloitiengiang/chi-tiet-tin-tuc?id=455336"/>
    <hyperlink ref="AC635" r:id="rId631" display="http://thuyloitiengiang.vn/web/thuyloitiengiang/chi-tiet-tin-tuc?id=455412"/>
    <hyperlink ref="AC636" r:id="rId632" display="http://thuyloitiengiang.vn/web/thuyloitiengiang/chi-tiet-tin-tuc?id=455416"/>
    <hyperlink ref="AC637" r:id="rId633" display="https://pctt.tayninh.gov.vn/tinh-hinh-chat-luong-nuoc-76230/tinh-hinh-chat-luong-nuoc-xam-nhap-man-tren-cac-tuyen-song-trong-dia-ban-tinh-long-an-ngay-02-de-983594"/>
    <hyperlink ref="AC638" r:id="rId634" display="https://pctt.tayninh.gov.vn/tinh-hinh-chat-luong-nuoc-76230/tinh-hinh-chat-luong-nuoc-xam-nhap-man-tren-cac-tuyen-song-tren-dia-ban-tinh-long-an-tu-ngay-05--984252"/>
    <hyperlink ref="AC639" r:id="rId635" display="https://pctt.tayninh.gov.vn/tinh-hinh-chat-luong-nuoc-76230/tinh-hinh-chat-luong-nuoc-xam-nhap-man-tren-cac-tuyen-song-trong-dia-ban-tinh-long-an-ngay-02-de-983594"/>
    <hyperlink ref="AC640" r:id="rId636" display="https://pctt.tayninh.gov.vn/tinh-hinh-chat-luong-nuoc-76230/tinh-hinh-chat-luong-nuoc-xam-nhap-man-tren-cac-tuyen-song-trong-dia-ban-tinh-long-an-ngay-02-de-983594"/>
    <hyperlink ref="AC641" r:id="rId637" display="https://pctt.tayninh.gov.vn/tinh-hinh-chat-luong-nuoc-76230/tinh-hinh-chat-luong-nuoc-xam-nhap-man-tren-cac-tuyen-song-tren-dia-ban-tinh-long-an-tu-ngay-05--984252"/>
    <hyperlink ref="AC642" r:id="rId638" display="https://tamvu.tayninh.gov.vn/bao-cao-thong-ke/thong-bao-tinh-hinh-chat-luong-nuoc-xam-nhap-man-tren-cac-tuyen-song-tren-dia-ban-tinh-tay-ninh--1057028"/>
    <hyperlink ref="AC643" r:id="rId639" display="https://tamvu.tayninh.gov.vn/bao-cao-thong-ke/thong-bao-tinh-hinh-chat-luong-nuoc-xam-nhap-man-tren-cac-tuyen-song-tren-dia-ban-tinh-tay-ninh--1057028"/>
    <hyperlink ref="AC644" r:id="rId640" display="https://tamvu.tayninh.gov.vn/bao-cao-thong-ke/thong-bao-tinh-hinh-chat-luong-nuoc-xam-nhap-man-tren-cac-tuyen-song-tren-dia-ban-tinh-tay-ninh--1057028"/>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2026-10-15T04:06:01Z</dcterms:created>
  <dc:creator>openpyxl</dc:creator>
  <dc:description/>
  <dc:language>en-US</dc:language>
  <cp:lastModifiedBy/>
  <dcterms:modified xsi:type="dcterms:W3CDTF">2026-10-15T04:06:06Z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